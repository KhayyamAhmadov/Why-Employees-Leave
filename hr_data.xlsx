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7.xml" ContentType="application/vnd.openxmlformats-officedocument.drawing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8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Xeyyam\Desktop\Projects\Why Employees Leave\"/>
    </mc:Choice>
  </mc:AlternateContent>
  <xr:revisionPtr revIDLastSave="0" documentId="13_ncr:1_{6E1CB59F-51FE-467C-88B5-6E06DDFE804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aw_Data" sheetId="12" r:id="rId1"/>
    <sheet name="HR_Data" sheetId="1" r:id="rId2"/>
    <sheet name="Dashboard" sheetId="2" r:id="rId3"/>
    <sheet name="Attrition_Analysis" sheetId="3" r:id="rId4"/>
    <sheet name="Compensation_Analysis" sheetId="4" r:id="rId5"/>
    <sheet name="Performance_Analysis" sheetId="5" r:id="rId6"/>
    <sheet name="Demographics_Analysis" sheetId="6" r:id="rId7"/>
    <sheet name="Department_Analysis" sheetId="7" r:id="rId8"/>
    <sheet name="Tenure_Career_Analysis" sheetId="8" r:id="rId9"/>
    <sheet name="Satisfaction_Analysis" sheetId="9" r:id="rId10"/>
    <sheet name="Pivot_Tables" sheetId="10" r:id="rId11"/>
  </sheets>
  <definedNames>
    <definedName name="_xlchart.v1.0" hidden="1">HR_Data!$A$1</definedName>
    <definedName name="_xlchart.v1.1" hidden="1">HR_Data!$A$2:$A$1471</definedName>
  </definedNames>
  <calcPr calcId="191029"/>
  <pivotCaches>
    <pivotCache cacheId="2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3" i="1" l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2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3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2" i="1"/>
  <c r="E84" i="9"/>
  <c r="E83" i="9"/>
  <c r="D84" i="9"/>
  <c r="D83" i="9"/>
  <c r="C84" i="9"/>
  <c r="F84" i="9" s="1"/>
  <c r="C83" i="9"/>
  <c r="F83" i="9" s="1"/>
  <c r="D78" i="9"/>
  <c r="D77" i="9"/>
  <c r="D76" i="9"/>
  <c r="C78" i="9"/>
  <c r="C77" i="9"/>
  <c r="E77" i="9" s="1"/>
  <c r="C76" i="9"/>
  <c r="C69" i="9"/>
  <c r="C70" i="9"/>
  <c r="C71" i="9"/>
  <c r="C68" i="9"/>
  <c r="D69" i="9"/>
  <c r="D70" i="9"/>
  <c r="D71" i="9"/>
  <c r="D68" i="9"/>
  <c r="F56" i="9"/>
  <c r="F57" i="9"/>
  <c r="F58" i="9"/>
  <c r="F59" i="9"/>
  <c r="F60" i="9"/>
  <c r="F61" i="9"/>
  <c r="F62" i="9"/>
  <c r="F63" i="9"/>
  <c r="F55" i="9"/>
  <c r="E56" i="9"/>
  <c r="E57" i="9"/>
  <c r="E58" i="9"/>
  <c r="E59" i="9"/>
  <c r="E60" i="9"/>
  <c r="E61" i="9"/>
  <c r="E62" i="9"/>
  <c r="E63" i="9"/>
  <c r="E55" i="9"/>
  <c r="D56" i="9"/>
  <c r="D57" i="9"/>
  <c r="D58" i="9"/>
  <c r="D59" i="9"/>
  <c r="D60" i="9"/>
  <c r="D61" i="9"/>
  <c r="D62" i="9"/>
  <c r="D63" i="9"/>
  <c r="D55" i="9"/>
  <c r="C56" i="9"/>
  <c r="C57" i="9"/>
  <c r="C58" i="9"/>
  <c r="C59" i="9"/>
  <c r="C60" i="9"/>
  <c r="C61" i="9"/>
  <c r="C62" i="9"/>
  <c r="C63" i="9"/>
  <c r="C55" i="9"/>
  <c r="F49" i="9"/>
  <c r="F50" i="9"/>
  <c r="F48" i="9"/>
  <c r="E49" i="9"/>
  <c r="E50" i="9"/>
  <c r="E48" i="9"/>
  <c r="D49" i="9"/>
  <c r="D50" i="9"/>
  <c r="D48" i="9"/>
  <c r="C49" i="9"/>
  <c r="C50" i="9"/>
  <c r="C48" i="9"/>
  <c r="D41" i="9"/>
  <c r="E41" i="9" s="1"/>
  <c r="D42" i="9"/>
  <c r="F42" i="9" s="1"/>
  <c r="D43" i="9"/>
  <c r="F43" i="9" s="1"/>
  <c r="D40" i="9"/>
  <c r="F40" i="9" s="1"/>
  <c r="D33" i="9"/>
  <c r="E33" i="9" s="1"/>
  <c r="D34" i="9"/>
  <c r="F34" i="9" s="1"/>
  <c r="D35" i="9"/>
  <c r="F35" i="9" s="1"/>
  <c r="D32" i="9"/>
  <c r="F32" i="9" s="1"/>
  <c r="D25" i="9"/>
  <c r="F25" i="9" s="1"/>
  <c r="D26" i="9"/>
  <c r="F26" i="9" s="1"/>
  <c r="D27" i="9"/>
  <c r="E27" i="9" s="1"/>
  <c r="D24" i="9"/>
  <c r="F24" i="9" s="1"/>
  <c r="D17" i="9"/>
  <c r="F17" i="9" s="1"/>
  <c r="D18" i="9"/>
  <c r="F18" i="9" s="1"/>
  <c r="D19" i="9"/>
  <c r="E19" i="9" s="1"/>
  <c r="D16" i="9"/>
  <c r="F16" i="9" s="1"/>
  <c r="C11" i="9"/>
  <c r="C10" i="9"/>
  <c r="C9" i="9"/>
  <c r="C8" i="9"/>
  <c r="C7" i="9"/>
  <c r="C80" i="8"/>
  <c r="D80" i="8" s="1"/>
  <c r="C81" i="8"/>
  <c r="D81" i="8" s="1"/>
  <c r="C82" i="8"/>
  <c r="E82" i="8" s="1"/>
  <c r="C79" i="8"/>
  <c r="D79" i="8" s="1"/>
  <c r="D66" i="8"/>
  <c r="D67" i="8"/>
  <c r="D68" i="8"/>
  <c r="D69" i="8"/>
  <c r="D70" i="8"/>
  <c r="D71" i="8"/>
  <c r="D72" i="8"/>
  <c r="D73" i="8"/>
  <c r="D74" i="8"/>
  <c r="D65" i="8"/>
  <c r="C66" i="8"/>
  <c r="E66" i="8" s="1"/>
  <c r="C67" i="8"/>
  <c r="E67" i="8" s="1"/>
  <c r="C68" i="8"/>
  <c r="E68" i="8" s="1"/>
  <c r="C69" i="8"/>
  <c r="E69" i="8" s="1"/>
  <c r="C70" i="8"/>
  <c r="E70" i="8" s="1"/>
  <c r="C71" i="8"/>
  <c r="E71" i="8" s="1"/>
  <c r="C72" i="8"/>
  <c r="E72" i="8" s="1"/>
  <c r="C73" i="8"/>
  <c r="E73" i="8" s="1"/>
  <c r="C74" i="8"/>
  <c r="E74" i="8" s="1"/>
  <c r="C65" i="8"/>
  <c r="E65" i="8" s="1"/>
  <c r="F57" i="8"/>
  <c r="F58" i="8"/>
  <c r="F59" i="8"/>
  <c r="F60" i="8"/>
  <c r="F56" i="8"/>
  <c r="E57" i="8"/>
  <c r="E58" i="8"/>
  <c r="E59" i="8"/>
  <c r="E60" i="8"/>
  <c r="E56" i="8"/>
  <c r="D57" i="8"/>
  <c r="D58" i="8"/>
  <c r="D59" i="8"/>
  <c r="D60" i="8"/>
  <c r="D56" i="8"/>
  <c r="C57" i="8"/>
  <c r="C58" i="8"/>
  <c r="C59" i="8"/>
  <c r="C60" i="8"/>
  <c r="C56" i="8"/>
  <c r="C37" i="8"/>
  <c r="D37" i="8" s="1"/>
  <c r="C38" i="8"/>
  <c r="D38" i="8" s="1"/>
  <c r="C39" i="8"/>
  <c r="D39" i="8" s="1"/>
  <c r="C40" i="8"/>
  <c r="D40" i="8" s="1"/>
  <c r="C41" i="8"/>
  <c r="D41" i="8" s="1"/>
  <c r="C42" i="8"/>
  <c r="D42" i="8" s="1"/>
  <c r="C43" i="8"/>
  <c r="D43" i="8" s="1"/>
  <c r="C44" i="8"/>
  <c r="D44" i="8" s="1"/>
  <c r="C45" i="8"/>
  <c r="D45" i="8" s="1"/>
  <c r="C46" i="8"/>
  <c r="D46" i="8" s="1"/>
  <c r="C47" i="8"/>
  <c r="D47" i="8" s="1"/>
  <c r="C48" i="8"/>
  <c r="D48" i="8" s="1"/>
  <c r="C49" i="8"/>
  <c r="D49" i="8" s="1"/>
  <c r="C50" i="8"/>
  <c r="D50" i="8" s="1"/>
  <c r="C51" i="8"/>
  <c r="D51" i="8" s="1"/>
  <c r="C36" i="8"/>
  <c r="E39" i="8" s="1"/>
  <c r="E31" i="8"/>
  <c r="E30" i="8"/>
  <c r="E29" i="8"/>
  <c r="E28" i="8"/>
  <c r="E27" i="8"/>
  <c r="D31" i="8"/>
  <c r="D30" i="8"/>
  <c r="D29" i="8"/>
  <c r="D28" i="8"/>
  <c r="D27" i="8"/>
  <c r="C31" i="8" a="1"/>
  <c r="C31" i="8" s="1"/>
  <c r="C30" i="8" a="1"/>
  <c r="C30" i="8" s="1"/>
  <c r="C29" i="8" a="1"/>
  <c r="C29" i="8" s="1"/>
  <c r="C28" i="8" a="1"/>
  <c r="C28" i="8" s="1"/>
  <c r="C27" i="8" a="1"/>
  <c r="C27" i="8" s="1"/>
  <c r="E22" i="8"/>
  <c r="E21" i="8"/>
  <c r="E20" i="8"/>
  <c r="E19" i="8"/>
  <c r="E18" i="8"/>
  <c r="E17" i="8"/>
  <c r="C22" i="8" a="1"/>
  <c r="C22" i="8" s="1"/>
  <c r="D22" i="8" s="1"/>
  <c r="C21" i="8" a="1"/>
  <c r="C21" i="8" s="1"/>
  <c r="F21" i="8" s="1" a="1"/>
  <c r="F21" i="8" s="1"/>
  <c r="C20" i="8" a="1"/>
  <c r="C20" i="8" s="1"/>
  <c r="D20" i="8" s="1"/>
  <c r="C19" i="8" a="1"/>
  <c r="C19" i="8" s="1"/>
  <c r="D19" i="8" s="1"/>
  <c r="C18" i="8" a="1"/>
  <c r="C18" i="8" s="1"/>
  <c r="D18" i="8" s="1"/>
  <c r="C17" i="8" a="1"/>
  <c r="C17" i="8" s="1"/>
  <c r="F17" i="8" s="1" a="1"/>
  <c r="F17" i="8" s="1"/>
  <c r="C12" i="8"/>
  <c r="C11" i="8"/>
  <c r="C10" i="8"/>
  <c r="C9" i="8"/>
  <c r="C8" i="8"/>
  <c r="C7" i="8"/>
  <c r="G41" i="7"/>
  <c r="G42" i="7"/>
  <c r="G40" i="7"/>
  <c r="G28" i="7"/>
  <c r="G29" i="7"/>
  <c r="G30" i="7"/>
  <c r="G31" i="7"/>
  <c r="G32" i="7"/>
  <c r="G27" i="7"/>
  <c r="G16" i="7"/>
  <c r="G15" i="7"/>
  <c r="F41" i="7"/>
  <c r="F42" i="7"/>
  <c r="F40" i="7"/>
  <c r="F28" i="7"/>
  <c r="F29" i="7"/>
  <c r="F30" i="7"/>
  <c r="F31" i="7"/>
  <c r="F32" i="7"/>
  <c r="F27" i="7"/>
  <c r="F16" i="7"/>
  <c r="F15" i="7"/>
  <c r="C44" i="7"/>
  <c r="C43" i="7"/>
  <c r="C42" i="7"/>
  <c r="C41" i="7"/>
  <c r="C40" i="7"/>
  <c r="C39" i="7"/>
  <c r="C38" i="7"/>
  <c r="C32" i="7"/>
  <c r="C31" i="7"/>
  <c r="C30" i="7"/>
  <c r="C29" i="7"/>
  <c r="C28" i="7"/>
  <c r="C27" i="7"/>
  <c r="C26" i="7"/>
  <c r="C20" i="7"/>
  <c r="C19" i="7"/>
  <c r="C18" i="7"/>
  <c r="C17" i="7"/>
  <c r="C16" i="7"/>
  <c r="C15" i="7"/>
  <c r="C14" i="7"/>
  <c r="G8" i="7"/>
  <c r="G9" i="7"/>
  <c r="G7" i="7"/>
  <c r="F8" i="7"/>
  <c r="F9" i="7"/>
  <c r="F7" i="7"/>
  <c r="E8" i="7"/>
  <c r="E9" i="7"/>
  <c r="E7" i="7"/>
  <c r="C8" i="7"/>
  <c r="H8" i="7" s="1"/>
  <c r="C9" i="7"/>
  <c r="H9" i="7" s="1"/>
  <c r="C7" i="7"/>
  <c r="H7" i="7" s="1"/>
  <c r="C60" i="6" a="1"/>
  <c r="C60" i="6" s="1"/>
  <c r="D60" i="6" s="1"/>
  <c r="C59" i="6" a="1"/>
  <c r="C59" i="6" s="1"/>
  <c r="E59" i="6" s="1" a="1"/>
  <c r="E59" i="6" s="1"/>
  <c r="C58" i="6" a="1"/>
  <c r="C58" i="6" s="1"/>
  <c r="D58" i="6" s="1"/>
  <c r="C57" i="6" a="1"/>
  <c r="C57" i="6" s="1"/>
  <c r="D57" i="6" s="1"/>
  <c r="E48" i="6"/>
  <c r="E49" i="6"/>
  <c r="E50" i="6"/>
  <c r="E51" i="6"/>
  <c r="E52" i="6"/>
  <c r="E47" i="6"/>
  <c r="C48" i="6"/>
  <c r="F48" i="6" s="1"/>
  <c r="C49" i="6"/>
  <c r="F49" i="6" s="1"/>
  <c r="C50" i="6"/>
  <c r="F50" i="6" s="1"/>
  <c r="C51" i="6"/>
  <c r="F51" i="6" s="1"/>
  <c r="C52" i="6"/>
  <c r="F52" i="6" s="1"/>
  <c r="C47" i="6"/>
  <c r="F47" i="6" s="1"/>
  <c r="F39" i="6"/>
  <c r="F40" i="6"/>
  <c r="F41" i="6"/>
  <c r="F42" i="6"/>
  <c r="F38" i="6"/>
  <c r="E39" i="6"/>
  <c r="E40" i="6"/>
  <c r="E41" i="6"/>
  <c r="E42" i="6"/>
  <c r="E38" i="6"/>
  <c r="D39" i="6"/>
  <c r="D40" i="6"/>
  <c r="D41" i="6"/>
  <c r="D42" i="6"/>
  <c r="D38" i="6"/>
  <c r="E32" i="6"/>
  <c r="E33" i="6"/>
  <c r="E31" i="6"/>
  <c r="C32" i="6"/>
  <c r="F32" i="6" s="1"/>
  <c r="C33" i="6"/>
  <c r="F33" i="6" s="1"/>
  <c r="C31" i="6"/>
  <c r="D31" i="6" s="1"/>
  <c r="G26" i="6"/>
  <c r="G25" i="6"/>
  <c r="F26" i="6"/>
  <c r="F25" i="6"/>
  <c r="E26" i="6"/>
  <c r="E25" i="6"/>
  <c r="C26" i="6"/>
  <c r="D26" i="6" s="1"/>
  <c r="C25" i="6"/>
  <c r="D25" i="6" s="1"/>
  <c r="F20" i="6"/>
  <c r="F19" i="6"/>
  <c r="F18" i="6"/>
  <c r="F17" i="6"/>
  <c r="F16" i="6"/>
  <c r="E20" i="6"/>
  <c r="E19" i="6"/>
  <c r="E18" i="6"/>
  <c r="E17" i="6"/>
  <c r="E16" i="6"/>
  <c r="C20" i="6" a="1"/>
  <c r="C20" i="6" s="1"/>
  <c r="D20" i="6" s="1"/>
  <c r="C19" i="6" a="1"/>
  <c r="C19" i="6" s="1"/>
  <c r="D19" i="6" s="1"/>
  <c r="C18" i="6" a="1"/>
  <c r="C18" i="6" s="1"/>
  <c r="D18" i="6" s="1"/>
  <c r="C17" i="6" a="1"/>
  <c r="C17" i="6" s="1"/>
  <c r="D17" i="6" s="1"/>
  <c r="C16" i="6" a="1"/>
  <c r="C16" i="6" s="1"/>
  <c r="D16" i="6" s="1"/>
  <c r="C11" i="6"/>
  <c r="C10" i="6"/>
  <c r="C9" i="6"/>
  <c r="C8" i="6"/>
  <c r="C7" i="6"/>
  <c r="E63" i="5"/>
  <c r="E64" i="5"/>
  <c r="E65" i="5"/>
  <c r="E66" i="5"/>
  <c r="E62" i="5"/>
  <c r="D63" i="5"/>
  <c r="D64" i="5"/>
  <c r="D65" i="5"/>
  <c r="D66" i="5"/>
  <c r="D62" i="5"/>
  <c r="C63" i="5"/>
  <c r="C64" i="5"/>
  <c r="C65" i="5"/>
  <c r="C66" i="5"/>
  <c r="C62" i="5"/>
  <c r="E52" i="5"/>
  <c r="E53" i="5"/>
  <c r="E54" i="5"/>
  <c r="E55" i="5"/>
  <c r="E56" i="5"/>
  <c r="E57" i="5"/>
  <c r="E51" i="5"/>
  <c r="D52" i="5"/>
  <c r="D53" i="5"/>
  <c r="D54" i="5"/>
  <c r="D55" i="5"/>
  <c r="D56" i="5"/>
  <c r="D57" i="5"/>
  <c r="D51" i="5"/>
  <c r="C52" i="5"/>
  <c r="C53" i="5"/>
  <c r="C54" i="5"/>
  <c r="C55" i="5"/>
  <c r="C56" i="5"/>
  <c r="C57" i="5"/>
  <c r="C51" i="5"/>
  <c r="E46" i="5" a="1"/>
  <c r="E46" i="5" s="1"/>
  <c r="E45" i="5" a="1"/>
  <c r="E45" i="5" s="1"/>
  <c r="E44" i="5" a="1"/>
  <c r="E44" i="5" s="1"/>
  <c r="E43" i="5" a="1"/>
  <c r="E43" i="5" s="1"/>
  <c r="E42" i="5" a="1"/>
  <c r="E42" i="5" s="1"/>
  <c r="D46" i="5"/>
  <c r="D45" i="5"/>
  <c r="D44" i="5"/>
  <c r="D43" i="5"/>
  <c r="D42" i="5"/>
  <c r="C46" i="5"/>
  <c r="C45" i="5"/>
  <c r="C44" i="5"/>
  <c r="C43" i="5"/>
  <c r="C42" i="5"/>
  <c r="E37" i="5"/>
  <c r="E36" i="5"/>
  <c r="D37" i="5"/>
  <c r="D36" i="5"/>
  <c r="C37" i="5"/>
  <c r="C36" i="5"/>
  <c r="E23" i="5"/>
  <c r="E24" i="5"/>
  <c r="E25" i="5"/>
  <c r="E26" i="5"/>
  <c r="E27" i="5"/>
  <c r="E28" i="5"/>
  <c r="E29" i="5"/>
  <c r="E30" i="5"/>
  <c r="E31" i="5"/>
  <c r="F23" i="5"/>
  <c r="F24" i="5"/>
  <c r="F25" i="5"/>
  <c r="F26" i="5"/>
  <c r="F27" i="5"/>
  <c r="F28" i="5"/>
  <c r="F29" i="5"/>
  <c r="F30" i="5"/>
  <c r="F31" i="5"/>
  <c r="D23" i="5"/>
  <c r="D24" i="5"/>
  <c r="D25" i="5"/>
  <c r="D26" i="5"/>
  <c r="D27" i="5"/>
  <c r="D28" i="5"/>
  <c r="D29" i="5"/>
  <c r="D30" i="5"/>
  <c r="D31" i="5"/>
  <c r="C23" i="5"/>
  <c r="C24" i="5"/>
  <c r="C25" i="5"/>
  <c r="C26" i="5"/>
  <c r="C27" i="5"/>
  <c r="C28" i="5"/>
  <c r="C29" i="5"/>
  <c r="C30" i="5"/>
  <c r="C31" i="5"/>
  <c r="F17" i="5"/>
  <c r="F18" i="5"/>
  <c r="F16" i="5"/>
  <c r="E17" i="5"/>
  <c r="E18" i="5"/>
  <c r="E16" i="5"/>
  <c r="D17" i="5"/>
  <c r="D18" i="5"/>
  <c r="D16" i="5"/>
  <c r="C17" i="5"/>
  <c r="C18" i="5"/>
  <c r="C16" i="5"/>
  <c r="C11" i="5"/>
  <c r="C10" i="5"/>
  <c r="C9" i="5"/>
  <c r="C8" i="5"/>
  <c r="C7" i="5"/>
  <c r="D72" i="4"/>
  <c r="D71" i="4"/>
  <c r="C72" i="4"/>
  <c r="C71" i="4"/>
  <c r="D66" i="4"/>
  <c r="D65" i="4"/>
  <c r="D64" i="4"/>
  <c r="D63" i="4"/>
  <c r="D62" i="4"/>
  <c r="C62" i="4" a="1"/>
  <c r="C62" i="4" s="1"/>
  <c r="C66" i="4" a="1"/>
  <c r="C66" i="4" s="1"/>
  <c r="C65" i="4" a="1"/>
  <c r="C65" i="4" s="1"/>
  <c r="C64" i="4" a="1"/>
  <c r="C64" i="4" s="1"/>
  <c r="C63" i="4" a="1"/>
  <c r="C63" i="4" s="1"/>
  <c r="E57" i="4"/>
  <c r="E56" i="4"/>
  <c r="D57" i="4" a="1"/>
  <c r="D57" i="4" s="1"/>
  <c r="D56" i="4" a="1"/>
  <c r="D56" i="4" s="1"/>
  <c r="C57" i="4"/>
  <c r="C56" i="4"/>
  <c r="F44" i="4"/>
  <c r="F45" i="4"/>
  <c r="F46" i="4"/>
  <c r="F47" i="4"/>
  <c r="F48" i="4"/>
  <c r="F49" i="4"/>
  <c r="F50" i="4"/>
  <c r="F51" i="4"/>
  <c r="E44" i="4"/>
  <c r="E45" i="4"/>
  <c r="E46" i="4"/>
  <c r="E47" i="4"/>
  <c r="E48" i="4"/>
  <c r="E49" i="4"/>
  <c r="E50" i="4"/>
  <c r="E51" i="4"/>
  <c r="F43" i="4"/>
  <c r="E43" i="4"/>
  <c r="D44" i="4"/>
  <c r="D45" i="4"/>
  <c r="D46" i="4"/>
  <c r="D47" i="4"/>
  <c r="D48" i="4"/>
  <c r="D49" i="4"/>
  <c r="D50" i="4"/>
  <c r="D51" i="4"/>
  <c r="D43" i="4"/>
  <c r="C44" i="4"/>
  <c r="C45" i="4"/>
  <c r="C46" i="4"/>
  <c r="C47" i="4"/>
  <c r="C48" i="4"/>
  <c r="C49" i="4"/>
  <c r="C50" i="4"/>
  <c r="C51" i="4"/>
  <c r="C43" i="4"/>
  <c r="E35" i="4"/>
  <c r="E36" i="4"/>
  <c r="E37" i="4"/>
  <c r="E38" i="4"/>
  <c r="E34" i="4"/>
  <c r="D35" i="4"/>
  <c r="D36" i="4"/>
  <c r="D37" i="4"/>
  <c r="D38" i="4"/>
  <c r="D34" i="4"/>
  <c r="E26" i="4" a="1"/>
  <c r="E26" i="4" s="1"/>
  <c r="E27" i="4" a="1"/>
  <c r="E27" i="4" s="1"/>
  <c r="E28" i="4" a="1"/>
  <c r="E28" i="4" s="1"/>
  <c r="E29" i="4" a="1"/>
  <c r="E29" i="4" s="1"/>
  <c r="E25" i="4" a="1"/>
  <c r="E25" i="4" s="1"/>
  <c r="D26" i="4"/>
  <c r="D27" i="4"/>
  <c r="D28" i="4"/>
  <c r="D29" i="4"/>
  <c r="D25" i="4"/>
  <c r="C26" i="4"/>
  <c r="C27" i="4"/>
  <c r="C28" i="4"/>
  <c r="C29" i="4"/>
  <c r="C25" i="4"/>
  <c r="G19" i="4" a="1"/>
  <c r="G19" i="4" s="1"/>
  <c r="G20" i="4" a="1"/>
  <c r="G20" i="4" s="1"/>
  <c r="G18" i="4" a="1"/>
  <c r="G18" i="4" s="1"/>
  <c r="F19" i="4"/>
  <c r="F20" i="4"/>
  <c r="F18" i="4"/>
  <c r="E19" i="4"/>
  <c r="E20" i="4"/>
  <c r="E18" i="4"/>
  <c r="D19" i="4"/>
  <c r="D20" i="4"/>
  <c r="D18" i="4"/>
  <c r="C19" i="4"/>
  <c r="C20" i="4"/>
  <c r="C18" i="4"/>
  <c r="C13" i="4"/>
  <c r="C12" i="4"/>
  <c r="C11" i="4"/>
  <c r="C10" i="4"/>
  <c r="C9" i="4"/>
  <c r="C8" i="4"/>
  <c r="C7" i="4"/>
  <c r="D28" i="3"/>
  <c r="D29" i="3"/>
  <c r="D30" i="3"/>
  <c r="D31" i="3"/>
  <c r="D32" i="3"/>
  <c r="D33" i="3"/>
  <c r="D34" i="3"/>
  <c r="D35" i="3"/>
  <c r="D36" i="3"/>
  <c r="C28" i="3"/>
  <c r="C29" i="3"/>
  <c r="C30" i="3"/>
  <c r="C31" i="3"/>
  <c r="C32" i="3"/>
  <c r="C33" i="3"/>
  <c r="C34" i="3"/>
  <c r="C35" i="3"/>
  <c r="C36" i="3"/>
  <c r="D56" i="3" a="1"/>
  <c r="D56" i="3" s="1"/>
  <c r="D55" i="3" a="1"/>
  <c r="D55" i="3" s="1"/>
  <c r="D54" i="3" a="1"/>
  <c r="D54" i="3" s="1"/>
  <c r="C56" i="3" a="1"/>
  <c r="C56" i="3" s="1"/>
  <c r="C55" i="3" a="1"/>
  <c r="C55" i="3" s="1"/>
  <c r="C54" i="3" a="1"/>
  <c r="C54" i="3" s="1"/>
  <c r="D49" i="3"/>
  <c r="D48" i="3"/>
  <c r="C49" i="3"/>
  <c r="C48" i="3"/>
  <c r="D43" i="3"/>
  <c r="D42" i="3"/>
  <c r="D41" i="3"/>
  <c r="C43" i="3"/>
  <c r="C42" i="3"/>
  <c r="C41" i="3"/>
  <c r="D23" i="3"/>
  <c r="D22" i="3"/>
  <c r="C23" i="3"/>
  <c r="C22" i="3"/>
  <c r="D17" i="3" a="1"/>
  <c r="D17" i="3" s="1"/>
  <c r="D16" i="3" a="1"/>
  <c r="D16" i="3" s="1"/>
  <c r="D15" i="3" a="1"/>
  <c r="D15" i="3" s="1"/>
  <c r="D14" i="3" a="1"/>
  <c r="D14" i="3" s="1"/>
  <c r="C17" i="3" a="1"/>
  <c r="C17" i="3" s="1"/>
  <c r="C16" i="3" a="1"/>
  <c r="C16" i="3" s="1"/>
  <c r="C15" i="3" a="1"/>
  <c r="C15" i="3" s="1"/>
  <c r="C14" i="3" a="1"/>
  <c r="C14" i="3" s="1"/>
  <c r="C13" i="3" a="1"/>
  <c r="C13" i="3" s="1"/>
  <c r="D13" i="3" a="1"/>
  <c r="D13" i="3" s="1"/>
  <c r="D8" i="3"/>
  <c r="C8" i="3"/>
  <c r="D7" i="3"/>
  <c r="C7" i="3"/>
  <c r="D6" i="3"/>
  <c r="C6" i="3"/>
  <c r="C13" i="2"/>
  <c r="C12" i="2"/>
  <c r="L8" i="2"/>
  <c r="K8" i="2" a="1"/>
  <c r="K8" i="2" s="1"/>
  <c r="L10" i="2"/>
  <c r="L9" i="2"/>
  <c r="L7" i="2"/>
  <c r="K10" i="2" a="1"/>
  <c r="K10" i="2" s="1"/>
  <c r="K9" i="2" a="1"/>
  <c r="K9" i="2" s="1"/>
  <c r="K7" i="2" a="1"/>
  <c r="K7" i="2" s="1"/>
  <c r="L6" i="2"/>
  <c r="K6" i="2" a="1"/>
  <c r="K6" i="2" s="1"/>
  <c r="G8" i="2"/>
  <c r="F8" i="2"/>
  <c r="G7" i="2"/>
  <c r="G6" i="2"/>
  <c r="F7" i="2"/>
  <c r="F6" i="2"/>
  <c r="C15" i="2"/>
  <c r="C14" i="2"/>
  <c r="C11" i="2"/>
  <c r="C10" i="2"/>
  <c r="C9" i="2"/>
  <c r="C7" i="2"/>
  <c r="C6" i="2"/>
  <c r="C5" i="2"/>
  <c r="E78" i="9" l="1"/>
  <c r="E42" i="9"/>
  <c r="F41" i="9"/>
  <c r="E25" i="9"/>
  <c r="G49" i="9"/>
  <c r="E34" i="9"/>
  <c r="D82" i="8"/>
  <c r="F20" i="8" a="1"/>
  <c r="F20" i="8" s="1"/>
  <c r="F22" i="8" a="1"/>
  <c r="F22" i="8" s="1"/>
  <c r="F33" i="9"/>
  <c r="E26" i="9"/>
  <c r="E76" i="9"/>
  <c r="G48" i="9"/>
  <c r="G50" i="9"/>
  <c r="E79" i="8"/>
  <c r="E81" i="8"/>
  <c r="E50" i="8"/>
  <c r="E38" i="8"/>
  <c r="E32" i="9"/>
  <c r="E40" i="9"/>
  <c r="E49" i="8"/>
  <c r="E37" i="8"/>
  <c r="E17" i="9"/>
  <c r="E35" i="9"/>
  <c r="E43" i="9"/>
  <c r="E48" i="8"/>
  <c r="E47" i="8"/>
  <c r="E80" i="8"/>
  <c r="E46" i="8"/>
  <c r="E45" i="8"/>
  <c r="D36" i="8"/>
  <c r="E44" i="8"/>
  <c r="E43" i="8"/>
  <c r="E42" i="8"/>
  <c r="E41" i="8"/>
  <c r="E36" i="8"/>
  <c r="E40" i="8"/>
  <c r="E51" i="8"/>
  <c r="E16" i="9"/>
  <c r="E24" i="9"/>
  <c r="F19" i="9"/>
  <c r="F27" i="9"/>
  <c r="E18" i="9"/>
  <c r="D17" i="8"/>
  <c r="F18" i="8" a="1"/>
  <c r="F18" i="8" s="1"/>
  <c r="D21" i="8"/>
  <c r="F19" i="8" a="1"/>
  <c r="F19" i="8" s="1"/>
  <c r="E28" i="3"/>
  <c r="C33" i="7"/>
  <c r="E35" i="3"/>
  <c r="E60" i="6" a="1"/>
  <c r="E60" i="6" s="1"/>
  <c r="C21" i="7"/>
  <c r="D48" i="6"/>
  <c r="D50" i="6"/>
  <c r="D49" i="6"/>
  <c r="D7" i="7"/>
  <c r="E31" i="3"/>
  <c r="D59" i="6"/>
  <c r="E56" i="3"/>
  <c r="E58" i="6" a="1"/>
  <c r="E58" i="6" s="1"/>
  <c r="E32" i="3"/>
  <c r="E29" i="3"/>
  <c r="C45" i="7"/>
  <c r="E36" i="3"/>
  <c r="E33" i="3"/>
  <c r="D47" i="6"/>
  <c r="D52" i="6"/>
  <c r="E30" i="3"/>
  <c r="F31" i="6"/>
  <c r="D51" i="6"/>
  <c r="E57" i="6" a="1"/>
  <c r="E57" i="6" s="1"/>
  <c r="E34" i="3"/>
  <c r="D9" i="7"/>
  <c r="D8" i="7"/>
  <c r="D33" i="6"/>
  <c r="D32" i="6"/>
  <c r="H8" i="2"/>
  <c r="E54" i="3"/>
  <c r="E15" i="3"/>
  <c r="F7" i="3"/>
  <c r="E13" i="3"/>
  <c r="E14" i="3"/>
  <c r="E55" i="3"/>
  <c r="E16" i="3"/>
  <c r="E8" i="3"/>
  <c r="E6" i="3"/>
  <c r="H7" i="2"/>
  <c r="F8" i="3"/>
  <c r="E49" i="3"/>
  <c r="E23" i="3"/>
  <c r="F6" i="3"/>
  <c r="E41" i="3"/>
  <c r="E7" i="3"/>
  <c r="E42" i="3"/>
  <c r="E48" i="3"/>
  <c r="H6" i="2"/>
  <c r="E22" i="3"/>
  <c r="C8" i="2"/>
  <c r="E17" i="3"/>
  <c r="E4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<sst xmlns="http://schemas.openxmlformats.org/spreadsheetml/2006/main" count="27114" uniqueCount="275">
  <si>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</si>
  <si>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</si>
  <si>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</si>
  <si>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</si>
  <si>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</si>
  <si>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</si>
  <si>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</si>
  <si>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</si>
  <si>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</si>
  <si>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</si>
  <si>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</si>
  <si>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</si>
  <si>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</si>
  <si>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</si>
  <si>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</si>
  <si>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</si>
  <si>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</si>
  <si>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</si>
  <si>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</si>
  <si>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</si>
  <si>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</si>
  <si>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</si>
  <si>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</si>
  <si>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</si>
  <si>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</si>
  <si>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</si>
  <si>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</si>
  <si>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</si>
  <si>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</si>
  <si>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</si>
  <si>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</si>
  <si>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</si>
  <si>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</si>
  <si>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</si>
  <si>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</si>
  <si>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</si>
  <si>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</si>
  <si>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</si>
  <si>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</si>
  <si>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</si>
  <si>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</si>
  <si>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</si>
  <si>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</si>
  <si>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</si>
  <si>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</si>
  <si>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</si>
  <si>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</si>
  <si>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</si>
  <si>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</si>
  <si>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</si>
  <si>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</si>
  <si>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</si>
  <si>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</si>
  <si>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</si>
  <si>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</si>
  <si>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</si>
  <si>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</si>
  <si>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</si>
  <si>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</si>
  <si>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</si>
  <si>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</si>
  <si>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</si>
  <si>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HR ANALYTICS DASHBOARD</t>
  </si>
  <si>
    <t>Total Employees</t>
  </si>
  <si>
    <t>Active Employees</t>
  </si>
  <si>
    <t>Attrition Count</t>
  </si>
  <si>
    <t>Attrition Rate %</t>
  </si>
  <si>
    <t>Average Age</t>
  </si>
  <si>
    <t>Average Monthly Income</t>
  </si>
  <si>
    <t>Average Tenure (Years)</t>
  </si>
  <si>
    <t>Male Count</t>
  </si>
  <si>
    <t>Female Count</t>
  </si>
  <si>
    <t>Avg Performance Rating</t>
  </si>
  <si>
    <t>Avg Job Satisfaction</t>
  </si>
  <si>
    <t>Department Breakdown</t>
  </si>
  <si>
    <t>Count</t>
  </si>
  <si>
    <t>Attrition %</t>
  </si>
  <si>
    <t>HR</t>
  </si>
  <si>
    <t>Age Group Analysis</t>
  </si>
  <si>
    <t>Age Group</t>
  </si>
  <si>
    <t>Avg Monthly Income</t>
  </si>
  <si>
    <t>26 - 35</t>
  </si>
  <si>
    <t>18 - 25</t>
  </si>
  <si>
    <t>46 - 55</t>
  </si>
  <si>
    <t xml:space="preserve">56 + </t>
  </si>
  <si>
    <t>36 - 45</t>
  </si>
  <si>
    <t>Values</t>
  </si>
  <si>
    <t>Keys</t>
  </si>
  <si>
    <t>ATTRITION ANALYSIS</t>
  </si>
  <si>
    <t>Total</t>
  </si>
  <si>
    <t>Left</t>
  </si>
  <si>
    <t>Stayed</t>
  </si>
  <si>
    <t xml:space="preserve">Age Group </t>
  </si>
  <si>
    <t>56 +</t>
  </si>
  <si>
    <t>Martial Status</t>
  </si>
  <si>
    <t>Job Role</t>
  </si>
  <si>
    <t xml:space="preserve">Distance Category </t>
  </si>
  <si>
    <t>0 - 10 km</t>
  </si>
  <si>
    <t>11 - 20 km</t>
  </si>
  <si>
    <t>21 - 30 km</t>
  </si>
  <si>
    <t>by Department</t>
  </si>
  <si>
    <t>by Age Group</t>
  </si>
  <si>
    <t>by Gender</t>
  </si>
  <si>
    <t>by Martial Status</t>
  </si>
  <si>
    <t>by OverTime</t>
  </si>
  <si>
    <t>by Distance from Home</t>
  </si>
  <si>
    <t>by Job Role</t>
  </si>
  <si>
    <t xml:space="preserve">Total </t>
  </si>
  <si>
    <t>COMPENSATION ANALYSIS</t>
  </si>
  <si>
    <t>Metric</t>
  </si>
  <si>
    <t>Value</t>
  </si>
  <si>
    <t>Median Monthly Income</t>
  </si>
  <si>
    <t>Min Monthly Income</t>
  </si>
  <si>
    <t>Max Monthly Income</t>
  </si>
  <si>
    <t>Standart Deviation</t>
  </si>
  <si>
    <t>Average Hourly Rate</t>
  </si>
  <si>
    <t>Average Percent Salary Hike</t>
  </si>
  <si>
    <t>Salary Statistics</t>
  </si>
  <si>
    <t>Avg Income</t>
  </si>
  <si>
    <t>Min Income</t>
  </si>
  <si>
    <t>Max Income</t>
  </si>
  <si>
    <t>Median Income</t>
  </si>
  <si>
    <t>Income by Department</t>
  </si>
  <si>
    <t>Job Level</t>
  </si>
  <si>
    <t>Income by Job Level</t>
  </si>
  <si>
    <t xml:space="preserve">Education </t>
  </si>
  <si>
    <t>Description</t>
  </si>
  <si>
    <t>Below College</t>
  </si>
  <si>
    <t>College</t>
  </si>
  <si>
    <t>Bachelor</t>
  </si>
  <si>
    <t>Master</t>
  </si>
  <si>
    <t>Doctor</t>
  </si>
  <si>
    <t>Income by Education Level</t>
  </si>
  <si>
    <t>Income by Job Role</t>
  </si>
  <si>
    <t>Min</t>
  </si>
  <si>
    <t>Max</t>
  </si>
  <si>
    <t xml:space="preserve">Gender </t>
  </si>
  <si>
    <t>Income by Gender</t>
  </si>
  <si>
    <t>Income by Years at Company</t>
  </si>
  <si>
    <t>Tenure Range</t>
  </si>
  <si>
    <t>0 - 2 years</t>
  </si>
  <si>
    <t>3 - 5 years</t>
  </si>
  <si>
    <t>11 - 20 years</t>
  </si>
  <si>
    <t>21 + years</t>
  </si>
  <si>
    <t>6 - 10 years</t>
  </si>
  <si>
    <t>Salary Hike Analysis</t>
  </si>
  <si>
    <t>Performance Rating</t>
  </si>
  <si>
    <t>Avg Salary Hike %</t>
  </si>
  <si>
    <t>PERFORMANCE ANALYSIS</t>
  </si>
  <si>
    <t xml:space="preserve">Metric </t>
  </si>
  <si>
    <t>Average Performance Rating</t>
  </si>
  <si>
    <t>% Rating 3</t>
  </si>
  <si>
    <t>% Rating 4</t>
  </si>
  <si>
    <t>Avg Job Involvement</t>
  </si>
  <si>
    <t>Avg Training Times</t>
  </si>
  <si>
    <t xml:space="preserve">Department </t>
  </si>
  <si>
    <t>Avg Performance</t>
  </si>
  <si>
    <t>$ Rating 4</t>
  </si>
  <si>
    <t>Avg Involvement</t>
  </si>
  <si>
    <t>Avg Training</t>
  </si>
  <si>
    <t>Performance Overview</t>
  </si>
  <si>
    <t>Performance by Department</t>
  </si>
  <si>
    <t>Performance by Job Role</t>
  </si>
  <si>
    <t>Performance vs Income Correlation</t>
  </si>
  <si>
    <t>Performance by Experience</t>
  </si>
  <si>
    <t xml:space="preserve">Experience Range </t>
  </si>
  <si>
    <t>Training Analysis</t>
  </si>
  <si>
    <t>Training Times</t>
  </si>
  <si>
    <t>Avg Salary</t>
  </si>
  <si>
    <t>Performance by Job Level</t>
  </si>
  <si>
    <t>DEMOGRAPHICS ANALYSIS</t>
  </si>
  <si>
    <t>Median Age</t>
  </si>
  <si>
    <t>Min Age</t>
  </si>
  <si>
    <t>Max Age</t>
  </si>
  <si>
    <t>Age Demographics</t>
  </si>
  <si>
    <t>Age Group Breakdown</t>
  </si>
  <si>
    <t>% of Total</t>
  </si>
  <si>
    <t>Gender Analysis</t>
  </si>
  <si>
    <t xml:space="preserve">Gender  </t>
  </si>
  <si>
    <t>Avg Age</t>
  </si>
  <si>
    <t>Attrition Rate</t>
  </si>
  <si>
    <t>Education Level</t>
  </si>
  <si>
    <t>Education Field</t>
  </si>
  <si>
    <t>Distance from Home</t>
  </si>
  <si>
    <t>Distance Category</t>
  </si>
  <si>
    <t>Avg Attrition Rate</t>
  </si>
  <si>
    <t>0 - 5 km</t>
  </si>
  <si>
    <t>6 - 10 km</t>
  </si>
  <si>
    <t>21 + km</t>
  </si>
  <si>
    <t>DEPARTMENT ANALYSIS</t>
  </si>
  <si>
    <t>Department Overview</t>
  </si>
  <si>
    <t>Avg Tenure</t>
  </si>
  <si>
    <t>Overtime Count</t>
  </si>
  <si>
    <t>Overtime %</t>
  </si>
  <si>
    <t>Human Resources Department - Detailed</t>
  </si>
  <si>
    <t>Research &amp; Development - Detailed</t>
  </si>
  <si>
    <t>Sales Department - Detailed</t>
  </si>
  <si>
    <t>Human Resources Department - Job Roles</t>
  </si>
  <si>
    <t>Research &amp; Development Department - Job Roles</t>
  </si>
  <si>
    <t>Sales Department - Job Roles</t>
  </si>
  <si>
    <t>Job Roles</t>
  </si>
  <si>
    <t>TENURE &amp; CAREER ANALYSIS</t>
  </si>
  <si>
    <t>Avg Years at Company</t>
  </si>
  <si>
    <t>Median Years at Company</t>
  </si>
  <si>
    <t>Avg Total Working Years</t>
  </si>
  <si>
    <t>Avg Years in Current Role</t>
  </si>
  <si>
    <t>Avg Years Since Promotion</t>
  </si>
  <si>
    <t>Avg Years with Manager</t>
  </si>
  <si>
    <t>Tenure Overview</t>
  </si>
  <si>
    <t>Years at Company</t>
  </si>
  <si>
    <t>Years at Company Distribution</t>
  </si>
  <si>
    <t>11 - 15 years</t>
  </si>
  <si>
    <t>16 - 20 years</t>
  </si>
  <si>
    <t>Total Experience Distribution</t>
  </si>
  <si>
    <t xml:space="preserve">Total Experience  </t>
  </si>
  <si>
    <t>0 - 5 years</t>
  </si>
  <si>
    <t>21 - 30 years</t>
  </si>
  <si>
    <t>31 + years</t>
  </si>
  <si>
    <t>Years Since Promotion</t>
  </si>
  <si>
    <t>Job Level Analysis</t>
  </si>
  <si>
    <t xml:space="preserve">Job Level  </t>
  </si>
  <si>
    <t>Companies Worked</t>
  </si>
  <si>
    <t>Stock Option Level</t>
  </si>
  <si>
    <t xml:space="preserve">Stock Option  </t>
  </si>
  <si>
    <t>SATISFACTION ANALYSIS</t>
  </si>
  <si>
    <t>Overall Satisfaction Metrics</t>
  </si>
  <si>
    <t>Job Satisfaction</t>
  </si>
  <si>
    <t>Environment Satisfaction</t>
  </si>
  <si>
    <t>Relationship Satisfaction</t>
  </si>
  <si>
    <t>Work-life Balance</t>
  </si>
  <si>
    <t>Job Involvement</t>
  </si>
  <si>
    <t>Job Satisfaction Breakdown</t>
  </si>
  <si>
    <t>Score</t>
  </si>
  <si>
    <t>Low</t>
  </si>
  <si>
    <t>Medium</t>
  </si>
  <si>
    <t>High</t>
  </si>
  <si>
    <t>Ver High</t>
  </si>
  <si>
    <t>Work-Life Balance</t>
  </si>
  <si>
    <t>Satisfaction by Department</t>
  </si>
  <si>
    <t>Overall Avg</t>
  </si>
  <si>
    <t>Satisfaction by Job Role</t>
  </si>
  <si>
    <t>Satisfaction vs Income</t>
  </si>
  <si>
    <t>Satisfaction vs Attrition</t>
  </si>
  <si>
    <t>Stayed Avg</t>
  </si>
  <si>
    <t>Left Avg</t>
  </si>
  <si>
    <t>Difference</t>
  </si>
  <si>
    <t>OverTime vs Satisfaction</t>
  </si>
  <si>
    <t xml:space="preserve">OverTime </t>
  </si>
  <si>
    <t xml:space="preserve">Work - life </t>
  </si>
  <si>
    <t>Row Labels</t>
  </si>
  <si>
    <t>Grand Total</t>
  </si>
  <si>
    <t>Sum of EmployeeNumber</t>
  </si>
  <si>
    <t>Count of Attrition</t>
  </si>
  <si>
    <t>Summarize by Count</t>
  </si>
  <si>
    <t>Department &amp; Job Attrition Analysis</t>
  </si>
  <si>
    <t>Tenure Distribution by Department</t>
  </si>
  <si>
    <t>Income &amp; Performance by Department &amp; Level</t>
  </si>
  <si>
    <t>Average of MonthlyIncome</t>
  </si>
  <si>
    <t>Average of PerformanceRating</t>
  </si>
  <si>
    <t>Count of EmployeeNumber</t>
  </si>
  <si>
    <t>Column Labels</t>
  </si>
  <si>
    <t>Total Count of EmployeeNumber</t>
  </si>
  <si>
    <t>Total Average of MonthlyIncome</t>
  </si>
  <si>
    <t>Job vs Environment Satisfaction Matrix</t>
  </si>
  <si>
    <t>Total % of Grand Total</t>
  </si>
  <si>
    <t>% of Grand Total</t>
  </si>
  <si>
    <t>Salary Range</t>
  </si>
  <si>
    <t>Tenure Group</t>
  </si>
  <si>
    <t>Experience Level</t>
  </si>
  <si>
    <t>Performance Category</t>
  </si>
  <si>
    <t>Satisfaction Level</t>
  </si>
  <si>
    <t>High Risk Attention</t>
  </si>
  <si>
    <t>High Risk</t>
  </si>
  <si>
    <t>Normal</t>
  </si>
  <si>
    <t>Attrition Risk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</si>
</sst>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$-409]#,##0.00"/>
    <numFmt numFmtId="166" formatCode="0.000"/>
  </numFmts>
  <fonts count="2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color theme="3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14"/>
      <color theme="6" tint="-0.499984740745262"/>
      <name val="Calibri"/>
      <family val="2"/>
      <charset val="162"/>
      <scheme val="minor"/>
    </font>
    <font>
      <b/>
      <sz val="20"/>
      <color theme="6" tint="-0.499984740745262"/>
      <name val="Calibri"/>
      <family val="2"/>
      <charset val="162"/>
      <scheme val="minor"/>
    </font>
    <font>
      <b/>
      <sz val="24"/>
      <color theme="4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4"/>
      <color theme="7" tint="-0.249977111117893"/>
      <name val="Calibri"/>
      <family val="2"/>
      <charset val="162"/>
      <scheme val="minor"/>
    </font>
    <font>
      <b/>
      <sz val="20"/>
      <color theme="7" tint="-0.249977111117893"/>
      <name val="Calibri"/>
      <family val="2"/>
      <charset val="162"/>
      <scheme val="minor"/>
    </font>
    <font>
      <b/>
      <sz val="20"/>
      <color theme="9" tint="-0.249977111117893"/>
      <name val="Calibri"/>
      <family val="2"/>
      <charset val="162"/>
      <scheme val="minor"/>
    </font>
    <font>
      <b/>
      <sz val="14"/>
      <color theme="9" tint="-0.249977111117893"/>
      <name val="Calibri"/>
      <family val="2"/>
      <charset val="162"/>
      <scheme val="minor"/>
    </font>
    <font>
      <b/>
      <sz val="14"/>
      <color theme="6" tint="-0.249977111117893"/>
      <name val="Calibri"/>
      <family val="2"/>
      <charset val="162"/>
      <scheme val="minor"/>
    </font>
    <font>
      <b/>
      <sz val="20"/>
      <color theme="6" tint="-0.249977111117893"/>
      <name val="Calibri"/>
      <family val="2"/>
      <charset val="162"/>
      <scheme val="minor"/>
    </font>
    <font>
      <b/>
      <sz val="14"/>
      <color theme="5" tint="-0.249977111117893"/>
      <name val="Calibri"/>
      <family val="2"/>
      <charset val="162"/>
      <scheme val="minor"/>
    </font>
    <font>
      <b/>
      <sz val="20"/>
      <color rgb="FFFF0000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sz val="20"/>
      <color theme="3" tint="0.39997558519241921"/>
      <name val="Calibri"/>
      <family val="2"/>
      <charset val="162"/>
      <scheme val="minor"/>
    </font>
    <font>
      <b/>
      <sz val="14"/>
      <color theme="3" tint="0.3999755851924192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FDE9D9"/>
        <bgColor rgb="FFFDE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5">
    <xf numFmtId="0" fontId="0" fillId="0" borderId="0"/>
    <xf numFmtId="0" fontId="2" fillId="0" borderId="2" applyNumberFormat="0" applyFill="0" applyAlignment="0" applyProtection="0"/>
    <xf numFmtId="0" fontId="2" fillId="0" borderId="2" applyBorder="0">
      <alignment horizontal="center"/>
    </xf>
    <xf numFmtId="0" fontId="4" fillId="0" borderId="0">
      <alignment horizontal="center"/>
    </xf>
    <xf numFmtId="0" fontId="4" fillId="2" borderId="0">
      <alignment horizontal="center"/>
    </xf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/>
    </xf>
    <xf numFmtId="0" fontId="0" fillId="0" borderId="0" xfId="0" applyBorder="1"/>
    <xf numFmtId="2" fontId="0" fillId="0" borderId="0" xfId="0" applyNumberFormat="1"/>
    <xf numFmtId="1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/>
    <xf numFmtId="166" fontId="0" fillId="0" borderId="0" xfId="0" applyNumberFormat="1"/>
    <xf numFmtId="0" fontId="21" fillId="3" borderId="3" xfId="0" applyFont="1" applyFill="1" applyBorder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1" fontId="22" fillId="0" borderId="1" xfId="0" applyNumberFormat="1" applyFont="1" applyBorder="1" applyAlignment="1">
      <alignment horizontal="center" vertical="top"/>
    </xf>
    <xf numFmtId="0" fontId="23" fillId="0" borderId="1" xfId="0" applyFont="1" applyBorder="1" applyAlignment="1">
      <alignment horizontal="center" vertical="top"/>
    </xf>
    <xf numFmtId="0" fontId="2" fillId="0" borderId="2" xfId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</cellXfs>
  <cellStyles count="5">
    <cellStyle name="Heading 1" xfId="1" builtinId="16"/>
    <cellStyle name="Normal" xfId="0" builtinId="0"/>
    <cellStyle name="Style 1" xfId="2" xr:uid="{BC2A9F7D-8DC1-4958-AD2D-CEDFAA1B1B64}"/>
    <cellStyle name="Style 2" xfId="3" xr:uid="{B7A71DF1-B214-47DB-B6F8-C1240A1854E0}"/>
    <cellStyle name="Style 3" xfId="4" xr:uid="{6EAF3B26-15DD-4EF2-9E35-12B53E540AF5}"/>
  </cellStyles>
  <dxfs count="33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0.0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164" formatCode="0.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0.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[$$-409]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C4-43B7-9E72-056DBE2B85F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C4-43B7-9E72-056DBE2B85F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C4-43B7-9E72-056DBE2B85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Dashboard!$E$6:$E$8</c:f>
              <c:strCache>
                <c:ptCount val="3"/>
                <c:pt idx="0">
                  <c:v>HR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Dashboard!$H$6:$H$8</c:f>
              <c:numCache>
                <c:formatCode>0.00</c:formatCode>
                <c:ptCount val="3"/>
                <c:pt idx="0">
                  <c:v>19.047619047619047</c:v>
                </c:pt>
                <c:pt idx="1">
                  <c:v>13.839750260145681</c:v>
                </c:pt>
                <c:pt idx="2">
                  <c:v>20.627802690582961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D-48A6-A2A9-654F2F08E9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Employee Distribution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Dashboard!$J$6:$J$10</c:f>
              <c:strCache>
                <c:ptCount val="5"/>
                <c:pt idx="0">
                  <c:v>18 - 25</c:v>
                </c:pt>
                <c:pt idx="1">
                  <c:v>26 - 35</c:v>
                </c:pt>
                <c:pt idx="2">
                  <c:v>36 - 45</c:v>
                </c:pt>
                <c:pt idx="3">
                  <c:v>46 - 55</c:v>
                </c:pt>
                <c:pt idx="4">
                  <c:v>56 + </c:v>
                </c:pt>
              </c:strCache>
            </c:strRef>
          </c:cat>
          <c:val>
            <c:numRef>
              <c:f>Dashboard!$K$6:$K$10</c:f>
              <c:numCache>
                <c:formatCode>General</c:formatCode>
                <c:ptCount val="5"/>
                <c:pt idx="0">
                  <c:v>123</c:v>
                </c:pt>
                <c:pt idx="1">
                  <c:v>606</c:v>
                </c:pt>
                <c:pt idx="2">
                  <c:v>468</c:v>
                </c:pt>
                <c:pt idx="3">
                  <c:v>226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C-4DB6-91BC-CCE27ED28C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56139535"/>
        <c:axId val="1641843855"/>
      </c:barChart>
      <c:catAx>
        <c:axId val="155613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641843855"/>
        <c:crosses val="autoZero"/>
        <c:auto val="1"/>
        <c:lblAlgn val="ctr"/>
        <c:lblOffset val="100"/>
        <c:noMultiLvlLbl val="0"/>
      </c:catAx>
      <c:valAx>
        <c:axId val="16418438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5613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Average Income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Dashboard!$J$6:$J$10</c:f>
              <c:strCache>
                <c:ptCount val="5"/>
                <c:pt idx="0">
                  <c:v>18 - 25</c:v>
                </c:pt>
                <c:pt idx="1">
                  <c:v>26 - 35</c:v>
                </c:pt>
                <c:pt idx="2">
                  <c:v>36 - 45</c:v>
                </c:pt>
                <c:pt idx="3">
                  <c:v>46 - 55</c:v>
                </c:pt>
                <c:pt idx="4">
                  <c:v>56 + </c:v>
                </c:pt>
              </c:strCache>
            </c:strRef>
          </c:cat>
          <c:val>
            <c:numRef>
              <c:f>Dashboard!$L$6:$L$10</c:f>
              <c:numCache>
                <c:formatCode>0.00</c:formatCode>
                <c:ptCount val="5"/>
                <c:pt idx="0">
                  <c:v>2972.8861788617887</c:v>
                </c:pt>
                <c:pt idx="1">
                  <c:v>4895.6336633663368</c:v>
                </c:pt>
                <c:pt idx="2">
                  <c:v>7104.4444444444443</c:v>
                </c:pt>
                <c:pt idx="3">
                  <c:v>10927.96017699115</c:v>
                </c:pt>
                <c:pt idx="4">
                  <c:v>9197.6808510638293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A-4F0A-9922-05E4359C1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1764463"/>
        <c:axId val="1641764943"/>
      </c:lineChart>
      <c:catAx>
        <c:axId val="164176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641764943"/>
        <c:crosses val="autoZero"/>
        <c:auto val="1"/>
        <c:lblAlgn val="ctr"/>
        <c:lblOffset val="100"/>
        <c:noMultiLvlLbl val="0"/>
      </c:catAx>
      <c:valAx>
        <c:axId val="164176494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64176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400" b="1" i="0" u="none" strike="noStrike" baseline="0">
                <a:effectLst/>
              </a:rPr>
              <a:t>Attrition Rate by Age</a:t>
            </a:r>
            <a:endParaRPr lang="az-Latn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Attrition_Analysis!$B$13:$B$17</c:f>
              <c:strCache>
                <c:ptCount val="5"/>
                <c:pt idx="0">
                  <c:v>18 - 25</c:v>
                </c:pt>
                <c:pt idx="1">
                  <c:v>26 - 35</c:v>
                </c:pt>
                <c:pt idx="2">
                  <c:v>36 - 45</c:v>
                </c:pt>
                <c:pt idx="3">
                  <c:v>46 - 55</c:v>
                </c:pt>
                <c:pt idx="4">
                  <c:v>56 +</c:v>
                </c:pt>
              </c:strCache>
            </c:strRef>
          </c:cat>
          <c:val>
            <c:numRef>
              <c:f>Attrition_Analysis!$E$13:$E$17</c:f>
              <c:numCache>
                <c:formatCode>0.00</c:formatCode>
                <c:ptCount val="5"/>
                <c:pt idx="0">
                  <c:v>35.772357723577237</c:v>
                </c:pt>
                <c:pt idx="1">
                  <c:v>19.141914191419144</c:v>
                </c:pt>
                <c:pt idx="2">
                  <c:v>9.1880341880341891</c:v>
                </c:pt>
                <c:pt idx="3">
                  <c:v>11.504424778761061</c:v>
                </c:pt>
                <c:pt idx="4">
                  <c:v>11.594202898550725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B-4827-B301-C5D5E6FBA6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06832432"/>
        <c:axId val="1706833392"/>
      </c:lineChart>
      <c:catAx>
        <c:axId val="170683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706833392"/>
        <c:crosses val="autoZero"/>
        <c:auto val="1"/>
        <c:lblAlgn val="ctr"/>
        <c:lblOffset val="100"/>
        <c:noMultiLvlLbl val="0"/>
      </c:catAx>
      <c:valAx>
        <c:axId val="170683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70683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3F-48D0-B43A-DAE65483BEE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D3F-48D0-B43A-DAE65483BEE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z-Latn-AZ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D3F-48D0-B43A-DAE65483BEE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az-Latn-AZ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D3F-48D0-B43A-DAE65483BEE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Attrition_Analysis!$B$48:$B$49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Attrition_Analysis!$D$48:$D$49</c:f>
              <c:numCache>
                <c:formatCode>General</c:formatCode>
                <c:ptCount val="2"/>
                <c:pt idx="0">
                  <c:v>127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F-48D0-B43A-DAE65483BE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4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Attrition by Department</a:t>
            </a:r>
            <a:endParaRPr lang="az-Latn-AZ" sz="14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Attrition_Analysis!$D$5</c:f>
              <c:strCache>
                <c:ptCount val="1"/>
                <c:pt idx="0">
                  <c:v>Left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Attrition_Analysis!$B$6:$B$8</c:f>
              <c:strCache>
                <c:ptCount val="3"/>
                <c:pt idx="0">
                  <c:v>HR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Attrition_Analysis!$D$6:$D$8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9-46F7-A833-4BBEDE796467}"/>
            </c:ext>
          </c:extLst>
        </c:ser>
        <c:ser>
          <c:idx val="1"/>
          <c:order val="1"/>
          <c:tx>
            <c:strRef>
              <c:f>Attrition_Analysis!$E$5</c:f>
              <c:strCache>
                <c:ptCount val="1"/>
                <c:pt idx="0">
                  <c:v>Stayed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Attrition_Analysis!$B$6:$B$8</c:f>
              <c:strCache>
                <c:ptCount val="3"/>
                <c:pt idx="0">
                  <c:v>HR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Attrition_Analysis!$E$6:$E$8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9-46F7-A833-4BBEDE796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1414160"/>
        <c:axId val="2081414640"/>
      </c:barChart>
      <c:catAx>
        <c:axId val="208141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081414640"/>
        <c:crosses val="autoZero"/>
        <c:auto val="1"/>
        <c:lblAlgn val="ctr"/>
        <c:lblOffset val="100"/>
        <c:noMultiLvlLbl val="0"/>
      </c:catAx>
      <c:valAx>
        <c:axId val="208141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08141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600" b="1" i="0" u="none" strike="noStrike" baseline="0">
                <a:effectLst/>
              </a:rPr>
              <a:t>Average Income by Department</a:t>
            </a:r>
            <a:endParaRPr lang="az-Latn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Compensation_Analysis!$B$18:$B$20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Compensation_Analysis!$D$18:$D$20</c:f>
              <c:numCache>
                <c:formatCode>0.00</c:formatCode>
                <c:ptCount val="3"/>
                <c:pt idx="0">
                  <c:v>6654.5079365079364</c:v>
                </c:pt>
                <c:pt idx="1">
                  <c:v>6281.2528616024974</c:v>
                </c:pt>
                <c:pt idx="2">
                  <c:v>6959.17264573991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4-4FD6-934F-9C36A85051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4261248"/>
        <c:axId val="2064270368"/>
      </c:barChart>
      <c:catAx>
        <c:axId val="206426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064270368"/>
        <c:crosses val="autoZero"/>
        <c:auto val="1"/>
        <c:lblAlgn val="ctr"/>
        <c:lblOffset val="100"/>
        <c:noMultiLvlLbl val="0"/>
      </c:catAx>
      <c:valAx>
        <c:axId val="206427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06426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Income by Education</a:t>
            </a:r>
            <a:endParaRPr lang="az-Latn-AZ" sz="1600" b="1" i="0" u="none" strike="noStrike" kern="1200" cap="all" spc="120" normalizeH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Compensation_Analysis!$E$33</c:f>
              <c:strCache>
                <c:ptCount val="1"/>
                <c:pt idx="0">
                  <c:v>Avg Income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Compensation_Analysis!$C$34:$C$38</c:f>
              <c:strCache>
                <c:ptCount val="5"/>
                <c:pt idx="0">
                  <c:v>Below College</c:v>
                </c:pt>
                <c:pt idx="1">
                  <c:v>College</c:v>
                </c:pt>
                <c:pt idx="2">
                  <c:v>Bachelor</c:v>
                </c:pt>
                <c:pt idx="3">
                  <c:v>Master</c:v>
                </c:pt>
                <c:pt idx="4">
                  <c:v>Doctor</c:v>
                </c:pt>
              </c:strCache>
            </c:strRef>
          </c:cat>
          <c:val>
            <c:numRef>
              <c:f>Compensation_Analysis!$E$34:$E$38</c:f>
              <c:numCache>
                <c:formatCode>0.00</c:formatCode>
                <c:ptCount val="5"/>
                <c:pt idx="0">
                  <c:v>5640.5705882352941</c:v>
                </c:pt>
                <c:pt idx="1">
                  <c:v>6226.6453900709221</c:v>
                </c:pt>
                <c:pt idx="2">
                  <c:v>6517.2639860139861</c:v>
                </c:pt>
                <c:pt idx="3">
                  <c:v>6832.4020100502512</c:v>
                </c:pt>
                <c:pt idx="4">
                  <c:v>8277.6458333333339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54-43E3-BDB3-1AAB0102F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454960"/>
        <c:axId val="1656454480"/>
      </c:lineChart>
      <c:catAx>
        <c:axId val="165645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656454480"/>
        <c:crosses val="autoZero"/>
        <c:auto val="1"/>
        <c:lblAlgn val="ctr"/>
        <c:lblOffset val="100"/>
        <c:noMultiLvlLbl val="0"/>
      </c:catAx>
      <c:valAx>
        <c:axId val="165645448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65645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 Income by Job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Compensation_Analysis!$B$24</c:f>
              <c:strCache>
                <c:ptCount val="1"/>
                <c:pt idx="0">
                  <c:v>Job Level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Compensation_Analysis!$B$25:$B$29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F-4BA4-B366-C6F60667A378}"/>
            </c:ext>
          </c:extLst>
        </c:ser>
        <c:ser>
          <c:idx val="1"/>
          <c:order val="1"/>
          <c:tx>
            <c:strRef>
              <c:f>Compensation_Analysis!$D$24</c:f>
              <c:strCache>
                <c:ptCount val="1"/>
                <c:pt idx="0">
                  <c:v>Avg Income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Compensation_Analysis!$D$25:$D$29</c:f>
              <c:numCache>
                <c:formatCode>0.00</c:formatCode>
                <c:ptCount val="5"/>
                <c:pt idx="0">
                  <c:v>2786.9152854511972</c:v>
                </c:pt>
                <c:pt idx="1">
                  <c:v>5502.2771535580523</c:v>
                </c:pt>
                <c:pt idx="2">
                  <c:v>9817.2522935779816</c:v>
                </c:pt>
                <c:pt idx="3">
                  <c:v>15503.783018867925</c:v>
                </c:pt>
                <c:pt idx="4">
                  <c:v>19191.82608695652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F-4BA4-B366-C6F60667A3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14094224"/>
        <c:axId val="2114095184"/>
      </c:barChart>
      <c:catAx>
        <c:axId val="2114094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114095184"/>
        <c:crosses val="autoZero"/>
        <c:auto val="1"/>
        <c:lblAlgn val="ctr"/>
        <c:lblOffset val="100"/>
        <c:noMultiLvlLbl val="0"/>
      </c:catAx>
      <c:valAx>
        <c:axId val="21140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11409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/>
              <a:t>Performance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Performance_Analysis!$B$16:$B$18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Performance_Analysis!$C$16:$C$18</c:f>
              <c:numCache>
                <c:formatCode>0.00</c:formatCode>
                <c:ptCount val="3"/>
                <c:pt idx="0">
                  <c:v>3.1428571428571428</c:v>
                </c:pt>
                <c:pt idx="1">
                  <c:v>3.1623309053069719</c:v>
                </c:pt>
                <c:pt idx="2">
                  <c:v>3.1367713004484306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1-4248-8999-95D01234A5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04484719"/>
        <c:axId val="304481359"/>
      </c:barChart>
      <c:catAx>
        <c:axId val="30448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304481359"/>
        <c:crosses val="autoZero"/>
        <c:auto val="1"/>
        <c:lblAlgn val="ctr"/>
        <c:lblOffset val="100"/>
        <c:noMultiLvlLbl val="0"/>
      </c:catAx>
      <c:valAx>
        <c:axId val="3044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30448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az-Latn-AZ" sz="2000" b="1" i="0" u="none" strike="noStrike" normalizeH="0" baseline="0">
                <a:effectLst/>
              </a:rPr>
              <a:t>Performance vs Income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az-Latn-A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HR_Data!$Y$1</c:f>
              <c:strCache>
                <c:ptCount val="1"/>
                <c:pt idx="0">
                  <c:v>PerformanceRating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6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6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HR_Data!$S$2:$S$1471</c:f>
              <c:numCache>
                <c:formatCode>General</c:formatCode>
                <c:ptCount val="1470"/>
                <c:pt idx="0">
                  <c:v>5993</c:v>
                </c:pt>
                <c:pt idx="1">
                  <c:v>5130</c:v>
                </c:pt>
                <c:pt idx="2">
                  <c:v>2090</c:v>
                </c:pt>
                <c:pt idx="3">
                  <c:v>2909</c:v>
                </c:pt>
                <c:pt idx="4">
                  <c:v>3468</c:v>
                </c:pt>
                <c:pt idx="5">
                  <c:v>3068</c:v>
                </c:pt>
                <c:pt idx="6">
                  <c:v>2670</c:v>
                </c:pt>
                <c:pt idx="7">
                  <c:v>2693</c:v>
                </c:pt>
                <c:pt idx="8">
                  <c:v>9526</c:v>
                </c:pt>
                <c:pt idx="9">
                  <c:v>5237</c:v>
                </c:pt>
                <c:pt idx="10">
                  <c:v>2426</c:v>
                </c:pt>
                <c:pt idx="11">
                  <c:v>4193</c:v>
                </c:pt>
                <c:pt idx="12">
                  <c:v>2911</c:v>
                </c:pt>
                <c:pt idx="13">
                  <c:v>2661</c:v>
                </c:pt>
                <c:pt idx="14">
                  <c:v>2028</c:v>
                </c:pt>
                <c:pt idx="15">
                  <c:v>9980</c:v>
                </c:pt>
                <c:pt idx="16">
                  <c:v>3298</c:v>
                </c:pt>
                <c:pt idx="17">
                  <c:v>2935</c:v>
                </c:pt>
                <c:pt idx="18">
                  <c:v>15427</c:v>
                </c:pt>
                <c:pt idx="19">
                  <c:v>3944</c:v>
                </c:pt>
                <c:pt idx="20">
                  <c:v>4011</c:v>
                </c:pt>
                <c:pt idx="21">
                  <c:v>3407</c:v>
                </c:pt>
                <c:pt idx="22">
                  <c:v>11994</c:v>
                </c:pt>
                <c:pt idx="23">
                  <c:v>1232</c:v>
                </c:pt>
                <c:pt idx="24">
                  <c:v>2960</c:v>
                </c:pt>
                <c:pt idx="25">
                  <c:v>19094</c:v>
                </c:pt>
                <c:pt idx="26">
                  <c:v>3919</c:v>
                </c:pt>
                <c:pt idx="27">
                  <c:v>6825</c:v>
                </c:pt>
                <c:pt idx="28">
                  <c:v>10248</c:v>
                </c:pt>
                <c:pt idx="29">
                  <c:v>18947</c:v>
                </c:pt>
                <c:pt idx="30">
                  <c:v>2496</c:v>
                </c:pt>
                <c:pt idx="31">
                  <c:v>6465</c:v>
                </c:pt>
                <c:pt idx="32">
                  <c:v>2206</c:v>
                </c:pt>
                <c:pt idx="33">
                  <c:v>2086</c:v>
                </c:pt>
                <c:pt idx="34">
                  <c:v>2293</c:v>
                </c:pt>
                <c:pt idx="35">
                  <c:v>2645</c:v>
                </c:pt>
                <c:pt idx="36">
                  <c:v>2683</c:v>
                </c:pt>
                <c:pt idx="37">
                  <c:v>2014</c:v>
                </c:pt>
                <c:pt idx="38">
                  <c:v>3419</c:v>
                </c:pt>
                <c:pt idx="39">
                  <c:v>5376</c:v>
                </c:pt>
                <c:pt idx="40">
                  <c:v>1951</c:v>
                </c:pt>
                <c:pt idx="41">
                  <c:v>2341</c:v>
                </c:pt>
                <c:pt idx="42">
                  <c:v>2293</c:v>
                </c:pt>
                <c:pt idx="43">
                  <c:v>8726</c:v>
                </c:pt>
                <c:pt idx="44">
                  <c:v>4011</c:v>
                </c:pt>
                <c:pt idx="45">
                  <c:v>19545</c:v>
                </c:pt>
                <c:pt idx="46">
                  <c:v>4568</c:v>
                </c:pt>
                <c:pt idx="47">
                  <c:v>3022</c:v>
                </c:pt>
                <c:pt idx="48">
                  <c:v>5772</c:v>
                </c:pt>
                <c:pt idx="49">
                  <c:v>2269</c:v>
                </c:pt>
                <c:pt idx="50">
                  <c:v>5381</c:v>
                </c:pt>
                <c:pt idx="51">
                  <c:v>3441</c:v>
                </c:pt>
                <c:pt idx="52">
                  <c:v>5454</c:v>
                </c:pt>
                <c:pt idx="53">
                  <c:v>9884</c:v>
                </c:pt>
                <c:pt idx="54">
                  <c:v>4157</c:v>
                </c:pt>
                <c:pt idx="55">
                  <c:v>13458</c:v>
                </c:pt>
                <c:pt idx="56">
                  <c:v>9069</c:v>
                </c:pt>
                <c:pt idx="57">
                  <c:v>4014</c:v>
                </c:pt>
                <c:pt idx="58">
                  <c:v>5915</c:v>
                </c:pt>
                <c:pt idx="59">
                  <c:v>5993</c:v>
                </c:pt>
                <c:pt idx="60">
                  <c:v>6162</c:v>
                </c:pt>
                <c:pt idx="61">
                  <c:v>2406</c:v>
                </c:pt>
                <c:pt idx="62">
                  <c:v>18740</c:v>
                </c:pt>
                <c:pt idx="63">
                  <c:v>7637</c:v>
                </c:pt>
                <c:pt idx="64">
                  <c:v>10096</c:v>
                </c:pt>
                <c:pt idx="65">
                  <c:v>14756</c:v>
                </c:pt>
                <c:pt idx="66">
                  <c:v>6499</c:v>
                </c:pt>
                <c:pt idx="67">
                  <c:v>9724</c:v>
                </c:pt>
                <c:pt idx="68">
                  <c:v>2194</c:v>
                </c:pt>
                <c:pt idx="69">
                  <c:v>3388</c:v>
                </c:pt>
                <c:pt idx="70">
                  <c:v>5473</c:v>
                </c:pt>
                <c:pt idx="71">
                  <c:v>2703</c:v>
                </c:pt>
                <c:pt idx="72">
                  <c:v>2501</c:v>
                </c:pt>
                <c:pt idx="73">
                  <c:v>6220</c:v>
                </c:pt>
                <c:pt idx="74">
                  <c:v>3038</c:v>
                </c:pt>
                <c:pt idx="75">
                  <c:v>4424</c:v>
                </c:pt>
                <c:pt idx="76">
                  <c:v>4312</c:v>
                </c:pt>
                <c:pt idx="77">
                  <c:v>13245</c:v>
                </c:pt>
                <c:pt idx="78">
                  <c:v>13664</c:v>
                </c:pt>
                <c:pt idx="79">
                  <c:v>5021</c:v>
                </c:pt>
                <c:pt idx="80">
                  <c:v>5126</c:v>
                </c:pt>
                <c:pt idx="81">
                  <c:v>2859</c:v>
                </c:pt>
                <c:pt idx="82">
                  <c:v>10239</c:v>
                </c:pt>
                <c:pt idx="83">
                  <c:v>5329</c:v>
                </c:pt>
                <c:pt idx="84">
                  <c:v>4325</c:v>
                </c:pt>
                <c:pt idx="85">
                  <c:v>7260</c:v>
                </c:pt>
                <c:pt idx="86">
                  <c:v>2322</c:v>
                </c:pt>
                <c:pt idx="87">
                  <c:v>2075</c:v>
                </c:pt>
                <c:pt idx="88">
                  <c:v>4152</c:v>
                </c:pt>
                <c:pt idx="89">
                  <c:v>9619</c:v>
                </c:pt>
                <c:pt idx="90">
                  <c:v>13503</c:v>
                </c:pt>
                <c:pt idx="91">
                  <c:v>5441</c:v>
                </c:pt>
                <c:pt idx="92">
                  <c:v>5209</c:v>
                </c:pt>
                <c:pt idx="93">
                  <c:v>10673</c:v>
                </c:pt>
                <c:pt idx="94">
                  <c:v>5010</c:v>
                </c:pt>
                <c:pt idx="95">
                  <c:v>13549</c:v>
                </c:pt>
                <c:pt idx="96">
                  <c:v>4999</c:v>
                </c:pt>
                <c:pt idx="97">
                  <c:v>4221</c:v>
                </c:pt>
                <c:pt idx="98">
                  <c:v>13872</c:v>
                </c:pt>
                <c:pt idx="99">
                  <c:v>2042</c:v>
                </c:pt>
                <c:pt idx="100">
                  <c:v>2073</c:v>
                </c:pt>
                <c:pt idx="101">
                  <c:v>2956</c:v>
                </c:pt>
                <c:pt idx="102">
                  <c:v>2926</c:v>
                </c:pt>
                <c:pt idx="103">
                  <c:v>4809</c:v>
                </c:pt>
                <c:pt idx="104">
                  <c:v>5163</c:v>
                </c:pt>
                <c:pt idx="105">
                  <c:v>18844</c:v>
                </c:pt>
                <c:pt idx="106">
                  <c:v>18172</c:v>
                </c:pt>
                <c:pt idx="107">
                  <c:v>5744</c:v>
                </c:pt>
                <c:pt idx="108">
                  <c:v>2889</c:v>
                </c:pt>
                <c:pt idx="109">
                  <c:v>2871</c:v>
                </c:pt>
                <c:pt idx="110">
                  <c:v>7484</c:v>
                </c:pt>
                <c:pt idx="111">
                  <c:v>6074</c:v>
                </c:pt>
                <c:pt idx="112">
                  <c:v>17328</c:v>
                </c:pt>
                <c:pt idx="113">
                  <c:v>2774</c:v>
                </c:pt>
                <c:pt idx="114">
                  <c:v>4505</c:v>
                </c:pt>
                <c:pt idx="115">
                  <c:v>7428</c:v>
                </c:pt>
                <c:pt idx="116">
                  <c:v>11631</c:v>
                </c:pt>
                <c:pt idx="117">
                  <c:v>9738</c:v>
                </c:pt>
                <c:pt idx="118">
                  <c:v>2835</c:v>
                </c:pt>
                <c:pt idx="119">
                  <c:v>16959</c:v>
                </c:pt>
                <c:pt idx="120">
                  <c:v>2613</c:v>
                </c:pt>
                <c:pt idx="121">
                  <c:v>6146</c:v>
                </c:pt>
                <c:pt idx="122">
                  <c:v>4963</c:v>
                </c:pt>
                <c:pt idx="123">
                  <c:v>19537</c:v>
                </c:pt>
                <c:pt idx="124">
                  <c:v>6172</c:v>
                </c:pt>
                <c:pt idx="125">
                  <c:v>2368</c:v>
                </c:pt>
                <c:pt idx="126">
                  <c:v>10312</c:v>
                </c:pt>
                <c:pt idx="127">
                  <c:v>1675</c:v>
                </c:pt>
                <c:pt idx="128">
                  <c:v>2523</c:v>
                </c:pt>
                <c:pt idx="129">
                  <c:v>6567</c:v>
                </c:pt>
                <c:pt idx="130">
                  <c:v>4739</c:v>
                </c:pt>
                <c:pt idx="131">
                  <c:v>9208</c:v>
                </c:pt>
                <c:pt idx="132">
                  <c:v>4559</c:v>
                </c:pt>
                <c:pt idx="133">
                  <c:v>8189</c:v>
                </c:pt>
                <c:pt idx="134">
                  <c:v>2942</c:v>
                </c:pt>
                <c:pt idx="135">
                  <c:v>4941</c:v>
                </c:pt>
                <c:pt idx="136">
                  <c:v>10650</c:v>
                </c:pt>
                <c:pt idx="137">
                  <c:v>5902</c:v>
                </c:pt>
                <c:pt idx="138">
                  <c:v>8639</c:v>
                </c:pt>
                <c:pt idx="139">
                  <c:v>6347</c:v>
                </c:pt>
                <c:pt idx="140">
                  <c:v>4200</c:v>
                </c:pt>
                <c:pt idx="141">
                  <c:v>3452</c:v>
                </c:pt>
                <c:pt idx="142">
                  <c:v>4317</c:v>
                </c:pt>
                <c:pt idx="143">
                  <c:v>2632</c:v>
                </c:pt>
                <c:pt idx="144">
                  <c:v>4668</c:v>
                </c:pt>
                <c:pt idx="145">
                  <c:v>3204</c:v>
                </c:pt>
                <c:pt idx="146">
                  <c:v>2720</c:v>
                </c:pt>
                <c:pt idx="147">
                  <c:v>17181</c:v>
                </c:pt>
                <c:pt idx="148">
                  <c:v>2238</c:v>
                </c:pt>
                <c:pt idx="149">
                  <c:v>1483</c:v>
                </c:pt>
                <c:pt idx="150">
                  <c:v>5605</c:v>
                </c:pt>
                <c:pt idx="151">
                  <c:v>7295</c:v>
                </c:pt>
                <c:pt idx="152">
                  <c:v>2306</c:v>
                </c:pt>
                <c:pt idx="153">
                  <c:v>2348</c:v>
                </c:pt>
                <c:pt idx="154">
                  <c:v>8998</c:v>
                </c:pt>
                <c:pt idx="155">
                  <c:v>4319</c:v>
                </c:pt>
                <c:pt idx="156">
                  <c:v>6132</c:v>
                </c:pt>
                <c:pt idx="157">
                  <c:v>3346</c:v>
                </c:pt>
                <c:pt idx="158">
                  <c:v>10855</c:v>
                </c:pt>
                <c:pt idx="159">
                  <c:v>2231</c:v>
                </c:pt>
                <c:pt idx="160">
                  <c:v>2323</c:v>
                </c:pt>
                <c:pt idx="161">
                  <c:v>2024</c:v>
                </c:pt>
                <c:pt idx="162">
                  <c:v>2713</c:v>
                </c:pt>
                <c:pt idx="163">
                  <c:v>9439</c:v>
                </c:pt>
                <c:pt idx="164">
                  <c:v>2566</c:v>
                </c:pt>
                <c:pt idx="165">
                  <c:v>19926</c:v>
                </c:pt>
                <c:pt idx="166">
                  <c:v>2451</c:v>
                </c:pt>
                <c:pt idx="167">
                  <c:v>9419</c:v>
                </c:pt>
                <c:pt idx="168">
                  <c:v>8686</c:v>
                </c:pt>
                <c:pt idx="169">
                  <c:v>3038</c:v>
                </c:pt>
                <c:pt idx="170">
                  <c:v>3058</c:v>
                </c:pt>
                <c:pt idx="171">
                  <c:v>2325</c:v>
                </c:pt>
                <c:pt idx="172">
                  <c:v>2088</c:v>
                </c:pt>
                <c:pt idx="173">
                  <c:v>3072</c:v>
                </c:pt>
                <c:pt idx="174">
                  <c:v>5006</c:v>
                </c:pt>
                <c:pt idx="175">
                  <c:v>4257</c:v>
                </c:pt>
                <c:pt idx="176">
                  <c:v>2500</c:v>
                </c:pt>
                <c:pt idx="177">
                  <c:v>1102</c:v>
                </c:pt>
                <c:pt idx="178">
                  <c:v>10453</c:v>
                </c:pt>
                <c:pt idx="179">
                  <c:v>2288</c:v>
                </c:pt>
                <c:pt idx="180">
                  <c:v>3929</c:v>
                </c:pt>
                <c:pt idx="181">
                  <c:v>2311</c:v>
                </c:pt>
                <c:pt idx="182">
                  <c:v>3140</c:v>
                </c:pt>
                <c:pt idx="183">
                  <c:v>3690</c:v>
                </c:pt>
                <c:pt idx="184">
                  <c:v>4450</c:v>
                </c:pt>
                <c:pt idx="185">
                  <c:v>2756</c:v>
                </c:pt>
                <c:pt idx="186">
                  <c:v>19033</c:v>
                </c:pt>
                <c:pt idx="187">
                  <c:v>18722</c:v>
                </c:pt>
                <c:pt idx="188">
                  <c:v>9547</c:v>
                </c:pt>
                <c:pt idx="189">
                  <c:v>13734</c:v>
                </c:pt>
                <c:pt idx="190">
                  <c:v>19999</c:v>
                </c:pt>
                <c:pt idx="191">
                  <c:v>2279</c:v>
                </c:pt>
                <c:pt idx="192">
                  <c:v>5916</c:v>
                </c:pt>
                <c:pt idx="193">
                  <c:v>2089</c:v>
                </c:pt>
                <c:pt idx="194">
                  <c:v>16792</c:v>
                </c:pt>
                <c:pt idx="195">
                  <c:v>3564</c:v>
                </c:pt>
                <c:pt idx="196">
                  <c:v>4425</c:v>
                </c:pt>
                <c:pt idx="197">
                  <c:v>5265</c:v>
                </c:pt>
                <c:pt idx="198">
                  <c:v>6553</c:v>
                </c:pt>
                <c:pt idx="199">
                  <c:v>6261</c:v>
                </c:pt>
                <c:pt idx="200">
                  <c:v>4298</c:v>
                </c:pt>
                <c:pt idx="201">
                  <c:v>6804</c:v>
                </c:pt>
                <c:pt idx="202">
                  <c:v>3815</c:v>
                </c:pt>
                <c:pt idx="203">
                  <c:v>2741</c:v>
                </c:pt>
                <c:pt idx="204">
                  <c:v>6673</c:v>
                </c:pt>
                <c:pt idx="205">
                  <c:v>7639</c:v>
                </c:pt>
                <c:pt idx="206">
                  <c:v>2328</c:v>
                </c:pt>
                <c:pt idx="207">
                  <c:v>2153</c:v>
                </c:pt>
                <c:pt idx="208">
                  <c:v>4876</c:v>
                </c:pt>
                <c:pt idx="209">
                  <c:v>9396</c:v>
                </c:pt>
                <c:pt idx="210">
                  <c:v>10400</c:v>
                </c:pt>
                <c:pt idx="211">
                  <c:v>8474</c:v>
                </c:pt>
                <c:pt idx="212">
                  <c:v>9981</c:v>
                </c:pt>
                <c:pt idx="213">
                  <c:v>12490</c:v>
                </c:pt>
                <c:pt idx="214">
                  <c:v>2657</c:v>
                </c:pt>
                <c:pt idx="215">
                  <c:v>13591</c:v>
                </c:pt>
                <c:pt idx="216">
                  <c:v>6696</c:v>
                </c:pt>
                <c:pt idx="217">
                  <c:v>2058</c:v>
                </c:pt>
                <c:pt idx="218">
                  <c:v>8865</c:v>
                </c:pt>
                <c:pt idx="219">
                  <c:v>5940</c:v>
                </c:pt>
                <c:pt idx="220">
                  <c:v>5914</c:v>
                </c:pt>
                <c:pt idx="221">
                  <c:v>2622</c:v>
                </c:pt>
                <c:pt idx="222">
                  <c:v>12185</c:v>
                </c:pt>
                <c:pt idx="223">
                  <c:v>10609</c:v>
                </c:pt>
                <c:pt idx="224">
                  <c:v>4345</c:v>
                </c:pt>
                <c:pt idx="225">
                  <c:v>2177</c:v>
                </c:pt>
                <c:pt idx="226">
                  <c:v>2793</c:v>
                </c:pt>
                <c:pt idx="227">
                  <c:v>7918</c:v>
                </c:pt>
                <c:pt idx="228">
                  <c:v>8789</c:v>
                </c:pt>
                <c:pt idx="229">
                  <c:v>2389</c:v>
                </c:pt>
                <c:pt idx="230">
                  <c:v>3212</c:v>
                </c:pt>
                <c:pt idx="231">
                  <c:v>19232</c:v>
                </c:pt>
                <c:pt idx="232">
                  <c:v>2267</c:v>
                </c:pt>
                <c:pt idx="233">
                  <c:v>19517</c:v>
                </c:pt>
                <c:pt idx="234">
                  <c:v>2436</c:v>
                </c:pt>
                <c:pt idx="235">
                  <c:v>16064</c:v>
                </c:pt>
                <c:pt idx="236">
                  <c:v>2707</c:v>
                </c:pt>
                <c:pt idx="237">
                  <c:v>19068</c:v>
                </c:pt>
                <c:pt idx="238">
                  <c:v>3931</c:v>
                </c:pt>
                <c:pt idx="239">
                  <c:v>3730</c:v>
                </c:pt>
                <c:pt idx="240">
                  <c:v>2232</c:v>
                </c:pt>
                <c:pt idx="241">
                  <c:v>4465</c:v>
                </c:pt>
                <c:pt idx="242">
                  <c:v>3072</c:v>
                </c:pt>
                <c:pt idx="243">
                  <c:v>3319</c:v>
                </c:pt>
                <c:pt idx="244">
                  <c:v>19202</c:v>
                </c:pt>
                <c:pt idx="245">
                  <c:v>13675</c:v>
                </c:pt>
                <c:pt idx="246">
                  <c:v>2911</c:v>
                </c:pt>
                <c:pt idx="247">
                  <c:v>5957</c:v>
                </c:pt>
                <c:pt idx="248">
                  <c:v>3920</c:v>
                </c:pt>
                <c:pt idx="249">
                  <c:v>6434</c:v>
                </c:pt>
                <c:pt idx="250">
                  <c:v>10048</c:v>
                </c:pt>
                <c:pt idx="251">
                  <c:v>10938</c:v>
                </c:pt>
                <c:pt idx="252">
                  <c:v>2340</c:v>
                </c:pt>
                <c:pt idx="253">
                  <c:v>6545</c:v>
                </c:pt>
                <c:pt idx="254">
                  <c:v>6931</c:v>
                </c:pt>
                <c:pt idx="255">
                  <c:v>4898</c:v>
                </c:pt>
                <c:pt idx="256">
                  <c:v>2593</c:v>
                </c:pt>
                <c:pt idx="257">
                  <c:v>19436</c:v>
                </c:pt>
                <c:pt idx="258">
                  <c:v>2723</c:v>
                </c:pt>
                <c:pt idx="259">
                  <c:v>3479</c:v>
                </c:pt>
                <c:pt idx="260">
                  <c:v>2794</c:v>
                </c:pt>
                <c:pt idx="261">
                  <c:v>5249</c:v>
                </c:pt>
                <c:pt idx="262">
                  <c:v>2176</c:v>
                </c:pt>
                <c:pt idx="263">
                  <c:v>16872</c:v>
                </c:pt>
                <c:pt idx="264">
                  <c:v>3485</c:v>
                </c:pt>
                <c:pt idx="265">
                  <c:v>6644</c:v>
                </c:pt>
                <c:pt idx="266">
                  <c:v>5582</c:v>
                </c:pt>
                <c:pt idx="267">
                  <c:v>4000</c:v>
                </c:pt>
                <c:pt idx="268">
                  <c:v>13496</c:v>
                </c:pt>
                <c:pt idx="269">
                  <c:v>3210</c:v>
                </c:pt>
                <c:pt idx="270">
                  <c:v>19045</c:v>
                </c:pt>
                <c:pt idx="271">
                  <c:v>11849</c:v>
                </c:pt>
                <c:pt idx="272">
                  <c:v>2070</c:v>
                </c:pt>
                <c:pt idx="273">
                  <c:v>6502</c:v>
                </c:pt>
                <c:pt idx="274">
                  <c:v>3230</c:v>
                </c:pt>
                <c:pt idx="275">
                  <c:v>13603</c:v>
                </c:pt>
                <c:pt idx="276">
                  <c:v>11996</c:v>
                </c:pt>
                <c:pt idx="277">
                  <c:v>5605</c:v>
                </c:pt>
                <c:pt idx="278">
                  <c:v>6397</c:v>
                </c:pt>
                <c:pt idx="279">
                  <c:v>19144</c:v>
                </c:pt>
                <c:pt idx="280">
                  <c:v>17584</c:v>
                </c:pt>
                <c:pt idx="281">
                  <c:v>4907</c:v>
                </c:pt>
                <c:pt idx="282">
                  <c:v>4554</c:v>
                </c:pt>
                <c:pt idx="283">
                  <c:v>5415</c:v>
                </c:pt>
                <c:pt idx="284">
                  <c:v>4741</c:v>
                </c:pt>
                <c:pt idx="285">
                  <c:v>2115</c:v>
                </c:pt>
                <c:pt idx="286">
                  <c:v>3161</c:v>
                </c:pt>
                <c:pt idx="287">
                  <c:v>5745</c:v>
                </c:pt>
                <c:pt idx="288">
                  <c:v>2373</c:v>
                </c:pt>
                <c:pt idx="289">
                  <c:v>3310</c:v>
                </c:pt>
                <c:pt idx="290">
                  <c:v>18665</c:v>
                </c:pt>
                <c:pt idx="291">
                  <c:v>4485</c:v>
                </c:pt>
                <c:pt idx="292">
                  <c:v>2789</c:v>
                </c:pt>
                <c:pt idx="293">
                  <c:v>5828</c:v>
                </c:pt>
                <c:pt idx="294">
                  <c:v>2326</c:v>
                </c:pt>
                <c:pt idx="295">
                  <c:v>13525</c:v>
                </c:pt>
                <c:pt idx="296">
                  <c:v>1420</c:v>
                </c:pt>
                <c:pt idx="297">
                  <c:v>8020</c:v>
                </c:pt>
                <c:pt idx="298">
                  <c:v>3688</c:v>
                </c:pt>
                <c:pt idx="299">
                  <c:v>5482</c:v>
                </c:pt>
                <c:pt idx="300">
                  <c:v>16015</c:v>
                </c:pt>
                <c:pt idx="301">
                  <c:v>1200</c:v>
                </c:pt>
                <c:pt idx="302">
                  <c:v>5661</c:v>
                </c:pt>
                <c:pt idx="303">
                  <c:v>6929</c:v>
                </c:pt>
                <c:pt idx="304">
                  <c:v>9613</c:v>
                </c:pt>
                <c:pt idx="305">
                  <c:v>5674</c:v>
                </c:pt>
                <c:pt idx="306">
                  <c:v>5484</c:v>
                </c:pt>
                <c:pt idx="307">
                  <c:v>12061</c:v>
                </c:pt>
                <c:pt idx="308">
                  <c:v>5660</c:v>
                </c:pt>
                <c:pt idx="309">
                  <c:v>4821</c:v>
                </c:pt>
                <c:pt idx="310">
                  <c:v>6410</c:v>
                </c:pt>
                <c:pt idx="311">
                  <c:v>5210</c:v>
                </c:pt>
                <c:pt idx="312">
                  <c:v>2695</c:v>
                </c:pt>
                <c:pt idx="313">
                  <c:v>11878</c:v>
                </c:pt>
                <c:pt idx="314">
                  <c:v>17068</c:v>
                </c:pt>
                <c:pt idx="315">
                  <c:v>2455</c:v>
                </c:pt>
                <c:pt idx="316">
                  <c:v>13964</c:v>
                </c:pt>
                <c:pt idx="317">
                  <c:v>4941</c:v>
                </c:pt>
                <c:pt idx="318">
                  <c:v>2478</c:v>
                </c:pt>
                <c:pt idx="319">
                  <c:v>5228</c:v>
                </c:pt>
                <c:pt idx="320">
                  <c:v>4478</c:v>
                </c:pt>
                <c:pt idx="321">
                  <c:v>7547</c:v>
                </c:pt>
                <c:pt idx="322">
                  <c:v>5055</c:v>
                </c:pt>
                <c:pt idx="323">
                  <c:v>3464</c:v>
                </c:pt>
                <c:pt idx="324">
                  <c:v>5775</c:v>
                </c:pt>
                <c:pt idx="325">
                  <c:v>8943</c:v>
                </c:pt>
                <c:pt idx="326">
                  <c:v>19272</c:v>
                </c:pt>
                <c:pt idx="327">
                  <c:v>5238</c:v>
                </c:pt>
                <c:pt idx="328">
                  <c:v>4682</c:v>
                </c:pt>
                <c:pt idx="329">
                  <c:v>18300</c:v>
                </c:pt>
                <c:pt idx="330">
                  <c:v>5257</c:v>
                </c:pt>
                <c:pt idx="331">
                  <c:v>6349</c:v>
                </c:pt>
                <c:pt idx="332">
                  <c:v>4869</c:v>
                </c:pt>
                <c:pt idx="333">
                  <c:v>9985</c:v>
                </c:pt>
                <c:pt idx="334">
                  <c:v>3697</c:v>
                </c:pt>
                <c:pt idx="335">
                  <c:v>7457</c:v>
                </c:pt>
                <c:pt idx="336">
                  <c:v>2119</c:v>
                </c:pt>
                <c:pt idx="337">
                  <c:v>3983</c:v>
                </c:pt>
                <c:pt idx="338">
                  <c:v>6118</c:v>
                </c:pt>
                <c:pt idx="339">
                  <c:v>6214</c:v>
                </c:pt>
                <c:pt idx="340">
                  <c:v>6347</c:v>
                </c:pt>
                <c:pt idx="341">
                  <c:v>11510</c:v>
                </c:pt>
                <c:pt idx="342">
                  <c:v>7143</c:v>
                </c:pt>
                <c:pt idx="343">
                  <c:v>8268</c:v>
                </c:pt>
                <c:pt idx="344">
                  <c:v>8095</c:v>
                </c:pt>
                <c:pt idx="345">
                  <c:v>2904</c:v>
                </c:pt>
                <c:pt idx="346">
                  <c:v>6032</c:v>
                </c:pt>
                <c:pt idx="347">
                  <c:v>2976</c:v>
                </c:pt>
                <c:pt idx="348">
                  <c:v>15992</c:v>
                </c:pt>
                <c:pt idx="349">
                  <c:v>4649</c:v>
                </c:pt>
                <c:pt idx="350">
                  <c:v>2696</c:v>
                </c:pt>
                <c:pt idx="351">
                  <c:v>2370</c:v>
                </c:pt>
                <c:pt idx="352">
                  <c:v>12504</c:v>
                </c:pt>
                <c:pt idx="353">
                  <c:v>5974</c:v>
                </c:pt>
                <c:pt idx="354">
                  <c:v>4736</c:v>
                </c:pt>
                <c:pt idx="355">
                  <c:v>5296</c:v>
                </c:pt>
                <c:pt idx="356">
                  <c:v>6781</c:v>
                </c:pt>
                <c:pt idx="357">
                  <c:v>2174</c:v>
                </c:pt>
                <c:pt idx="358">
                  <c:v>6653</c:v>
                </c:pt>
                <c:pt idx="359">
                  <c:v>9699</c:v>
                </c:pt>
                <c:pt idx="360">
                  <c:v>6755</c:v>
                </c:pt>
                <c:pt idx="361">
                  <c:v>2213</c:v>
                </c:pt>
                <c:pt idx="362">
                  <c:v>2610</c:v>
                </c:pt>
                <c:pt idx="363">
                  <c:v>2851</c:v>
                </c:pt>
                <c:pt idx="364">
                  <c:v>3452</c:v>
                </c:pt>
                <c:pt idx="365">
                  <c:v>5258</c:v>
                </c:pt>
                <c:pt idx="366">
                  <c:v>9355</c:v>
                </c:pt>
                <c:pt idx="367">
                  <c:v>10496</c:v>
                </c:pt>
                <c:pt idx="368">
                  <c:v>6380</c:v>
                </c:pt>
                <c:pt idx="369">
                  <c:v>2657</c:v>
                </c:pt>
                <c:pt idx="370">
                  <c:v>2716</c:v>
                </c:pt>
                <c:pt idx="371">
                  <c:v>2201</c:v>
                </c:pt>
                <c:pt idx="372">
                  <c:v>6540</c:v>
                </c:pt>
                <c:pt idx="373">
                  <c:v>3816</c:v>
                </c:pt>
                <c:pt idx="374">
                  <c:v>5253</c:v>
                </c:pt>
                <c:pt idx="375">
                  <c:v>10965</c:v>
                </c:pt>
                <c:pt idx="376">
                  <c:v>4936</c:v>
                </c:pt>
                <c:pt idx="377">
                  <c:v>2543</c:v>
                </c:pt>
                <c:pt idx="378">
                  <c:v>5304</c:v>
                </c:pt>
                <c:pt idx="379">
                  <c:v>16659</c:v>
                </c:pt>
                <c:pt idx="380">
                  <c:v>4260</c:v>
                </c:pt>
                <c:pt idx="381">
                  <c:v>2476</c:v>
                </c:pt>
                <c:pt idx="382">
                  <c:v>3102</c:v>
                </c:pt>
                <c:pt idx="383">
                  <c:v>2244</c:v>
                </c:pt>
                <c:pt idx="384">
                  <c:v>7596</c:v>
                </c:pt>
                <c:pt idx="385">
                  <c:v>2285</c:v>
                </c:pt>
                <c:pt idx="386">
                  <c:v>3034</c:v>
                </c:pt>
                <c:pt idx="387">
                  <c:v>5715</c:v>
                </c:pt>
                <c:pt idx="388">
                  <c:v>2576</c:v>
                </c:pt>
                <c:pt idx="389">
                  <c:v>4197</c:v>
                </c:pt>
                <c:pt idx="390">
                  <c:v>14336</c:v>
                </c:pt>
                <c:pt idx="391">
                  <c:v>3448</c:v>
                </c:pt>
                <c:pt idx="392">
                  <c:v>19406</c:v>
                </c:pt>
                <c:pt idx="393">
                  <c:v>6538</c:v>
                </c:pt>
                <c:pt idx="394">
                  <c:v>4306</c:v>
                </c:pt>
                <c:pt idx="395">
                  <c:v>2258</c:v>
                </c:pt>
                <c:pt idx="396">
                  <c:v>4522</c:v>
                </c:pt>
                <c:pt idx="397">
                  <c:v>4487</c:v>
                </c:pt>
                <c:pt idx="398">
                  <c:v>4449</c:v>
                </c:pt>
                <c:pt idx="399">
                  <c:v>2218</c:v>
                </c:pt>
                <c:pt idx="400">
                  <c:v>19197</c:v>
                </c:pt>
                <c:pt idx="401">
                  <c:v>13212</c:v>
                </c:pt>
                <c:pt idx="402">
                  <c:v>6577</c:v>
                </c:pt>
                <c:pt idx="403">
                  <c:v>8392</c:v>
                </c:pt>
                <c:pt idx="404">
                  <c:v>4558</c:v>
                </c:pt>
                <c:pt idx="405">
                  <c:v>4031</c:v>
                </c:pt>
                <c:pt idx="406">
                  <c:v>7969</c:v>
                </c:pt>
                <c:pt idx="407">
                  <c:v>2654</c:v>
                </c:pt>
                <c:pt idx="408">
                  <c:v>16555</c:v>
                </c:pt>
                <c:pt idx="409">
                  <c:v>4556</c:v>
                </c:pt>
                <c:pt idx="410">
                  <c:v>6091</c:v>
                </c:pt>
                <c:pt idx="411">
                  <c:v>19566</c:v>
                </c:pt>
                <c:pt idx="412">
                  <c:v>4810</c:v>
                </c:pt>
                <c:pt idx="413">
                  <c:v>4523</c:v>
                </c:pt>
                <c:pt idx="414">
                  <c:v>3202</c:v>
                </c:pt>
                <c:pt idx="415">
                  <c:v>2351</c:v>
                </c:pt>
                <c:pt idx="416">
                  <c:v>1702</c:v>
                </c:pt>
                <c:pt idx="417">
                  <c:v>18041</c:v>
                </c:pt>
                <c:pt idx="418">
                  <c:v>2886</c:v>
                </c:pt>
                <c:pt idx="419">
                  <c:v>2097</c:v>
                </c:pt>
                <c:pt idx="420">
                  <c:v>11935</c:v>
                </c:pt>
                <c:pt idx="421">
                  <c:v>2546</c:v>
                </c:pt>
                <c:pt idx="422">
                  <c:v>2564</c:v>
                </c:pt>
                <c:pt idx="423">
                  <c:v>8412</c:v>
                </c:pt>
                <c:pt idx="424">
                  <c:v>14118</c:v>
                </c:pt>
                <c:pt idx="425">
                  <c:v>17046</c:v>
                </c:pt>
                <c:pt idx="426">
                  <c:v>2564</c:v>
                </c:pt>
                <c:pt idx="427">
                  <c:v>10266</c:v>
                </c:pt>
                <c:pt idx="428">
                  <c:v>5070</c:v>
                </c:pt>
                <c:pt idx="429">
                  <c:v>17861</c:v>
                </c:pt>
                <c:pt idx="430">
                  <c:v>4230</c:v>
                </c:pt>
                <c:pt idx="431">
                  <c:v>3780</c:v>
                </c:pt>
                <c:pt idx="432">
                  <c:v>2768</c:v>
                </c:pt>
                <c:pt idx="433">
                  <c:v>9071</c:v>
                </c:pt>
                <c:pt idx="434">
                  <c:v>10648</c:v>
                </c:pt>
                <c:pt idx="435">
                  <c:v>13610</c:v>
                </c:pt>
                <c:pt idx="436">
                  <c:v>3408</c:v>
                </c:pt>
                <c:pt idx="437">
                  <c:v>2983</c:v>
                </c:pt>
                <c:pt idx="438">
                  <c:v>7632</c:v>
                </c:pt>
                <c:pt idx="439">
                  <c:v>9824</c:v>
                </c:pt>
                <c:pt idx="440">
                  <c:v>9950</c:v>
                </c:pt>
                <c:pt idx="441">
                  <c:v>2093</c:v>
                </c:pt>
                <c:pt idx="442">
                  <c:v>9980</c:v>
                </c:pt>
                <c:pt idx="443">
                  <c:v>3894</c:v>
                </c:pt>
                <c:pt idx="444">
                  <c:v>4051</c:v>
                </c:pt>
                <c:pt idx="445">
                  <c:v>16835</c:v>
                </c:pt>
                <c:pt idx="446">
                  <c:v>6230</c:v>
                </c:pt>
                <c:pt idx="447">
                  <c:v>4717</c:v>
                </c:pt>
                <c:pt idx="448">
                  <c:v>13237</c:v>
                </c:pt>
                <c:pt idx="449">
                  <c:v>3755</c:v>
                </c:pt>
                <c:pt idx="450">
                  <c:v>6582</c:v>
                </c:pt>
                <c:pt idx="451">
                  <c:v>7406</c:v>
                </c:pt>
                <c:pt idx="452">
                  <c:v>4805</c:v>
                </c:pt>
                <c:pt idx="453">
                  <c:v>2741</c:v>
                </c:pt>
                <c:pt idx="454">
                  <c:v>4262</c:v>
                </c:pt>
                <c:pt idx="455">
                  <c:v>16184</c:v>
                </c:pt>
                <c:pt idx="456">
                  <c:v>11557</c:v>
                </c:pt>
                <c:pt idx="457">
                  <c:v>1878</c:v>
                </c:pt>
                <c:pt idx="458">
                  <c:v>10932</c:v>
                </c:pt>
                <c:pt idx="459">
                  <c:v>6811</c:v>
                </c:pt>
                <c:pt idx="460">
                  <c:v>4306</c:v>
                </c:pt>
                <c:pt idx="461">
                  <c:v>4859</c:v>
                </c:pt>
                <c:pt idx="462">
                  <c:v>5337</c:v>
                </c:pt>
                <c:pt idx="463">
                  <c:v>2340</c:v>
                </c:pt>
                <c:pt idx="464">
                  <c:v>7491</c:v>
                </c:pt>
                <c:pt idx="465">
                  <c:v>10527</c:v>
                </c:pt>
                <c:pt idx="466">
                  <c:v>16595</c:v>
                </c:pt>
                <c:pt idx="467">
                  <c:v>8834</c:v>
                </c:pt>
                <c:pt idx="468">
                  <c:v>5577</c:v>
                </c:pt>
                <c:pt idx="469">
                  <c:v>4707</c:v>
                </c:pt>
                <c:pt idx="470">
                  <c:v>2400</c:v>
                </c:pt>
                <c:pt idx="471">
                  <c:v>9824</c:v>
                </c:pt>
                <c:pt idx="472">
                  <c:v>6447</c:v>
                </c:pt>
                <c:pt idx="473">
                  <c:v>19502</c:v>
                </c:pt>
                <c:pt idx="474">
                  <c:v>2725</c:v>
                </c:pt>
                <c:pt idx="475">
                  <c:v>6272</c:v>
                </c:pt>
                <c:pt idx="476">
                  <c:v>2127</c:v>
                </c:pt>
                <c:pt idx="477">
                  <c:v>18200</c:v>
                </c:pt>
                <c:pt idx="478">
                  <c:v>2096</c:v>
                </c:pt>
                <c:pt idx="479">
                  <c:v>2886</c:v>
                </c:pt>
                <c:pt idx="480">
                  <c:v>2033</c:v>
                </c:pt>
                <c:pt idx="481">
                  <c:v>3622</c:v>
                </c:pt>
                <c:pt idx="482">
                  <c:v>4233</c:v>
                </c:pt>
                <c:pt idx="483">
                  <c:v>3681</c:v>
                </c:pt>
                <c:pt idx="484">
                  <c:v>5460</c:v>
                </c:pt>
                <c:pt idx="485">
                  <c:v>2187</c:v>
                </c:pt>
                <c:pt idx="486">
                  <c:v>9602</c:v>
                </c:pt>
                <c:pt idx="487">
                  <c:v>2836</c:v>
                </c:pt>
                <c:pt idx="488">
                  <c:v>4089</c:v>
                </c:pt>
                <c:pt idx="489">
                  <c:v>16627</c:v>
                </c:pt>
                <c:pt idx="490">
                  <c:v>2619</c:v>
                </c:pt>
                <c:pt idx="491">
                  <c:v>5679</c:v>
                </c:pt>
                <c:pt idx="492">
                  <c:v>15402</c:v>
                </c:pt>
                <c:pt idx="493">
                  <c:v>5985</c:v>
                </c:pt>
                <c:pt idx="494">
                  <c:v>2579</c:v>
                </c:pt>
                <c:pt idx="495">
                  <c:v>3041</c:v>
                </c:pt>
                <c:pt idx="496">
                  <c:v>3447</c:v>
                </c:pt>
                <c:pt idx="497">
                  <c:v>19513</c:v>
                </c:pt>
                <c:pt idx="498">
                  <c:v>2773</c:v>
                </c:pt>
                <c:pt idx="499">
                  <c:v>7104</c:v>
                </c:pt>
                <c:pt idx="500">
                  <c:v>6322</c:v>
                </c:pt>
                <c:pt idx="501">
                  <c:v>2083</c:v>
                </c:pt>
                <c:pt idx="502">
                  <c:v>8381</c:v>
                </c:pt>
                <c:pt idx="503">
                  <c:v>2691</c:v>
                </c:pt>
                <c:pt idx="504">
                  <c:v>4286</c:v>
                </c:pt>
                <c:pt idx="505">
                  <c:v>2659</c:v>
                </c:pt>
                <c:pt idx="506">
                  <c:v>9434</c:v>
                </c:pt>
                <c:pt idx="507">
                  <c:v>5561</c:v>
                </c:pt>
                <c:pt idx="508">
                  <c:v>6646</c:v>
                </c:pt>
                <c:pt idx="509">
                  <c:v>7725</c:v>
                </c:pt>
                <c:pt idx="510">
                  <c:v>10725</c:v>
                </c:pt>
                <c:pt idx="511">
                  <c:v>8847</c:v>
                </c:pt>
                <c:pt idx="512">
                  <c:v>2045</c:v>
                </c:pt>
                <c:pt idx="513">
                  <c:v>1009</c:v>
                </c:pt>
                <c:pt idx="514">
                  <c:v>3348</c:v>
                </c:pt>
                <c:pt idx="515">
                  <c:v>1281</c:v>
                </c:pt>
                <c:pt idx="516">
                  <c:v>2819</c:v>
                </c:pt>
                <c:pt idx="517">
                  <c:v>4851</c:v>
                </c:pt>
                <c:pt idx="518">
                  <c:v>4028</c:v>
                </c:pt>
                <c:pt idx="519">
                  <c:v>2720</c:v>
                </c:pt>
                <c:pt idx="520">
                  <c:v>8120</c:v>
                </c:pt>
                <c:pt idx="521">
                  <c:v>4647</c:v>
                </c:pt>
                <c:pt idx="522">
                  <c:v>4680</c:v>
                </c:pt>
                <c:pt idx="523">
                  <c:v>3221</c:v>
                </c:pt>
                <c:pt idx="524">
                  <c:v>8621</c:v>
                </c:pt>
                <c:pt idx="525">
                  <c:v>4577</c:v>
                </c:pt>
                <c:pt idx="526">
                  <c:v>4553</c:v>
                </c:pt>
                <c:pt idx="527">
                  <c:v>5396</c:v>
                </c:pt>
                <c:pt idx="528">
                  <c:v>6796</c:v>
                </c:pt>
                <c:pt idx="529">
                  <c:v>7625</c:v>
                </c:pt>
                <c:pt idx="530">
                  <c:v>7412</c:v>
                </c:pt>
                <c:pt idx="531">
                  <c:v>11159</c:v>
                </c:pt>
                <c:pt idx="532">
                  <c:v>4960</c:v>
                </c:pt>
                <c:pt idx="533">
                  <c:v>10475</c:v>
                </c:pt>
                <c:pt idx="534">
                  <c:v>14814</c:v>
                </c:pt>
                <c:pt idx="535">
                  <c:v>19141</c:v>
                </c:pt>
                <c:pt idx="536">
                  <c:v>5405</c:v>
                </c:pt>
                <c:pt idx="537">
                  <c:v>8793</c:v>
                </c:pt>
                <c:pt idx="538">
                  <c:v>19189</c:v>
                </c:pt>
                <c:pt idx="539">
                  <c:v>3875</c:v>
                </c:pt>
                <c:pt idx="540">
                  <c:v>2216</c:v>
                </c:pt>
                <c:pt idx="541">
                  <c:v>11713</c:v>
                </c:pt>
                <c:pt idx="542">
                  <c:v>7861</c:v>
                </c:pt>
                <c:pt idx="543">
                  <c:v>3708</c:v>
                </c:pt>
                <c:pt idx="544">
                  <c:v>13770</c:v>
                </c:pt>
                <c:pt idx="545">
                  <c:v>5304</c:v>
                </c:pt>
                <c:pt idx="546">
                  <c:v>2642</c:v>
                </c:pt>
                <c:pt idx="547">
                  <c:v>2759</c:v>
                </c:pt>
                <c:pt idx="548">
                  <c:v>6804</c:v>
                </c:pt>
                <c:pt idx="549">
                  <c:v>6142</c:v>
                </c:pt>
                <c:pt idx="550">
                  <c:v>2500</c:v>
                </c:pt>
                <c:pt idx="551">
                  <c:v>6389</c:v>
                </c:pt>
                <c:pt idx="552">
                  <c:v>11103</c:v>
                </c:pt>
                <c:pt idx="553">
                  <c:v>2342</c:v>
                </c:pt>
                <c:pt idx="554">
                  <c:v>6811</c:v>
                </c:pt>
                <c:pt idx="555">
                  <c:v>2297</c:v>
                </c:pt>
                <c:pt idx="556">
                  <c:v>2450</c:v>
                </c:pt>
                <c:pt idx="557">
                  <c:v>5093</c:v>
                </c:pt>
                <c:pt idx="558">
                  <c:v>5309</c:v>
                </c:pt>
                <c:pt idx="559">
                  <c:v>3057</c:v>
                </c:pt>
                <c:pt idx="560">
                  <c:v>5121</c:v>
                </c:pt>
                <c:pt idx="561">
                  <c:v>16856</c:v>
                </c:pt>
                <c:pt idx="562">
                  <c:v>2686</c:v>
                </c:pt>
                <c:pt idx="563">
                  <c:v>6180</c:v>
                </c:pt>
                <c:pt idx="564">
                  <c:v>6632</c:v>
                </c:pt>
                <c:pt idx="565">
                  <c:v>3505</c:v>
                </c:pt>
                <c:pt idx="566">
                  <c:v>6397</c:v>
                </c:pt>
                <c:pt idx="567">
                  <c:v>6274</c:v>
                </c:pt>
                <c:pt idx="568">
                  <c:v>19859</c:v>
                </c:pt>
                <c:pt idx="569">
                  <c:v>7587</c:v>
                </c:pt>
                <c:pt idx="570">
                  <c:v>4258</c:v>
                </c:pt>
                <c:pt idx="571">
                  <c:v>4364</c:v>
                </c:pt>
                <c:pt idx="572">
                  <c:v>4335</c:v>
                </c:pt>
                <c:pt idx="573">
                  <c:v>5326</c:v>
                </c:pt>
                <c:pt idx="574">
                  <c:v>3280</c:v>
                </c:pt>
                <c:pt idx="575">
                  <c:v>5485</c:v>
                </c:pt>
                <c:pt idx="576">
                  <c:v>4342</c:v>
                </c:pt>
                <c:pt idx="577">
                  <c:v>2782</c:v>
                </c:pt>
                <c:pt idx="578">
                  <c:v>5980</c:v>
                </c:pt>
                <c:pt idx="579">
                  <c:v>4381</c:v>
                </c:pt>
                <c:pt idx="580">
                  <c:v>2572</c:v>
                </c:pt>
                <c:pt idx="581">
                  <c:v>3833</c:v>
                </c:pt>
                <c:pt idx="582">
                  <c:v>4244</c:v>
                </c:pt>
                <c:pt idx="583">
                  <c:v>6500</c:v>
                </c:pt>
                <c:pt idx="584">
                  <c:v>18430</c:v>
                </c:pt>
                <c:pt idx="585">
                  <c:v>1601</c:v>
                </c:pt>
                <c:pt idx="586">
                  <c:v>2694</c:v>
                </c:pt>
                <c:pt idx="587">
                  <c:v>3149</c:v>
                </c:pt>
                <c:pt idx="588">
                  <c:v>17639</c:v>
                </c:pt>
                <c:pt idx="589">
                  <c:v>2319</c:v>
                </c:pt>
                <c:pt idx="590">
                  <c:v>11691</c:v>
                </c:pt>
                <c:pt idx="591">
                  <c:v>5324</c:v>
                </c:pt>
                <c:pt idx="592">
                  <c:v>16752</c:v>
                </c:pt>
                <c:pt idx="593">
                  <c:v>5228</c:v>
                </c:pt>
                <c:pt idx="594">
                  <c:v>2700</c:v>
                </c:pt>
                <c:pt idx="595">
                  <c:v>19246</c:v>
                </c:pt>
                <c:pt idx="596">
                  <c:v>2506</c:v>
                </c:pt>
                <c:pt idx="597">
                  <c:v>6062</c:v>
                </c:pt>
                <c:pt idx="598">
                  <c:v>4382</c:v>
                </c:pt>
                <c:pt idx="599">
                  <c:v>2143</c:v>
                </c:pt>
                <c:pt idx="600">
                  <c:v>6162</c:v>
                </c:pt>
                <c:pt idx="601">
                  <c:v>5094</c:v>
                </c:pt>
                <c:pt idx="602">
                  <c:v>6877</c:v>
                </c:pt>
                <c:pt idx="603">
                  <c:v>2274</c:v>
                </c:pt>
                <c:pt idx="604">
                  <c:v>4434</c:v>
                </c:pt>
                <c:pt idx="605">
                  <c:v>6288</c:v>
                </c:pt>
                <c:pt idx="606">
                  <c:v>2553</c:v>
                </c:pt>
                <c:pt idx="607">
                  <c:v>7654</c:v>
                </c:pt>
                <c:pt idx="608">
                  <c:v>5160</c:v>
                </c:pt>
                <c:pt idx="609">
                  <c:v>17159</c:v>
                </c:pt>
                <c:pt idx="610">
                  <c:v>12808</c:v>
                </c:pt>
                <c:pt idx="611">
                  <c:v>10221</c:v>
                </c:pt>
                <c:pt idx="612">
                  <c:v>4779</c:v>
                </c:pt>
                <c:pt idx="613">
                  <c:v>3737</c:v>
                </c:pt>
                <c:pt idx="614">
                  <c:v>2366</c:v>
                </c:pt>
                <c:pt idx="615">
                  <c:v>1706</c:v>
                </c:pt>
                <c:pt idx="616">
                  <c:v>16307</c:v>
                </c:pt>
                <c:pt idx="617">
                  <c:v>5933</c:v>
                </c:pt>
                <c:pt idx="618">
                  <c:v>3424</c:v>
                </c:pt>
                <c:pt idx="619">
                  <c:v>4037</c:v>
                </c:pt>
                <c:pt idx="620">
                  <c:v>2559</c:v>
                </c:pt>
                <c:pt idx="621">
                  <c:v>6201</c:v>
                </c:pt>
                <c:pt idx="622">
                  <c:v>4403</c:v>
                </c:pt>
                <c:pt idx="623">
                  <c:v>3761</c:v>
                </c:pt>
                <c:pt idx="624">
                  <c:v>10934</c:v>
                </c:pt>
                <c:pt idx="625">
                  <c:v>10761</c:v>
                </c:pt>
                <c:pt idx="626">
                  <c:v>5175</c:v>
                </c:pt>
                <c:pt idx="627">
                  <c:v>13826</c:v>
                </c:pt>
                <c:pt idx="628">
                  <c:v>6334</c:v>
                </c:pt>
                <c:pt idx="629">
                  <c:v>4936</c:v>
                </c:pt>
                <c:pt idx="630">
                  <c:v>4775</c:v>
                </c:pt>
                <c:pt idx="631">
                  <c:v>2818</c:v>
                </c:pt>
                <c:pt idx="632">
                  <c:v>2515</c:v>
                </c:pt>
                <c:pt idx="633">
                  <c:v>2342</c:v>
                </c:pt>
                <c:pt idx="634">
                  <c:v>4194</c:v>
                </c:pt>
                <c:pt idx="635">
                  <c:v>10685</c:v>
                </c:pt>
                <c:pt idx="636">
                  <c:v>2022</c:v>
                </c:pt>
                <c:pt idx="637">
                  <c:v>2314</c:v>
                </c:pt>
                <c:pt idx="638">
                  <c:v>4256</c:v>
                </c:pt>
                <c:pt idx="639">
                  <c:v>3580</c:v>
                </c:pt>
                <c:pt idx="640">
                  <c:v>3162</c:v>
                </c:pt>
                <c:pt idx="641">
                  <c:v>6524</c:v>
                </c:pt>
                <c:pt idx="642">
                  <c:v>2899</c:v>
                </c:pt>
                <c:pt idx="643">
                  <c:v>5231</c:v>
                </c:pt>
                <c:pt idx="644">
                  <c:v>2356</c:v>
                </c:pt>
                <c:pt idx="645">
                  <c:v>2800</c:v>
                </c:pt>
                <c:pt idx="646">
                  <c:v>11836</c:v>
                </c:pt>
                <c:pt idx="647">
                  <c:v>10903</c:v>
                </c:pt>
                <c:pt idx="648">
                  <c:v>2973</c:v>
                </c:pt>
                <c:pt idx="649">
                  <c:v>14275</c:v>
                </c:pt>
                <c:pt idx="650">
                  <c:v>5562</c:v>
                </c:pt>
                <c:pt idx="651">
                  <c:v>4537</c:v>
                </c:pt>
                <c:pt idx="652">
                  <c:v>7642</c:v>
                </c:pt>
                <c:pt idx="653">
                  <c:v>17924</c:v>
                </c:pt>
                <c:pt idx="654">
                  <c:v>5204</c:v>
                </c:pt>
                <c:pt idx="655">
                  <c:v>2277</c:v>
                </c:pt>
                <c:pt idx="656">
                  <c:v>2795</c:v>
                </c:pt>
                <c:pt idx="657">
                  <c:v>2532</c:v>
                </c:pt>
                <c:pt idx="658">
                  <c:v>2559</c:v>
                </c:pt>
                <c:pt idx="659">
                  <c:v>4908</c:v>
                </c:pt>
                <c:pt idx="660">
                  <c:v>2380</c:v>
                </c:pt>
                <c:pt idx="661">
                  <c:v>4765</c:v>
                </c:pt>
                <c:pt idx="662">
                  <c:v>2044</c:v>
                </c:pt>
                <c:pt idx="663">
                  <c:v>2693</c:v>
                </c:pt>
                <c:pt idx="664">
                  <c:v>6586</c:v>
                </c:pt>
                <c:pt idx="665">
                  <c:v>3294</c:v>
                </c:pt>
                <c:pt idx="666">
                  <c:v>4171</c:v>
                </c:pt>
                <c:pt idx="667">
                  <c:v>2778</c:v>
                </c:pt>
                <c:pt idx="668">
                  <c:v>2377</c:v>
                </c:pt>
                <c:pt idx="669">
                  <c:v>2404</c:v>
                </c:pt>
                <c:pt idx="670">
                  <c:v>2318</c:v>
                </c:pt>
                <c:pt idx="671">
                  <c:v>2008</c:v>
                </c:pt>
                <c:pt idx="672">
                  <c:v>6244</c:v>
                </c:pt>
                <c:pt idx="673">
                  <c:v>2799</c:v>
                </c:pt>
                <c:pt idx="674">
                  <c:v>10552</c:v>
                </c:pt>
                <c:pt idx="675">
                  <c:v>2329</c:v>
                </c:pt>
                <c:pt idx="676">
                  <c:v>4014</c:v>
                </c:pt>
                <c:pt idx="677">
                  <c:v>7403</c:v>
                </c:pt>
                <c:pt idx="678">
                  <c:v>2259</c:v>
                </c:pt>
                <c:pt idx="679">
                  <c:v>6932</c:v>
                </c:pt>
                <c:pt idx="680">
                  <c:v>4678</c:v>
                </c:pt>
                <c:pt idx="681">
                  <c:v>13582</c:v>
                </c:pt>
                <c:pt idx="682">
                  <c:v>2332</c:v>
                </c:pt>
                <c:pt idx="683">
                  <c:v>2413</c:v>
                </c:pt>
                <c:pt idx="684">
                  <c:v>9705</c:v>
                </c:pt>
                <c:pt idx="685">
                  <c:v>4294</c:v>
                </c:pt>
                <c:pt idx="686">
                  <c:v>4721</c:v>
                </c:pt>
                <c:pt idx="687">
                  <c:v>2519</c:v>
                </c:pt>
                <c:pt idx="688">
                  <c:v>2121</c:v>
                </c:pt>
                <c:pt idx="689">
                  <c:v>2973</c:v>
                </c:pt>
                <c:pt idx="690">
                  <c:v>5855</c:v>
                </c:pt>
                <c:pt idx="691">
                  <c:v>3617</c:v>
                </c:pt>
                <c:pt idx="692">
                  <c:v>6725</c:v>
                </c:pt>
                <c:pt idx="693">
                  <c:v>10325</c:v>
                </c:pt>
                <c:pt idx="694">
                  <c:v>6949</c:v>
                </c:pt>
                <c:pt idx="695">
                  <c:v>10609</c:v>
                </c:pt>
                <c:pt idx="696">
                  <c:v>4447</c:v>
                </c:pt>
                <c:pt idx="697">
                  <c:v>2157</c:v>
                </c:pt>
                <c:pt idx="698">
                  <c:v>4601</c:v>
                </c:pt>
                <c:pt idx="699">
                  <c:v>17099</c:v>
                </c:pt>
                <c:pt idx="700">
                  <c:v>2479</c:v>
                </c:pt>
                <c:pt idx="701">
                  <c:v>14852</c:v>
                </c:pt>
                <c:pt idx="702">
                  <c:v>7264</c:v>
                </c:pt>
                <c:pt idx="703">
                  <c:v>5666</c:v>
                </c:pt>
                <c:pt idx="704">
                  <c:v>7823</c:v>
                </c:pt>
                <c:pt idx="705">
                  <c:v>7880</c:v>
                </c:pt>
                <c:pt idx="706">
                  <c:v>13194</c:v>
                </c:pt>
                <c:pt idx="707">
                  <c:v>5067</c:v>
                </c:pt>
                <c:pt idx="708">
                  <c:v>5079</c:v>
                </c:pt>
                <c:pt idx="709">
                  <c:v>2321</c:v>
                </c:pt>
                <c:pt idx="710">
                  <c:v>17444</c:v>
                </c:pt>
                <c:pt idx="711">
                  <c:v>2404</c:v>
                </c:pt>
                <c:pt idx="712">
                  <c:v>3452</c:v>
                </c:pt>
                <c:pt idx="713">
                  <c:v>2270</c:v>
                </c:pt>
                <c:pt idx="714">
                  <c:v>17399</c:v>
                </c:pt>
                <c:pt idx="715">
                  <c:v>5488</c:v>
                </c:pt>
                <c:pt idx="716">
                  <c:v>19419</c:v>
                </c:pt>
                <c:pt idx="717">
                  <c:v>2811</c:v>
                </c:pt>
                <c:pt idx="718">
                  <c:v>3633</c:v>
                </c:pt>
                <c:pt idx="719">
                  <c:v>4163</c:v>
                </c:pt>
                <c:pt idx="720">
                  <c:v>2132</c:v>
                </c:pt>
                <c:pt idx="721">
                  <c:v>13973</c:v>
                </c:pt>
                <c:pt idx="722">
                  <c:v>2684</c:v>
                </c:pt>
                <c:pt idx="723">
                  <c:v>10845</c:v>
                </c:pt>
                <c:pt idx="724">
                  <c:v>4377</c:v>
                </c:pt>
                <c:pt idx="725">
                  <c:v>3743</c:v>
                </c:pt>
                <c:pt idx="726">
                  <c:v>4148</c:v>
                </c:pt>
                <c:pt idx="727">
                  <c:v>1051</c:v>
                </c:pt>
                <c:pt idx="728">
                  <c:v>10739</c:v>
                </c:pt>
                <c:pt idx="729">
                  <c:v>10388</c:v>
                </c:pt>
                <c:pt idx="730">
                  <c:v>11416</c:v>
                </c:pt>
                <c:pt idx="731">
                  <c:v>2600</c:v>
                </c:pt>
                <c:pt idx="732">
                  <c:v>2422</c:v>
                </c:pt>
                <c:pt idx="733">
                  <c:v>5472</c:v>
                </c:pt>
                <c:pt idx="734">
                  <c:v>2451</c:v>
                </c:pt>
                <c:pt idx="735">
                  <c:v>4240</c:v>
                </c:pt>
                <c:pt idx="736">
                  <c:v>10999</c:v>
                </c:pt>
                <c:pt idx="737">
                  <c:v>5003</c:v>
                </c:pt>
                <c:pt idx="738">
                  <c:v>12742</c:v>
                </c:pt>
                <c:pt idx="739">
                  <c:v>4227</c:v>
                </c:pt>
                <c:pt idx="740">
                  <c:v>3917</c:v>
                </c:pt>
                <c:pt idx="741">
                  <c:v>18303</c:v>
                </c:pt>
                <c:pt idx="742">
                  <c:v>2380</c:v>
                </c:pt>
                <c:pt idx="743">
                  <c:v>13726</c:v>
                </c:pt>
                <c:pt idx="744">
                  <c:v>4777</c:v>
                </c:pt>
                <c:pt idx="745">
                  <c:v>6385</c:v>
                </c:pt>
                <c:pt idx="746">
                  <c:v>19973</c:v>
                </c:pt>
                <c:pt idx="747">
                  <c:v>6861</c:v>
                </c:pt>
                <c:pt idx="748">
                  <c:v>4969</c:v>
                </c:pt>
                <c:pt idx="749">
                  <c:v>19845</c:v>
                </c:pt>
                <c:pt idx="750">
                  <c:v>13320</c:v>
                </c:pt>
                <c:pt idx="751">
                  <c:v>6347</c:v>
                </c:pt>
                <c:pt idx="752">
                  <c:v>2743</c:v>
                </c:pt>
                <c:pt idx="753">
                  <c:v>10880</c:v>
                </c:pt>
                <c:pt idx="754">
                  <c:v>2342</c:v>
                </c:pt>
                <c:pt idx="755">
                  <c:v>17650</c:v>
                </c:pt>
                <c:pt idx="756">
                  <c:v>4025</c:v>
                </c:pt>
                <c:pt idx="757">
                  <c:v>9725</c:v>
                </c:pt>
                <c:pt idx="758">
                  <c:v>11904</c:v>
                </c:pt>
                <c:pt idx="759">
                  <c:v>2177</c:v>
                </c:pt>
                <c:pt idx="760">
                  <c:v>7525</c:v>
                </c:pt>
                <c:pt idx="761">
                  <c:v>4834</c:v>
                </c:pt>
                <c:pt idx="762">
                  <c:v>2042</c:v>
                </c:pt>
                <c:pt idx="763">
                  <c:v>2220</c:v>
                </c:pt>
                <c:pt idx="764">
                  <c:v>1052</c:v>
                </c:pt>
                <c:pt idx="765">
                  <c:v>2821</c:v>
                </c:pt>
                <c:pt idx="766">
                  <c:v>19237</c:v>
                </c:pt>
                <c:pt idx="767">
                  <c:v>4107</c:v>
                </c:pt>
                <c:pt idx="768">
                  <c:v>8396</c:v>
                </c:pt>
                <c:pt idx="769">
                  <c:v>2007</c:v>
                </c:pt>
                <c:pt idx="770">
                  <c:v>19627</c:v>
                </c:pt>
                <c:pt idx="771">
                  <c:v>10686</c:v>
                </c:pt>
                <c:pt idx="772">
                  <c:v>2942</c:v>
                </c:pt>
                <c:pt idx="773">
                  <c:v>8858</c:v>
                </c:pt>
                <c:pt idx="774">
                  <c:v>16756</c:v>
                </c:pt>
                <c:pt idx="775">
                  <c:v>10798</c:v>
                </c:pt>
                <c:pt idx="776">
                  <c:v>2323</c:v>
                </c:pt>
                <c:pt idx="777">
                  <c:v>1416</c:v>
                </c:pt>
                <c:pt idx="778">
                  <c:v>4615</c:v>
                </c:pt>
                <c:pt idx="779">
                  <c:v>2461</c:v>
                </c:pt>
                <c:pt idx="780">
                  <c:v>8722</c:v>
                </c:pt>
                <c:pt idx="781">
                  <c:v>3955</c:v>
                </c:pt>
                <c:pt idx="782">
                  <c:v>9957</c:v>
                </c:pt>
                <c:pt idx="783">
                  <c:v>3376</c:v>
                </c:pt>
                <c:pt idx="784">
                  <c:v>8823</c:v>
                </c:pt>
                <c:pt idx="785">
                  <c:v>10322</c:v>
                </c:pt>
                <c:pt idx="786">
                  <c:v>4621</c:v>
                </c:pt>
                <c:pt idx="787">
                  <c:v>10976</c:v>
                </c:pt>
                <c:pt idx="788">
                  <c:v>3660</c:v>
                </c:pt>
                <c:pt idx="789">
                  <c:v>10482</c:v>
                </c:pt>
                <c:pt idx="790">
                  <c:v>7119</c:v>
                </c:pt>
                <c:pt idx="791">
                  <c:v>9582</c:v>
                </c:pt>
                <c:pt idx="792">
                  <c:v>4508</c:v>
                </c:pt>
                <c:pt idx="793">
                  <c:v>2207</c:v>
                </c:pt>
                <c:pt idx="794">
                  <c:v>7756</c:v>
                </c:pt>
                <c:pt idx="795">
                  <c:v>6694</c:v>
                </c:pt>
                <c:pt idx="796">
                  <c:v>3691</c:v>
                </c:pt>
                <c:pt idx="797">
                  <c:v>2377</c:v>
                </c:pt>
                <c:pt idx="798">
                  <c:v>2313</c:v>
                </c:pt>
                <c:pt idx="799">
                  <c:v>17665</c:v>
                </c:pt>
                <c:pt idx="800">
                  <c:v>2596</c:v>
                </c:pt>
                <c:pt idx="801">
                  <c:v>4728</c:v>
                </c:pt>
                <c:pt idx="802">
                  <c:v>4302</c:v>
                </c:pt>
                <c:pt idx="803">
                  <c:v>2979</c:v>
                </c:pt>
                <c:pt idx="804">
                  <c:v>16885</c:v>
                </c:pt>
                <c:pt idx="805">
                  <c:v>5593</c:v>
                </c:pt>
                <c:pt idx="806">
                  <c:v>10445</c:v>
                </c:pt>
                <c:pt idx="807">
                  <c:v>8740</c:v>
                </c:pt>
                <c:pt idx="808">
                  <c:v>2514</c:v>
                </c:pt>
                <c:pt idx="809">
                  <c:v>7655</c:v>
                </c:pt>
                <c:pt idx="810">
                  <c:v>17465</c:v>
                </c:pt>
                <c:pt idx="811">
                  <c:v>7351</c:v>
                </c:pt>
                <c:pt idx="812">
                  <c:v>10820</c:v>
                </c:pt>
                <c:pt idx="813">
                  <c:v>12169</c:v>
                </c:pt>
                <c:pt idx="814">
                  <c:v>19626</c:v>
                </c:pt>
                <c:pt idx="815">
                  <c:v>2070</c:v>
                </c:pt>
                <c:pt idx="816">
                  <c:v>6782</c:v>
                </c:pt>
                <c:pt idx="817">
                  <c:v>7779</c:v>
                </c:pt>
                <c:pt idx="818">
                  <c:v>2791</c:v>
                </c:pt>
                <c:pt idx="819">
                  <c:v>3201</c:v>
                </c:pt>
                <c:pt idx="820">
                  <c:v>4968</c:v>
                </c:pt>
                <c:pt idx="821">
                  <c:v>13120</c:v>
                </c:pt>
                <c:pt idx="822">
                  <c:v>4033</c:v>
                </c:pt>
                <c:pt idx="823">
                  <c:v>3291</c:v>
                </c:pt>
                <c:pt idx="824">
                  <c:v>4272</c:v>
                </c:pt>
                <c:pt idx="825">
                  <c:v>5056</c:v>
                </c:pt>
                <c:pt idx="826">
                  <c:v>2844</c:v>
                </c:pt>
                <c:pt idx="827">
                  <c:v>2703</c:v>
                </c:pt>
                <c:pt idx="828">
                  <c:v>1904</c:v>
                </c:pt>
                <c:pt idx="829">
                  <c:v>8224</c:v>
                </c:pt>
                <c:pt idx="830">
                  <c:v>4766</c:v>
                </c:pt>
                <c:pt idx="831">
                  <c:v>2610</c:v>
                </c:pt>
                <c:pt idx="832">
                  <c:v>5731</c:v>
                </c:pt>
                <c:pt idx="833">
                  <c:v>2539</c:v>
                </c:pt>
                <c:pt idx="834">
                  <c:v>5714</c:v>
                </c:pt>
                <c:pt idx="835">
                  <c:v>4323</c:v>
                </c:pt>
                <c:pt idx="836">
                  <c:v>7336</c:v>
                </c:pt>
                <c:pt idx="837">
                  <c:v>13499</c:v>
                </c:pt>
                <c:pt idx="838">
                  <c:v>13758</c:v>
                </c:pt>
                <c:pt idx="839">
                  <c:v>5155</c:v>
                </c:pt>
                <c:pt idx="840">
                  <c:v>2258</c:v>
                </c:pt>
                <c:pt idx="841">
                  <c:v>3597</c:v>
                </c:pt>
                <c:pt idx="842">
                  <c:v>2515</c:v>
                </c:pt>
                <c:pt idx="843">
                  <c:v>4420</c:v>
                </c:pt>
                <c:pt idx="844">
                  <c:v>6578</c:v>
                </c:pt>
                <c:pt idx="845">
                  <c:v>4422</c:v>
                </c:pt>
                <c:pt idx="846">
                  <c:v>10274</c:v>
                </c:pt>
                <c:pt idx="847">
                  <c:v>5343</c:v>
                </c:pt>
                <c:pt idx="848">
                  <c:v>2376</c:v>
                </c:pt>
                <c:pt idx="849">
                  <c:v>5346</c:v>
                </c:pt>
                <c:pt idx="850">
                  <c:v>2827</c:v>
                </c:pt>
                <c:pt idx="851">
                  <c:v>19943</c:v>
                </c:pt>
                <c:pt idx="852">
                  <c:v>3131</c:v>
                </c:pt>
                <c:pt idx="853">
                  <c:v>2552</c:v>
                </c:pt>
                <c:pt idx="854">
                  <c:v>4477</c:v>
                </c:pt>
                <c:pt idx="855">
                  <c:v>6474</c:v>
                </c:pt>
                <c:pt idx="856">
                  <c:v>3033</c:v>
                </c:pt>
                <c:pt idx="857">
                  <c:v>2936</c:v>
                </c:pt>
                <c:pt idx="858">
                  <c:v>18606</c:v>
                </c:pt>
                <c:pt idx="859">
                  <c:v>2168</c:v>
                </c:pt>
                <c:pt idx="860">
                  <c:v>2853</c:v>
                </c:pt>
                <c:pt idx="861">
                  <c:v>17048</c:v>
                </c:pt>
                <c:pt idx="862">
                  <c:v>2290</c:v>
                </c:pt>
                <c:pt idx="863">
                  <c:v>3600</c:v>
                </c:pt>
                <c:pt idx="864">
                  <c:v>2107</c:v>
                </c:pt>
                <c:pt idx="865">
                  <c:v>4115</c:v>
                </c:pt>
                <c:pt idx="866">
                  <c:v>4327</c:v>
                </c:pt>
                <c:pt idx="867">
                  <c:v>17856</c:v>
                </c:pt>
                <c:pt idx="868">
                  <c:v>3196</c:v>
                </c:pt>
                <c:pt idx="869">
                  <c:v>19081</c:v>
                </c:pt>
                <c:pt idx="870">
                  <c:v>8966</c:v>
                </c:pt>
                <c:pt idx="871">
                  <c:v>2210</c:v>
                </c:pt>
                <c:pt idx="872">
                  <c:v>4539</c:v>
                </c:pt>
                <c:pt idx="873">
                  <c:v>2741</c:v>
                </c:pt>
                <c:pt idx="874">
                  <c:v>3491</c:v>
                </c:pt>
                <c:pt idx="875">
                  <c:v>4541</c:v>
                </c:pt>
                <c:pt idx="876">
                  <c:v>2678</c:v>
                </c:pt>
                <c:pt idx="877">
                  <c:v>7379</c:v>
                </c:pt>
                <c:pt idx="878">
                  <c:v>6272</c:v>
                </c:pt>
                <c:pt idx="879">
                  <c:v>5220</c:v>
                </c:pt>
                <c:pt idx="880">
                  <c:v>2743</c:v>
                </c:pt>
                <c:pt idx="881">
                  <c:v>4998</c:v>
                </c:pt>
                <c:pt idx="882">
                  <c:v>10252</c:v>
                </c:pt>
                <c:pt idx="883">
                  <c:v>2781</c:v>
                </c:pt>
                <c:pt idx="884">
                  <c:v>6852</c:v>
                </c:pt>
                <c:pt idx="885">
                  <c:v>4950</c:v>
                </c:pt>
                <c:pt idx="886">
                  <c:v>3579</c:v>
                </c:pt>
                <c:pt idx="887">
                  <c:v>13191</c:v>
                </c:pt>
                <c:pt idx="888">
                  <c:v>10377</c:v>
                </c:pt>
                <c:pt idx="889">
                  <c:v>2235</c:v>
                </c:pt>
                <c:pt idx="890">
                  <c:v>10502</c:v>
                </c:pt>
                <c:pt idx="891">
                  <c:v>2011</c:v>
                </c:pt>
                <c:pt idx="892">
                  <c:v>1859</c:v>
                </c:pt>
                <c:pt idx="893">
                  <c:v>3760</c:v>
                </c:pt>
                <c:pt idx="894">
                  <c:v>17779</c:v>
                </c:pt>
                <c:pt idx="895">
                  <c:v>6833</c:v>
                </c:pt>
                <c:pt idx="896">
                  <c:v>6812</c:v>
                </c:pt>
                <c:pt idx="897">
                  <c:v>5171</c:v>
                </c:pt>
                <c:pt idx="898">
                  <c:v>19740</c:v>
                </c:pt>
                <c:pt idx="899">
                  <c:v>18711</c:v>
                </c:pt>
                <c:pt idx="900">
                  <c:v>3692</c:v>
                </c:pt>
                <c:pt idx="901">
                  <c:v>2559</c:v>
                </c:pt>
                <c:pt idx="902">
                  <c:v>2517</c:v>
                </c:pt>
                <c:pt idx="903">
                  <c:v>6623</c:v>
                </c:pt>
                <c:pt idx="904">
                  <c:v>18265</c:v>
                </c:pt>
                <c:pt idx="905">
                  <c:v>16124</c:v>
                </c:pt>
                <c:pt idx="906">
                  <c:v>2585</c:v>
                </c:pt>
                <c:pt idx="907">
                  <c:v>18213</c:v>
                </c:pt>
                <c:pt idx="908">
                  <c:v>8380</c:v>
                </c:pt>
                <c:pt idx="909">
                  <c:v>2994</c:v>
                </c:pt>
                <c:pt idx="910">
                  <c:v>1223</c:v>
                </c:pt>
                <c:pt idx="911">
                  <c:v>1118</c:v>
                </c:pt>
                <c:pt idx="912">
                  <c:v>2875</c:v>
                </c:pt>
                <c:pt idx="913">
                  <c:v>18824</c:v>
                </c:pt>
                <c:pt idx="914">
                  <c:v>13577</c:v>
                </c:pt>
                <c:pt idx="915">
                  <c:v>2625</c:v>
                </c:pt>
                <c:pt idx="916">
                  <c:v>18789</c:v>
                </c:pt>
                <c:pt idx="917">
                  <c:v>4538</c:v>
                </c:pt>
                <c:pt idx="918">
                  <c:v>19847</c:v>
                </c:pt>
                <c:pt idx="919">
                  <c:v>10512</c:v>
                </c:pt>
                <c:pt idx="920">
                  <c:v>4444</c:v>
                </c:pt>
                <c:pt idx="921">
                  <c:v>2154</c:v>
                </c:pt>
                <c:pt idx="922">
                  <c:v>19190</c:v>
                </c:pt>
                <c:pt idx="923">
                  <c:v>4490</c:v>
                </c:pt>
                <c:pt idx="924">
                  <c:v>3506</c:v>
                </c:pt>
                <c:pt idx="925">
                  <c:v>2372</c:v>
                </c:pt>
                <c:pt idx="926">
                  <c:v>10231</c:v>
                </c:pt>
                <c:pt idx="927">
                  <c:v>5410</c:v>
                </c:pt>
                <c:pt idx="928">
                  <c:v>7978</c:v>
                </c:pt>
                <c:pt idx="929">
                  <c:v>3867</c:v>
                </c:pt>
                <c:pt idx="930">
                  <c:v>2838</c:v>
                </c:pt>
                <c:pt idx="931">
                  <c:v>4695</c:v>
                </c:pt>
                <c:pt idx="932">
                  <c:v>3339</c:v>
                </c:pt>
                <c:pt idx="933">
                  <c:v>2080</c:v>
                </c:pt>
                <c:pt idx="934">
                  <c:v>2096</c:v>
                </c:pt>
                <c:pt idx="935">
                  <c:v>6209</c:v>
                </c:pt>
                <c:pt idx="936">
                  <c:v>18061</c:v>
                </c:pt>
                <c:pt idx="937">
                  <c:v>17123</c:v>
                </c:pt>
                <c:pt idx="938">
                  <c:v>2372</c:v>
                </c:pt>
                <c:pt idx="939">
                  <c:v>4883</c:v>
                </c:pt>
                <c:pt idx="940">
                  <c:v>3904</c:v>
                </c:pt>
                <c:pt idx="941">
                  <c:v>4627</c:v>
                </c:pt>
                <c:pt idx="942">
                  <c:v>7094</c:v>
                </c:pt>
                <c:pt idx="943">
                  <c:v>3423</c:v>
                </c:pt>
                <c:pt idx="944">
                  <c:v>6674</c:v>
                </c:pt>
                <c:pt idx="945">
                  <c:v>16880</c:v>
                </c:pt>
                <c:pt idx="946">
                  <c:v>9094</c:v>
                </c:pt>
                <c:pt idx="947">
                  <c:v>8446</c:v>
                </c:pt>
                <c:pt idx="948">
                  <c:v>11916</c:v>
                </c:pt>
                <c:pt idx="949">
                  <c:v>4534</c:v>
                </c:pt>
                <c:pt idx="950">
                  <c:v>9852</c:v>
                </c:pt>
                <c:pt idx="951">
                  <c:v>6151</c:v>
                </c:pt>
                <c:pt idx="952">
                  <c:v>2302</c:v>
                </c:pt>
                <c:pt idx="953">
                  <c:v>2362</c:v>
                </c:pt>
                <c:pt idx="954">
                  <c:v>17861</c:v>
                </c:pt>
                <c:pt idx="955">
                  <c:v>19187</c:v>
                </c:pt>
                <c:pt idx="956">
                  <c:v>19717</c:v>
                </c:pt>
                <c:pt idx="957">
                  <c:v>3544</c:v>
                </c:pt>
                <c:pt idx="958">
                  <c:v>8500</c:v>
                </c:pt>
                <c:pt idx="959">
                  <c:v>4661</c:v>
                </c:pt>
                <c:pt idx="960">
                  <c:v>4103</c:v>
                </c:pt>
                <c:pt idx="961">
                  <c:v>4249</c:v>
                </c:pt>
                <c:pt idx="962">
                  <c:v>14026</c:v>
                </c:pt>
                <c:pt idx="963">
                  <c:v>6893</c:v>
                </c:pt>
                <c:pt idx="964">
                  <c:v>6125</c:v>
                </c:pt>
                <c:pt idx="965">
                  <c:v>3669</c:v>
                </c:pt>
                <c:pt idx="966">
                  <c:v>10008</c:v>
                </c:pt>
                <c:pt idx="967">
                  <c:v>2387</c:v>
                </c:pt>
                <c:pt idx="968">
                  <c:v>4639</c:v>
                </c:pt>
                <c:pt idx="969">
                  <c:v>7898</c:v>
                </c:pt>
                <c:pt idx="970">
                  <c:v>2534</c:v>
                </c:pt>
                <c:pt idx="971">
                  <c:v>13142</c:v>
                </c:pt>
                <c:pt idx="972">
                  <c:v>1611</c:v>
                </c:pt>
                <c:pt idx="973">
                  <c:v>5363</c:v>
                </c:pt>
                <c:pt idx="974">
                  <c:v>5071</c:v>
                </c:pt>
                <c:pt idx="975">
                  <c:v>13695</c:v>
                </c:pt>
                <c:pt idx="976">
                  <c:v>13402</c:v>
                </c:pt>
                <c:pt idx="977">
                  <c:v>2029</c:v>
                </c:pt>
                <c:pt idx="978">
                  <c:v>6377</c:v>
                </c:pt>
                <c:pt idx="979">
                  <c:v>5429</c:v>
                </c:pt>
                <c:pt idx="980">
                  <c:v>2785</c:v>
                </c:pt>
                <c:pt idx="981">
                  <c:v>4614</c:v>
                </c:pt>
                <c:pt idx="982">
                  <c:v>2610</c:v>
                </c:pt>
                <c:pt idx="983">
                  <c:v>6687</c:v>
                </c:pt>
                <c:pt idx="984">
                  <c:v>4724</c:v>
                </c:pt>
                <c:pt idx="985">
                  <c:v>6179</c:v>
                </c:pt>
                <c:pt idx="986">
                  <c:v>6120</c:v>
                </c:pt>
                <c:pt idx="987">
                  <c:v>10596</c:v>
                </c:pt>
                <c:pt idx="988">
                  <c:v>5467</c:v>
                </c:pt>
                <c:pt idx="989">
                  <c:v>2996</c:v>
                </c:pt>
                <c:pt idx="990">
                  <c:v>9998</c:v>
                </c:pt>
                <c:pt idx="991">
                  <c:v>4078</c:v>
                </c:pt>
                <c:pt idx="992">
                  <c:v>10920</c:v>
                </c:pt>
                <c:pt idx="993">
                  <c:v>6232</c:v>
                </c:pt>
                <c:pt idx="994">
                  <c:v>13247</c:v>
                </c:pt>
                <c:pt idx="995">
                  <c:v>4081</c:v>
                </c:pt>
                <c:pt idx="996">
                  <c:v>5769</c:v>
                </c:pt>
                <c:pt idx="997">
                  <c:v>2394</c:v>
                </c:pt>
                <c:pt idx="998">
                  <c:v>3904</c:v>
                </c:pt>
                <c:pt idx="999">
                  <c:v>16799</c:v>
                </c:pt>
                <c:pt idx="1000">
                  <c:v>2950</c:v>
                </c:pt>
                <c:pt idx="1001">
                  <c:v>3629</c:v>
                </c:pt>
                <c:pt idx="1002">
                  <c:v>9362</c:v>
                </c:pt>
                <c:pt idx="1003">
                  <c:v>3229</c:v>
                </c:pt>
                <c:pt idx="1004">
                  <c:v>3578</c:v>
                </c:pt>
                <c:pt idx="1005">
                  <c:v>7988</c:v>
                </c:pt>
                <c:pt idx="1006">
                  <c:v>4284</c:v>
                </c:pt>
                <c:pt idx="1007">
                  <c:v>7553</c:v>
                </c:pt>
                <c:pt idx="1008">
                  <c:v>17328</c:v>
                </c:pt>
                <c:pt idx="1009">
                  <c:v>19701</c:v>
                </c:pt>
                <c:pt idx="1010">
                  <c:v>14732</c:v>
                </c:pt>
                <c:pt idx="1011">
                  <c:v>9278</c:v>
                </c:pt>
                <c:pt idx="1012">
                  <c:v>1359</c:v>
                </c:pt>
                <c:pt idx="1013">
                  <c:v>4779</c:v>
                </c:pt>
                <c:pt idx="1014">
                  <c:v>16422</c:v>
                </c:pt>
                <c:pt idx="1015">
                  <c:v>2996</c:v>
                </c:pt>
                <c:pt idx="1016">
                  <c:v>1261</c:v>
                </c:pt>
                <c:pt idx="1017">
                  <c:v>2099</c:v>
                </c:pt>
                <c:pt idx="1018">
                  <c:v>5810</c:v>
                </c:pt>
                <c:pt idx="1019">
                  <c:v>5647</c:v>
                </c:pt>
                <c:pt idx="1020">
                  <c:v>3420</c:v>
                </c:pt>
                <c:pt idx="1021">
                  <c:v>4400</c:v>
                </c:pt>
                <c:pt idx="1022">
                  <c:v>3500</c:v>
                </c:pt>
                <c:pt idx="1023">
                  <c:v>2066</c:v>
                </c:pt>
                <c:pt idx="1024">
                  <c:v>17169</c:v>
                </c:pt>
                <c:pt idx="1025">
                  <c:v>4162</c:v>
                </c:pt>
                <c:pt idx="1026">
                  <c:v>9204</c:v>
                </c:pt>
                <c:pt idx="1027">
                  <c:v>3294</c:v>
                </c:pt>
                <c:pt idx="1028">
                  <c:v>2127</c:v>
                </c:pt>
                <c:pt idx="1029">
                  <c:v>3975</c:v>
                </c:pt>
                <c:pt idx="1030">
                  <c:v>10793</c:v>
                </c:pt>
                <c:pt idx="1031">
                  <c:v>10096</c:v>
                </c:pt>
                <c:pt idx="1032">
                  <c:v>3646</c:v>
                </c:pt>
                <c:pt idx="1033">
                  <c:v>7446</c:v>
                </c:pt>
                <c:pt idx="1034">
                  <c:v>10851</c:v>
                </c:pt>
                <c:pt idx="1035">
                  <c:v>2109</c:v>
                </c:pt>
                <c:pt idx="1036">
                  <c:v>3722</c:v>
                </c:pt>
                <c:pt idx="1037">
                  <c:v>9380</c:v>
                </c:pt>
                <c:pt idx="1038">
                  <c:v>5486</c:v>
                </c:pt>
                <c:pt idx="1039">
                  <c:v>2742</c:v>
                </c:pt>
                <c:pt idx="1040">
                  <c:v>13757</c:v>
                </c:pt>
                <c:pt idx="1041">
                  <c:v>8463</c:v>
                </c:pt>
                <c:pt idx="1042">
                  <c:v>3162</c:v>
                </c:pt>
                <c:pt idx="1043">
                  <c:v>16598</c:v>
                </c:pt>
                <c:pt idx="1044">
                  <c:v>6651</c:v>
                </c:pt>
                <c:pt idx="1045">
                  <c:v>2345</c:v>
                </c:pt>
                <c:pt idx="1046">
                  <c:v>3420</c:v>
                </c:pt>
                <c:pt idx="1047">
                  <c:v>4373</c:v>
                </c:pt>
                <c:pt idx="1048">
                  <c:v>4759</c:v>
                </c:pt>
                <c:pt idx="1049">
                  <c:v>5301</c:v>
                </c:pt>
                <c:pt idx="1050">
                  <c:v>3673</c:v>
                </c:pt>
                <c:pt idx="1051">
                  <c:v>4768</c:v>
                </c:pt>
                <c:pt idx="1052">
                  <c:v>1274</c:v>
                </c:pt>
                <c:pt idx="1053">
                  <c:v>4900</c:v>
                </c:pt>
                <c:pt idx="1054">
                  <c:v>10466</c:v>
                </c:pt>
                <c:pt idx="1055">
                  <c:v>17007</c:v>
                </c:pt>
                <c:pt idx="1056">
                  <c:v>2909</c:v>
                </c:pt>
                <c:pt idx="1057">
                  <c:v>5765</c:v>
                </c:pt>
                <c:pt idx="1058">
                  <c:v>4599</c:v>
                </c:pt>
                <c:pt idx="1059">
                  <c:v>2404</c:v>
                </c:pt>
                <c:pt idx="1060">
                  <c:v>3172</c:v>
                </c:pt>
                <c:pt idx="1061">
                  <c:v>2033</c:v>
                </c:pt>
                <c:pt idx="1062">
                  <c:v>10209</c:v>
                </c:pt>
                <c:pt idx="1063">
                  <c:v>8620</c:v>
                </c:pt>
                <c:pt idx="1064">
                  <c:v>2064</c:v>
                </c:pt>
                <c:pt idx="1065">
                  <c:v>4035</c:v>
                </c:pt>
                <c:pt idx="1066">
                  <c:v>3838</c:v>
                </c:pt>
                <c:pt idx="1067">
                  <c:v>4591</c:v>
                </c:pt>
                <c:pt idx="1068">
                  <c:v>2561</c:v>
                </c:pt>
                <c:pt idx="1069">
                  <c:v>1563</c:v>
                </c:pt>
                <c:pt idx="1070">
                  <c:v>4898</c:v>
                </c:pt>
                <c:pt idx="1071">
                  <c:v>4789</c:v>
                </c:pt>
                <c:pt idx="1072">
                  <c:v>3180</c:v>
                </c:pt>
                <c:pt idx="1073">
                  <c:v>6549</c:v>
                </c:pt>
                <c:pt idx="1074">
                  <c:v>6388</c:v>
                </c:pt>
                <c:pt idx="1075">
                  <c:v>11244</c:v>
                </c:pt>
                <c:pt idx="1076">
                  <c:v>16032</c:v>
                </c:pt>
                <c:pt idx="1077">
                  <c:v>2362</c:v>
                </c:pt>
                <c:pt idx="1078">
                  <c:v>16328</c:v>
                </c:pt>
                <c:pt idx="1079">
                  <c:v>8376</c:v>
                </c:pt>
                <c:pt idx="1080">
                  <c:v>16606</c:v>
                </c:pt>
                <c:pt idx="1081">
                  <c:v>8606</c:v>
                </c:pt>
                <c:pt idx="1082">
                  <c:v>2272</c:v>
                </c:pt>
                <c:pt idx="1083">
                  <c:v>2018</c:v>
                </c:pt>
                <c:pt idx="1084">
                  <c:v>7083</c:v>
                </c:pt>
                <c:pt idx="1085">
                  <c:v>4084</c:v>
                </c:pt>
                <c:pt idx="1086">
                  <c:v>14411</c:v>
                </c:pt>
                <c:pt idx="1087">
                  <c:v>2308</c:v>
                </c:pt>
                <c:pt idx="1088">
                  <c:v>4841</c:v>
                </c:pt>
                <c:pt idx="1089">
                  <c:v>4285</c:v>
                </c:pt>
                <c:pt idx="1090">
                  <c:v>9715</c:v>
                </c:pt>
                <c:pt idx="1091">
                  <c:v>4320</c:v>
                </c:pt>
                <c:pt idx="1092">
                  <c:v>2132</c:v>
                </c:pt>
                <c:pt idx="1093">
                  <c:v>10124</c:v>
                </c:pt>
                <c:pt idx="1094">
                  <c:v>5473</c:v>
                </c:pt>
                <c:pt idx="1095">
                  <c:v>5207</c:v>
                </c:pt>
                <c:pt idx="1096">
                  <c:v>16437</c:v>
                </c:pt>
                <c:pt idx="1097">
                  <c:v>2296</c:v>
                </c:pt>
                <c:pt idx="1098">
                  <c:v>4069</c:v>
                </c:pt>
                <c:pt idx="1099">
                  <c:v>7441</c:v>
                </c:pt>
                <c:pt idx="1100">
                  <c:v>2430</c:v>
                </c:pt>
                <c:pt idx="1101">
                  <c:v>5878</c:v>
                </c:pt>
                <c:pt idx="1102">
                  <c:v>2644</c:v>
                </c:pt>
                <c:pt idx="1103">
                  <c:v>6439</c:v>
                </c:pt>
                <c:pt idx="1104">
                  <c:v>2451</c:v>
                </c:pt>
                <c:pt idx="1105">
                  <c:v>6392</c:v>
                </c:pt>
                <c:pt idx="1106">
                  <c:v>9714</c:v>
                </c:pt>
                <c:pt idx="1107">
                  <c:v>6077</c:v>
                </c:pt>
                <c:pt idx="1108">
                  <c:v>2450</c:v>
                </c:pt>
                <c:pt idx="1109">
                  <c:v>9250</c:v>
                </c:pt>
                <c:pt idx="1110">
                  <c:v>2074</c:v>
                </c:pt>
                <c:pt idx="1111">
                  <c:v>10169</c:v>
                </c:pt>
                <c:pt idx="1112">
                  <c:v>4855</c:v>
                </c:pt>
                <c:pt idx="1113">
                  <c:v>4087</c:v>
                </c:pt>
                <c:pt idx="1114">
                  <c:v>2367</c:v>
                </c:pt>
                <c:pt idx="1115">
                  <c:v>2972</c:v>
                </c:pt>
                <c:pt idx="1116">
                  <c:v>19586</c:v>
                </c:pt>
                <c:pt idx="1117">
                  <c:v>5484</c:v>
                </c:pt>
                <c:pt idx="1118">
                  <c:v>2061</c:v>
                </c:pt>
                <c:pt idx="1119">
                  <c:v>9924</c:v>
                </c:pt>
                <c:pt idx="1120">
                  <c:v>4198</c:v>
                </c:pt>
                <c:pt idx="1121">
                  <c:v>6815</c:v>
                </c:pt>
                <c:pt idx="1122">
                  <c:v>4723</c:v>
                </c:pt>
                <c:pt idx="1123">
                  <c:v>6142</c:v>
                </c:pt>
                <c:pt idx="1124">
                  <c:v>8237</c:v>
                </c:pt>
                <c:pt idx="1125">
                  <c:v>8853</c:v>
                </c:pt>
                <c:pt idx="1126">
                  <c:v>19331</c:v>
                </c:pt>
                <c:pt idx="1127">
                  <c:v>2073</c:v>
                </c:pt>
                <c:pt idx="1128">
                  <c:v>5562</c:v>
                </c:pt>
                <c:pt idx="1129">
                  <c:v>19613</c:v>
                </c:pt>
                <c:pt idx="1130">
                  <c:v>3407</c:v>
                </c:pt>
                <c:pt idx="1131">
                  <c:v>5063</c:v>
                </c:pt>
                <c:pt idx="1132">
                  <c:v>4639</c:v>
                </c:pt>
                <c:pt idx="1133">
                  <c:v>4876</c:v>
                </c:pt>
                <c:pt idx="1134">
                  <c:v>2690</c:v>
                </c:pt>
                <c:pt idx="1135">
                  <c:v>17567</c:v>
                </c:pt>
                <c:pt idx="1136">
                  <c:v>2408</c:v>
                </c:pt>
                <c:pt idx="1137">
                  <c:v>2814</c:v>
                </c:pt>
                <c:pt idx="1138">
                  <c:v>11245</c:v>
                </c:pt>
                <c:pt idx="1139">
                  <c:v>3312</c:v>
                </c:pt>
                <c:pt idx="1140">
                  <c:v>19049</c:v>
                </c:pt>
                <c:pt idx="1141">
                  <c:v>2141</c:v>
                </c:pt>
                <c:pt idx="1142">
                  <c:v>5769</c:v>
                </c:pt>
                <c:pt idx="1143">
                  <c:v>4385</c:v>
                </c:pt>
                <c:pt idx="1144">
                  <c:v>5332</c:v>
                </c:pt>
                <c:pt idx="1145">
                  <c:v>4663</c:v>
                </c:pt>
                <c:pt idx="1146">
                  <c:v>4724</c:v>
                </c:pt>
                <c:pt idx="1147">
                  <c:v>3211</c:v>
                </c:pt>
                <c:pt idx="1148">
                  <c:v>5377</c:v>
                </c:pt>
                <c:pt idx="1149">
                  <c:v>4066</c:v>
                </c:pt>
                <c:pt idx="1150">
                  <c:v>5208</c:v>
                </c:pt>
                <c:pt idx="1151">
                  <c:v>4877</c:v>
                </c:pt>
                <c:pt idx="1152">
                  <c:v>3117</c:v>
                </c:pt>
                <c:pt idx="1153">
                  <c:v>1569</c:v>
                </c:pt>
                <c:pt idx="1154">
                  <c:v>19658</c:v>
                </c:pt>
                <c:pt idx="1155">
                  <c:v>3069</c:v>
                </c:pt>
                <c:pt idx="1156">
                  <c:v>10435</c:v>
                </c:pt>
                <c:pt idx="1157">
                  <c:v>4148</c:v>
                </c:pt>
                <c:pt idx="1158">
                  <c:v>5768</c:v>
                </c:pt>
                <c:pt idx="1159">
                  <c:v>5042</c:v>
                </c:pt>
                <c:pt idx="1160">
                  <c:v>5770</c:v>
                </c:pt>
                <c:pt idx="1161">
                  <c:v>7756</c:v>
                </c:pt>
                <c:pt idx="1162">
                  <c:v>10306</c:v>
                </c:pt>
                <c:pt idx="1163">
                  <c:v>3936</c:v>
                </c:pt>
                <c:pt idx="1164">
                  <c:v>7945</c:v>
                </c:pt>
                <c:pt idx="1165">
                  <c:v>5743</c:v>
                </c:pt>
                <c:pt idx="1166">
                  <c:v>15202</c:v>
                </c:pt>
                <c:pt idx="1167">
                  <c:v>5440</c:v>
                </c:pt>
                <c:pt idx="1168">
                  <c:v>3760</c:v>
                </c:pt>
                <c:pt idx="1169">
                  <c:v>3517</c:v>
                </c:pt>
                <c:pt idx="1170">
                  <c:v>2580</c:v>
                </c:pt>
                <c:pt idx="1171">
                  <c:v>2166</c:v>
                </c:pt>
                <c:pt idx="1172">
                  <c:v>5869</c:v>
                </c:pt>
                <c:pt idx="1173">
                  <c:v>8008</c:v>
                </c:pt>
                <c:pt idx="1174">
                  <c:v>5206</c:v>
                </c:pt>
                <c:pt idx="1175">
                  <c:v>5295</c:v>
                </c:pt>
                <c:pt idx="1176">
                  <c:v>16413</c:v>
                </c:pt>
                <c:pt idx="1177">
                  <c:v>13269</c:v>
                </c:pt>
                <c:pt idx="1178">
                  <c:v>2783</c:v>
                </c:pt>
                <c:pt idx="1179">
                  <c:v>5433</c:v>
                </c:pt>
                <c:pt idx="1180">
                  <c:v>2013</c:v>
                </c:pt>
                <c:pt idx="1181">
                  <c:v>13966</c:v>
                </c:pt>
                <c:pt idx="1182">
                  <c:v>4374</c:v>
                </c:pt>
                <c:pt idx="1183">
                  <c:v>6842</c:v>
                </c:pt>
                <c:pt idx="1184">
                  <c:v>17426</c:v>
                </c:pt>
                <c:pt idx="1185">
                  <c:v>17603</c:v>
                </c:pt>
                <c:pt idx="1186">
                  <c:v>4581</c:v>
                </c:pt>
                <c:pt idx="1187">
                  <c:v>4735</c:v>
                </c:pt>
                <c:pt idx="1188">
                  <c:v>4187</c:v>
                </c:pt>
                <c:pt idx="1189">
                  <c:v>5505</c:v>
                </c:pt>
                <c:pt idx="1190">
                  <c:v>5470</c:v>
                </c:pt>
                <c:pt idx="1191">
                  <c:v>5476</c:v>
                </c:pt>
                <c:pt idx="1192">
                  <c:v>2587</c:v>
                </c:pt>
                <c:pt idx="1193">
                  <c:v>2440</c:v>
                </c:pt>
                <c:pt idx="1194">
                  <c:v>15972</c:v>
                </c:pt>
                <c:pt idx="1195">
                  <c:v>15379</c:v>
                </c:pt>
                <c:pt idx="1196">
                  <c:v>7082</c:v>
                </c:pt>
                <c:pt idx="1197">
                  <c:v>2728</c:v>
                </c:pt>
                <c:pt idx="1198">
                  <c:v>5368</c:v>
                </c:pt>
                <c:pt idx="1199">
                  <c:v>5347</c:v>
                </c:pt>
                <c:pt idx="1200">
                  <c:v>3195</c:v>
                </c:pt>
                <c:pt idx="1201">
                  <c:v>3989</c:v>
                </c:pt>
                <c:pt idx="1202">
                  <c:v>3306</c:v>
                </c:pt>
                <c:pt idx="1203">
                  <c:v>7005</c:v>
                </c:pt>
                <c:pt idx="1204">
                  <c:v>2655</c:v>
                </c:pt>
                <c:pt idx="1205">
                  <c:v>1393</c:v>
                </c:pt>
                <c:pt idx="1206">
                  <c:v>2570</c:v>
                </c:pt>
                <c:pt idx="1207">
                  <c:v>3537</c:v>
                </c:pt>
                <c:pt idx="1208">
                  <c:v>3986</c:v>
                </c:pt>
                <c:pt idx="1209">
                  <c:v>10883</c:v>
                </c:pt>
                <c:pt idx="1210">
                  <c:v>2028</c:v>
                </c:pt>
                <c:pt idx="1211">
                  <c:v>9525</c:v>
                </c:pt>
                <c:pt idx="1212">
                  <c:v>2929</c:v>
                </c:pt>
                <c:pt idx="1213">
                  <c:v>2275</c:v>
                </c:pt>
                <c:pt idx="1214">
                  <c:v>7879</c:v>
                </c:pt>
                <c:pt idx="1215">
                  <c:v>4930</c:v>
                </c:pt>
                <c:pt idx="1216">
                  <c:v>7847</c:v>
                </c:pt>
                <c:pt idx="1217">
                  <c:v>4401</c:v>
                </c:pt>
                <c:pt idx="1218">
                  <c:v>9241</c:v>
                </c:pt>
                <c:pt idx="1219">
                  <c:v>2974</c:v>
                </c:pt>
                <c:pt idx="1220">
                  <c:v>4502</c:v>
                </c:pt>
                <c:pt idx="1221">
                  <c:v>10748</c:v>
                </c:pt>
                <c:pt idx="1222">
                  <c:v>1555</c:v>
                </c:pt>
                <c:pt idx="1223">
                  <c:v>12936</c:v>
                </c:pt>
                <c:pt idx="1224">
                  <c:v>2305</c:v>
                </c:pt>
                <c:pt idx="1225">
                  <c:v>16704</c:v>
                </c:pt>
                <c:pt idx="1226">
                  <c:v>3433</c:v>
                </c:pt>
                <c:pt idx="1227">
                  <c:v>3477</c:v>
                </c:pt>
                <c:pt idx="1228">
                  <c:v>6430</c:v>
                </c:pt>
                <c:pt idx="1229">
                  <c:v>6516</c:v>
                </c:pt>
                <c:pt idx="1230">
                  <c:v>3907</c:v>
                </c:pt>
                <c:pt idx="1231">
                  <c:v>5562</c:v>
                </c:pt>
                <c:pt idx="1232">
                  <c:v>6883</c:v>
                </c:pt>
                <c:pt idx="1233">
                  <c:v>2862</c:v>
                </c:pt>
                <c:pt idx="1234">
                  <c:v>4978</c:v>
                </c:pt>
                <c:pt idx="1235">
                  <c:v>10368</c:v>
                </c:pt>
                <c:pt idx="1236">
                  <c:v>6134</c:v>
                </c:pt>
                <c:pt idx="1237">
                  <c:v>6735</c:v>
                </c:pt>
                <c:pt idx="1238">
                  <c:v>3295</c:v>
                </c:pt>
                <c:pt idx="1239">
                  <c:v>5238</c:v>
                </c:pt>
                <c:pt idx="1240">
                  <c:v>6472</c:v>
                </c:pt>
                <c:pt idx="1241">
                  <c:v>9610</c:v>
                </c:pt>
                <c:pt idx="1242">
                  <c:v>19833</c:v>
                </c:pt>
                <c:pt idx="1243">
                  <c:v>9756</c:v>
                </c:pt>
                <c:pt idx="1244">
                  <c:v>4968</c:v>
                </c:pt>
                <c:pt idx="1245">
                  <c:v>2145</c:v>
                </c:pt>
                <c:pt idx="1246">
                  <c:v>2180</c:v>
                </c:pt>
                <c:pt idx="1247">
                  <c:v>8346</c:v>
                </c:pt>
                <c:pt idx="1248">
                  <c:v>3445</c:v>
                </c:pt>
                <c:pt idx="1249">
                  <c:v>2760</c:v>
                </c:pt>
                <c:pt idx="1250">
                  <c:v>6294</c:v>
                </c:pt>
                <c:pt idx="1251">
                  <c:v>7140</c:v>
                </c:pt>
                <c:pt idx="1252">
                  <c:v>2932</c:v>
                </c:pt>
                <c:pt idx="1253">
                  <c:v>5147</c:v>
                </c:pt>
                <c:pt idx="1254">
                  <c:v>4507</c:v>
                </c:pt>
                <c:pt idx="1255">
                  <c:v>8564</c:v>
                </c:pt>
                <c:pt idx="1256">
                  <c:v>2468</c:v>
                </c:pt>
                <c:pt idx="1257">
                  <c:v>8161</c:v>
                </c:pt>
                <c:pt idx="1258">
                  <c:v>2109</c:v>
                </c:pt>
                <c:pt idx="1259">
                  <c:v>5294</c:v>
                </c:pt>
                <c:pt idx="1260">
                  <c:v>2718</c:v>
                </c:pt>
                <c:pt idx="1261">
                  <c:v>5811</c:v>
                </c:pt>
                <c:pt idx="1262">
                  <c:v>2437</c:v>
                </c:pt>
                <c:pt idx="1263">
                  <c:v>2766</c:v>
                </c:pt>
                <c:pt idx="1264">
                  <c:v>19038</c:v>
                </c:pt>
                <c:pt idx="1265">
                  <c:v>3055</c:v>
                </c:pt>
                <c:pt idx="1266">
                  <c:v>2289</c:v>
                </c:pt>
                <c:pt idx="1267">
                  <c:v>4001</c:v>
                </c:pt>
                <c:pt idx="1268">
                  <c:v>12965</c:v>
                </c:pt>
                <c:pt idx="1269">
                  <c:v>3539</c:v>
                </c:pt>
                <c:pt idx="1270">
                  <c:v>6029</c:v>
                </c:pt>
                <c:pt idx="1271">
                  <c:v>2679</c:v>
                </c:pt>
                <c:pt idx="1272">
                  <c:v>3702</c:v>
                </c:pt>
                <c:pt idx="1273">
                  <c:v>2398</c:v>
                </c:pt>
                <c:pt idx="1274">
                  <c:v>5468</c:v>
                </c:pt>
                <c:pt idx="1275">
                  <c:v>13116</c:v>
                </c:pt>
                <c:pt idx="1276">
                  <c:v>4189</c:v>
                </c:pt>
                <c:pt idx="1277">
                  <c:v>19328</c:v>
                </c:pt>
                <c:pt idx="1278">
                  <c:v>8321</c:v>
                </c:pt>
                <c:pt idx="1279">
                  <c:v>2342</c:v>
                </c:pt>
                <c:pt idx="1280">
                  <c:v>4071</c:v>
                </c:pt>
                <c:pt idx="1281">
                  <c:v>5813</c:v>
                </c:pt>
                <c:pt idx="1282">
                  <c:v>3143</c:v>
                </c:pt>
                <c:pt idx="1283">
                  <c:v>2044</c:v>
                </c:pt>
                <c:pt idx="1284">
                  <c:v>13464</c:v>
                </c:pt>
                <c:pt idx="1285">
                  <c:v>7991</c:v>
                </c:pt>
                <c:pt idx="1286">
                  <c:v>3377</c:v>
                </c:pt>
                <c:pt idx="1287">
                  <c:v>5538</c:v>
                </c:pt>
                <c:pt idx="1288">
                  <c:v>5762</c:v>
                </c:pt>
                <c:pt idx="1289">
                  <c:v>2592</c:v>
                </c:pt>
                <c:pt idx="1290">
                  <c:v>5346</c:v>
                </c:pt>
                <c:pt idx="1291">
                  <c:v>4213</c:v>
                </c:pt>
                <c:pt idx="1292">
                  <c:v>4127</c:v>
                </c:pt>
                <c:pt idx="1293">
                  <c:v>2438</c:v>
                </c:pt>
                <c:pt idx="1294">
                  <c:v>6870</c:v>
                </c:pt>
                <c:pt idx="1295">
                  <c:v>10447</c:v>
                </c:pt>
                <c:pt idx="1296">
                  <c:v>9667</c:v>
                </c:pt>
                <c:pt idx="1297">
                  <c:v>2148</c:v>
                </c:pt>
                <c:pt idx="1298">
                  <c:v>8926</c:v>
                </c:pt>
                <c:pt idx="1299">
                  <c:v>6513</c:v>
                </c:pt>
                <c:pt idx="1300">
                  <c:v>6799</c:v>
                </c:pt>
                <c:pt idx="1301">
                  <c:v>16291</c:v>
                </c:pt>
                <c:pt idx="1302">
                  <c:v>2705</c:v>
                </c:pt>
                <c:pt idx="1303">
                  <c:v>10333</c:v>
                </c:pt>
                <c:pt idx="1304">
                  <c:v>4448</c:v>
                </c:pt>
                <c:pt idx="1305">
                  <c:v>6854</c:v>
                </c:pt>
                <c:pt idx="1306">
                  <c:v>9637</c:v>
                </c:pt>
                <c:pt idx="1307">
                  <c:v>3591</c:v>
                </c:pt>
                <c:pt idx="1308">
                  <c:v>5405</c:v>
                </c:pt>
                <c:pt idx="1309">
                  <c:v>4684</c:v>
                </c:pt>
                <c:pt idx="1310">
                  <c:v>15787</c:v>
                </c:pt>
                <c:pt idx="1311">
                  <c:v>1514</c:v>
                </c:pt>
                <c:pt idx="1312">
                  <c:v>2956</c:v>
                </c:pt>
                <c:pt idx="1313">
                  <c:v>2335</c:v>
                </c:pt>
                <c:pt idx="1314">
                  <c:v>5154</c:v>
                </c:pt>
                <c:pt idx="1315">
                  <c:v>6962</c:v>
                </c:pt>
                <c:pt idx="1316">
                  <c:v>5675</c:v>
                </c:pt>
                <c:pt idx="1317">
                  <c:v>2379</c:v>
                </c:pt>
                <c:pt idx="1318">
                  <c:v>3812</c:v>
                </c:pt>
                <c:pt idx="1319">
                  <c:v>4648</c:v>
                </c:pt>
                <c:pt idx="1320">
                  <c:v>2936</c:v>
                </c:pt>
                <c:pt idx="1321">
                  <c:v>2105</c:v>
                </c:pt>
                <c:pt idx="1322">
                  <c:v>8578</c:v>
                </c:pt>
                <c:pt idx="1323">
                  <c:v>2706</c:v>
                </c:pt>
                <c:pt idx="1324">
                  <c:v>6384</c:v>
                </c:pt>
                <c:pt idx="1325">
                  <c:v>3968</c:v>
                </c:pt>
                <c:pt idx="1326">
                  <c:v>9907</c:v>
                </c:pt>
                <c:pt idx="1327">
                  <c:v>13225</c:v>
                </c:pt>
                <c:pt idx="1328">
                  <c:v>3540</c:v>
                </c:pt>
                <c:pt idx="1329">
                  <c:v>2804</c:v>
                </c:pt>
                <c:pt idx="1330">
                  <c:v>19392</c:v>
                </c:pt>
                <c:pt idx="1331">
                  <c:v>19665</c:v>
                </c:pt>
                <c:pt idx="1332">
                  <c:v>2439</c:v>
                </c:pt>
                <c:pt idx="1333">
                  <c:v>7314</c:v>
                </c:pt>
                <c:pt idx="1334">
                  <c:v>4774</c:v>
                </c:pt>
                <c:pt idx="1335">
                  <c:v>3902</c:v>
                </c:pt>
                <c:pt idx="1336">
                  <c:v>2662</c:v>
                </c:pt>
                <c:pt idx="1337">
                  <c:v>2856</c:v>
                </c:pt>
                <c:pt idx="1338">
                  <c:v>1081</c:v>
                </c:pt>
                <c:pt idx="1339">
                  <c:v>2472</c:v>
                </c:pt>
                <c:pt idx="1340">
                  <c:v>5673</c:v>
                </c:pt>
                <c:pt idx="1341">
                  <c:v>4197</c:v>
                </c:pt>
                <c:pt idx="1342">
                  <c:v>9713</c:v>
                </c:pt>
                <c:pt idx="1343">
                  <c:v>2062</c:v>
                </c:pt>
                <c:pt idx="1344">
                  <c:v>4284</c:v>
                </c:pt>
                <c:pt idx="1345">
                  <c:v>4788</c:v>
                </c:pt>
                <c:pt idx="1346">
                  <c:v>5906</c:v>
                </c:pt>
                <c:pt idx="1347">
                  <c:v>3886</c:v>
                </c:pt>
                <c:pt idx="1348">
                  <c:v>16823</c:v>
                </c:pt>
                <c:pt idx="1349">
                  <c:v>2933</c:v>
                </c:pt>
                <c:pt idx="1350">
                  <c:v>6500</c:v>
                </c:pt>
                <c:pt idx="1351">
                  <c:v>17174</c:v>
                </c:pt>
                <c:pt idx="1352">
                  <c:v>5033</c:v>
                </c:pt>
                <c:pt idx="1353">
                  <c:v>2307</c:v>
                </c:pt>
                <c:pt idx="1354">
                  <c:v>2587</c:v>
                </c:pt>
                <c:pt idx="1355">
                  <c:v>5507</c:v>
                </c:pt>
                <c:pt idx="1356">
                  <c:v>4393</c:v>
                </c:pt>
                <c:pt idx="1357">
                  <c:v>13348</c:v>
                </c:pt>
                <c:pt idx="1358">
                  <c:v>6583</c:v>
                </c:pt>
                <c:pt idx="1359">
                  <c:v>8103</c:v>
                </c:pt>
                <c:pt idx="1360">
                  <c:v>3978</c:v>
                </c:pt>
                <c:pt idx="1361">
                  <c:v>2544</c:v>
                </c:pt>
                <c:pt idx="1362">
                  <c:v>5399</c:v>
                </c:pt>
                <c:pt idx="1363">
                  <c:v>5487</c:v>
                </c:pt>
                <c:pt idx="1364">
                  <c:v>6834</c:v>
                </c:pt>
                <c:pt idx="1365">
                  <c:v>1091</c:v>
                </c:pt>
                <c:pt idx="1366">
                  <c:v>5736</c:v>
                </c:pt>
                <c:pt idx="1367">
                  <c:v>2226</c:v>
                </c:pt>
                <c:pt idx="1368">
                  <c:v>5747</c:v>
                </c:pt>
                <c:pt idx="1369">
                  <c:v>9854</c:v>
                </c:pt>
                <c:pt idx="1370">
                  <c:v>5467</c:v>
                </c:pt>
                <c:pt idx="1371">
                  <c:v>5380</c:v>
                </c:pt>
                <c:pt idx="1372">
                  <c:v>5151</c:v>
                </c:pt>
                <c:pt idx="1373">
                  <c:v>2133</c:v>
                </c:pt>
                <c:pt idx="1374">
                  <c:v>17875</c:v>
                </c:pt>
                <c:pt idx="1375">
                  <c:v>2432</c:v>
                </c:pt>
                <c:pt idx="1376">
                  <c:v>4771</c:v>
                </c:pt>
                <c:pt idx="1377">
                  <c:v>19161</c:v>
                </c:pt>
                <c:pt idx="1378">
                  <c:v>5087</c:v>
                </c:pt>
                <c:pt idx="1379">
                  <c:v>2863</c:v>
                </c:pt>
                <c:pt idx="1380">
                  <c:v>5561</c:v>
                </c:pt>
                <c:pt idx="1381">
                  <c:v>2144</c:v>
                </c:pt>
                <c:pt idx="1382">
                  <c:v>3065</c:v>
                </c:pt>
                <c:pt idx="1383">
                  <c:v>2810</c:v>
                </c:pt>
                <c:pt idx="1384">
                  <c:v>9888</c:v>
                </c:pt>
                <c:pt idx="1385">
                  <c:v>8628</c:v>
                </c:pt>
                <c:pt idx="1386">
                  <c:v>2867</c:v>
                </c:pt>
                <c:pt idx="1387">
                  <c:v>5373</c:v>
                </c:pt>
                <c:pt idx="1388">
                  <c:v>6667</c:v>
                </c:pt>
                <c:pt idx="1389">
                  <c:v>5003</c:v>
                </c:pt>
                <c:pt idx="1390">
                  <c:v>2367</c:v>
                </c:pt>
                <c:pt idx="1391">
                  <c:v>2858</c:v>
                </c:pt>
                <c:pt idx="1392">
                  <c:v>5204</c:v>
                </c:pt>
                <c:pt idx="1393">
                  <c:v>4105</c:v>
                </c:pt>
                <c:pt idx="1394">
                  <c:v>9679</c:v>
                </c:pt>
                <c:pt idx="1395">
                  <c:v>5617</c:v>
                </c:pt>
                <c:pt idx="1396">
                  <c:v>10448</c:v>
                </c:pt>
                <c:pt idx="1397">
                  <c:v>2897</c:v>
                </c:pt>
                <c:pt idx="1398">
                  <c:v>5968</c:v>
                </c:pt>
                <c:pt idx="1399">
                  <c:v>7510</c:v>
                </c:pt>
                <c:pt idx="1400">
                  <c:v>2991</c:v>
                </c:pt>
                <c:pt idx="1401">
                  <c:v>19636</c:v>
                </c:pt>
                <c:pt idx="1402">
                  <c:v>1129</c:v>
                </c:pt>
                <c:pt idx="1403">
                  <c:v>13341</c:v>
                </c:pt>
                <c:pt idx="1404">
                  <c:v>4332</c:v>
                </c:pt>
                <c:pt idx="1405">
                  <c:v>11031</c:v>
                </c:pt>
                <c:pt idx="1406">
                  <c:v>4440</c:v>
                </c:pt>
                <c:pt idx="1407">
                  <c:v>4617</c:v>
                </c:pt>
                <c:pt idx="1408">
                  <c:v>2647</c:v>
                </c:pt>
                <c:pt idx="1409">
                  <c:v>6323</c:v>
                </c:pt>
                <c:pt idx="1410">
                  <c:v>5677</c:v>
                </c:pt>
                <c:pt idx="1411">
                  <c:v>2187</c:v>
                </c:pt>
                <c:pt idx="1412">
                  <c:v>3748</c:v>
                </c:pt>
                <c:pt idx="1413">
                  <c:v>3977</c:v>
                </c:pt>
                <c:pt idx="1414">
                  <c:v>8633</c:v>
                </c:pt>
                <c:pt idx="1415">
                  <c:v>2008</c:v>
                </c:pt>
                <c:pt idx="1416">
                  <c:v>4440</c:v>
                </c:pt>
                <c:pt idx="1417">
                  <c:v>3067</c:v>
                </c:pt>
                <c:pt idx="1418">
                  <c:v>5321</c:v>
                </c:pt>
                <c:pt idx="1419">
                  <c:v>5410</c:v>
                </c:pt>
                <c:pt idx="1420">
                  <c:v>2782</c:v>
                </c:pt>
                <c:pt idx="1421">
                  <c:v>11957</c:v>
                </c:pt>
                <c:pt idx="1422">
                  <c:v>2660</c:v>
                </c:pt>
                <c:pt idx="1423">
                  <c:v>3375</c:v>
                </c:pt>
                <c:pt idx="1424">
                  <c:v>5098</c:v>
                </c:pt>
                <c:pt idx="1425">
                  <c:v>4878</c:v>
                </c:pt>
                <c:pt idx="1426">
                  <c:v>2837</c:v>
                </c:pt>
                <c:pt idx="1427">
                  <c:v>2406</c:v>
                </c:pt>
                <c:pt idx="1428">
                  <c:v>2269</c:v>
                </c:pt>
                <c:pt idx="1429">
                  <c:v>4108</c:v>
                </c:pt>
                <c:pt idx="1430">
                  <c:v>13206</c:v>
                </c:pt>
                <c:pt idx="1431">
                  <c:v>10422</c:v>
                </c:pt>
                <c:pt idx="1432">
                  <c:v>13744</c:v>
                </c:pt>
                <c:pt idx="1433">
                  <c:v>4907</c:v>
                </c:pt>
                <c:pt idx="1434">
                  <c:v>3482</c:v>
                </c:pt>
                <c:pt idx="1435">
                  <c:v>2436</c:v>
                </c:pt>
                <c:pt idx="1436">
                  <c:v>2380</c:v>
                </c:pt>
                <c:pt idx="1437">
                  <c:v>19431</c:v>
                </c:pt>
                <c:pt idx="1438">
                  <c:v>1790</c:v>
                </c:pt>
                <c:pt idx="1439">
                  <c:v>7644</c:v>
                </c:pt>
                <c:pt idx="1440">
                  <c:v>5131</c:v>
                </c:pt>
                <c:pt idx="1441">
                  <c:v>6306</c:v>
                </c:pt>
                <c:pt idx="1442">
                  <c:v>4787</c:v>
                </c:pt>
                <c:pt idx="1443">
                  <c:v>18880</c:v>
                </c:pt>
                <c:pt idx="1444">
                  <c:v>2339</c:v>
                </c:pt>
                <c:pt idx="1445">
                  <c:v>13570</c:v>
                </c:pt>
                <c:pt idx="1446">
                  <c:v>6712</c:v>
                </c:pt>
                <c:pt idx="1447">
                  <c:v>5406</c:v>
                </c:pt>
                <c:pt idx="1448">
                  <c:v>8938</c:v>
                </c:pt>
                <c:pt idx="1449">
                  <c:v>2439</c:v>
                </c:pt>
                <c:pt idx="1450">
                  <c:v>8837</c:v>
                </c:pt>
                <c:pt idx="1451">
                  <c:v>5343</c:v>
                </c:pt>
                <c:pt idx="1452">
                  <c:v>6728</c:v>
                </c:pt>
                <c:pt idx="1453">
                  <c:v>6652</c:v>
                </c:pt>
                <c:pt idx="1454">
                  <c:v>4850</c:v>
                </c:pt>
                <c:pt idx="1455">
                  <c:v>2809</c:v>
                </c:pt>
                <c:pt idx="1456">
                  <c:v>5689</c:v>
                </c:pt>
                <c:pt idx="1457">
                  <c:v>2001</c:v>
                </c:pt>
                <c:pt idx="1458">
                  <c:v>2977</c:v>
                </c:pt>
                <c:pt idx="1459">
                  <c:v>4025</c:v>
                </c:pt>
                <c:pt idx="1460">
                  <c:v>3785</c:v>
                </c:pt>
                <c:pt idx="1461">
                  <c:v>10854</c:v>
                </c:pt>
                <c:pt idx="1462">
                  <c:v>12031</c:v>
                </c:pt>
                <c:pt idx="1463">
                  <c:v>9936</c:v>
                </c:pt>
                <c:pt idx="1464">
                  <c:v>2966</c:v>
                </c:pt>
                <c:pt idx="1465">
                  <c:v>2571</c:v>
                </c:pt>
                <c:pt idx="1466">
                  <c:v>9991</c:v>
                </c:pt>
                <c:pt idx="1467">
                  <c:v>6142</c:v>
                </c:pt>
                <c:pt idx="1468">
                  <c:v>5390</c:v>
                </c:pt>
                <c:pt idx="1469">
                  <c:v>4404</c:v>
                </c:pt>
              </c:numCache>
            </c:numRef>
          </c:xVal>
          <c:yVal>
            <c:numRef>
              <c:f>HR_Data!$Y$2:$Y$1471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A-476A-BD86-754423CB6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966128"/>
        <c:axId val="1958969008"/>
      </c:scatterChart>
      <c:valAx>
        <c:axId val="195896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958969008"/>
        <c:crosses val="autoZero"/>
        <c:crossBetween val="midCat"/>
      </c:valAx>
      <c:valAx>
        <c:axId val="19589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95896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400" b="1" i="0" u="none" strike="noStrike" baseline="0">
                <a:effectLst/>
              </a:rPr>
              <a:t>Training Impact on Performance</a:t>
            </a:r>
            <a:endParaRPr lang="az-Latn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(Performance_Analysis!$B$50,Performance_Analysis!$D$50)</c:f>
              <c:strCache>
                <c:ptCount val="2"/>
                <c:pt idx="0">
                  <c:v>Training Times</c:v>
                </c:pt>
                <c:pt idx="1">
                  <c:v>Avg Performance</c:v>
                </c:pt>
              </c:strCache>
            </c:strRef>
          </c:cat>
          <c:val>
            <c:numRef>
              <c:f>(Performance_Analysis!$B$51,Performance_Analysis!$D$51)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3.1851851851851851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F-4189-A427-4A593C9335E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(Performance_Analysis!$B$50,Performance_Analysis!$D$50)</c:f>
              <c:strCache>
                <c:ptCount val="2"/>
                <c:pt idx="0">
                  <c:v>Training Times</c:v>
                </c:pt>
                <c:pt idx="1">
                  <c:v>Avg Performance</c:v>
                </c:pt>
              </c:strCache>
            </c:strRef>
          </c:cat>
          <c:val>
            <c:numRef>
              <c:f>(Performance_Analysis!$B$52,Performance_Analysis!$D$52)</c:f>
              <c:numCache>
                <c:formatCode>0.00</c:formatCode>
                <c:ptCount val="2"/>
                <c:pt idx="0" formatCode="General">
                  <c:v>1</c:v>
                </c:pt>
                <c:pt idx="1">
                  <c:v>3.1267605633802815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7F-4189-A427-4A593C9335E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(Performance_Analysis!$B$50,Performance_Analysis!$D$50)</c:f>
              <c:strCache>
                <c:ptCount val="2"/>
                <c:pt idx="0">
                  <c:v>Training Times</c:v>
                </c:pt>
                <c:pt idx="1">
                  <c:v>Avg Performance</c:v>
                </c:pt>
              </c:strCache>
            </c:strRef>
          </c:cat>
          <c:val>
            <c:numRef>
              <c:f>(Performance_Analysis!$B$53,Performance_Analysis!$D$53)</c:f>
              <c:numCache>
                <c:formatCode>0.00</c:formatCode>
                <c:ptCount val="2"/>
                <c:pt idx="0" formatCode="General">
                  <c:v>2</c:v>
                </c:pt>
                <c:pt idx="1">
                  <c:v>3.1627056672760512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7F-4189-A427-4A593C9335E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(Performance_Analysis!$B$50,Performance_Analysis!$D$50)</c:f>
              <c:strCache>
                <c:ptCount val="2"/>
                <c:pt idx="0">
                  <c:v>Training Times</c:v>
                </c:pt>
                <c:pt idx="1">
                  <c:v>Avg Performance</c:v>
                </c:pt>
              </c:strCache>
            </c:strRef>
          </c:cat>
          <c:val>
            <c:numRef>
              <c:f>(Performance_Analysis!$B$54,Performance_Analysis!$D$54)</c:f>
              <c:numCache>
                <c:formatCode>0.00</c:formatCode>
                <c:ptCount val="2"/>
                <c:pt idx="0" formatCode="General">
                  <c:v>3</c:v>
                </c:pt>
                <c:pt idx="1">
                  <c:v>3.1507128309572301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7F-4189-A427-4A593C9335EB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(Performance_Analysis!$B$50,Performance_Analysis!$D$50)</c:f>
              <c:strCache>
                <c:ptCount val="2"/>
                <c:pt idx="0">
                  <c:v>Training Times</c:v>
                </c:pt>
                <c:pt idx="1">
                  <c:v>Avg Performance</c:v>
                </c:pt>
              </c:strCache>
            </c:strRef>
          </c:cat>
          <c:val>
            <c:numRef>
              <c:f>(Performance_Analysis!$B$55,Performance_Analysis!$D$55)</c:f>
              <c:numCache>
                <c:formatCode>0.00</c:formatCode>
                <c:ptCount val="2"/>
                <c:pt idx="0" formatCode="General">
                  <c:v>4</c:v>
                </c:pt>
                <c:pt idx="1">
                  <c:v>3.1300813008130079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7F-4189-A427-4A593C9335EB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(Performance_Analysis!$B$50,Performance_Analysis!$D$50)</c:f>
              <c:strCache>
                <c:ptCount val="2"/>
                <c:pt idx="0">
                  <c:v>Training Times</c:v>
                </c:pt>
                <c:pt idx="1">
                  <c:v>Avg Performance</c:v>
                </c:pt>
              </c:strCache>
            </c:strRef>
          </c:cat>
          <c:val>
            <c:numRef>
              <c:f>(Performance_Analysis!$B$56,Performance_Analysis!$D$56)</c:f>
              <c:numCache>
                <c:formatCode>0.00</c:formatCode>
                <c:ptCount val="2"/>
                <c:pt idx="0" formatCode="General">
                  <c:v>5</c:v>
                </c:pt>
                <c:pt idx="1">
                  <c:v>3.1596638655462184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7F-4189-A427-4A593C9335EB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(Performance_Analysis!$B$50,Performance_Analysis!$D$50)</c:f>
              <c:strCache>
                <c:ptCount val="2"/>
                <c:pt idx="0">
                  <c:v>Training Times</c:v>
                </c:pt>
                <c:pt idx="1">
                  <c:v>Avg Performance</c:v>
                </c:pt>
              </c:strCache>
            </c:strRef>
          </c:cat>
          <c:val>
            <c:numRef>
              <c:f>(Performance_Analysis!$B$57,Performance_Analysis!$D$57)</c:f>
              <c:numCache>
                <c:formatCode>0.00</c:formatCode>
                <c:ptCount val="2"/>
                <c:pt idx="0" formatCode="General">
                  <c:v>6</c:v>
                </c:pt>
                <c:pt idx="1">
                  <c:v>3.1384615384615384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7F-4189-A427-4A593C933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097584"/>
        <c:axId val="2114095664"/>
      </c:lineChart>
      <c:catAx>
        <c:axId val="211409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114095664"/>
        <c:crosses val="autoZero"/>
        <c:auto val="1"/>
        <c:lblAlgn val="ctr"/>
        <c:lblOffset val="100"/>
        <c:noMultiLvlLbl val="0"/>
      </c:catAx>
      <c:valAx>
        <c:axId val="211409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11409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9A-431C-811D-D0A455D49BFA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9A-431C-811D-D0A455D49B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Demographics_Analysis!$B$25:$B$26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Demographics_Analysis!$C$25:$C$26</c:f>
              <c:numCache>
                <c:formatCode>General</c:formatCode>
                <c:ptCount val="2"/>
                <c:pt idx="0">
                  <c:v>882</c:v>
                </c:pt>
                <c:pt idx="1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C-4437-8350-7732975DB24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800" b="1" i="0" u="none" strike="noStrike" baseline="0">
                <a:effectLst/>
              </a:rPr>
              <a:t>Education Level</a:t>
            </a:r>
            <a:endParaRPr lang="az-Latn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73-48A1-B7ED-4857CB4FAF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73-48A1-B7ED-4857CB4FAF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73-48A1-B7ED-4857CB4FAF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73-48A1-B7ED-4857CB4FAF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C73-48A1-B7ED-4857CB4FAFB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Demographics_Analysis!$C$38:$C$42</c:f>
              <c:strCache>
                <c:ptCount val="5"/>
                <c:pt idx="0">
                  <c:v>Below College</c:v>
                </c:pt>
                <c:pt idx="1">
                  <c:v>College</c:v>
                </c:pt>
                <c:pt idx="2">
                  <c:v>Bachelor</c:v>
                </c:pt>
                <c:pt idx="3">
                  <c:v>Master</c:v>
                </c:pt>
                <c:pt idx="4">
                  <c:v>Doctor</c:v>
                </c:pt>
              </c:strCache>
            </c:strRef>
          </c:cat>
          <c:val>
            <c:numRef>
              <c:f>Demographics_Analysis!$D$38:$D$42</c:f>
              <c:numCache>
                <c:formatCode>General</c:formatCode>
                <c:ptCount val="5"/>
                <c:pt idx="0">
                  <c:v>170</c:v>
                </c:pt>
                <c:pt idx="1">
                  <c:v>282</c:v>
                </c:pt>
                <c:pt idx="2">
                  <c:v>572</c:v>
                </c:pt>
                <c:pt idx="3">
                  <c:v>398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7-4BA1-9827-B532D397033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Martial Status</a:t>
            </a:r>
            <a:endParaRPr lang="az-Latn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Demographics_Analysis!$B$31:$B$33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Demographics_Analysis!$C$31:$C$33</c:f>
              <c:numCache>
                <c:formatCode>General</c:formatCode>
                <c:ptCount val="3"/>
                <c:pt idx="0">
                  <c:v>470</c:v>
                </c:pt>
                <c:pt idx="1">
                  <c:v>673</c:v>
                </c:pt>
                <c:pt idx="2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B-4573-A517-24FF2C8218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706801951"/>
        <c:axId val="706805311"/>
      </c:barChart>
      <c:catAx>
        <c:axId val="70680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706805311"/>
        <c:crosses val="autoZero"/>
        <c:auto val="1"/>
        <c:lblAlgn val="ctr"/>
        <c:lblOffset val="100"/>
        <c:noMultiLvlLbl val="0"/>
      </c:catAx>
      <c:valAx>
        <c:axId val="70680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70680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/>
              <a:t>Employee 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C9-459F-813B-26D524E6C3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C9-459F-813B-26D524E6C3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C9-459F-813B-26D524E6C3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Department_Analysis!$B$7:$B$9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Research &amp; Development</c:v>
                </c:pt>
              </c:strCache>
            </c:strRef>
          </c:cat>
          <c:val>
            <c:numRef>
              <c:f>Department_Analysis!$C$7:$C$9</c:f>
              <c:numCache>
                <c:formatCode>General</c:formatCode>
                <c:ptCount val="3"/>
                <c:pt idx="0">
                  <c:v>63</c:v>
                </c:pt>
                <c:pt idx="1">
                  <c:v>446</c:v>
                </c:pt>
                <c:pt idx="2">
                  <c:v>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7-4A3E-810F-E57A93846A2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az-Latn-AZ"/>
              <a:t>Avg Income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az-Latn-A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Department_Analysis!$B$7:$B$9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Research &amp; Development</c:v>
                </c:pt>
              </c:strCache>
            </c:strRef>
          </c:cat>
          <c:val>
            <c:numRef>
              <c:f>Department_Analysis!$F$7:$F$9</c:f>
              <c:numCache>
                <c:formatCode>0.00</c:formatCode>
                <c:ptCount val="3"/>
                <c:pt idx="0">
                  <c:v>6654.5079365079364</c:v>
                </c:pt>
                <c:pt idx="1">
                  <c:v>6959.17264573991</c:v>
                </c:pt>
                <c:pt idx="2">
                  <c:v>6281.2528616024974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6-43F8-9702-D18E939A7D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577013808"/>
        <c:axId val="577023408"/>
      </c:barChart>
      <c:catAx>
        <c:axId val="577013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577023408"/>
        <c:crosses val="autoZero"/>
        <c:auto val="1"/>
        <c:lblAlgn val="ctr"/>
        <c:lblOffset val="100"/>
        <c:noMultiLvlLbl val="0"/>
      </c:catAx>
      <c:valAx>
        <c:axId val="57702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57701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az-Latn-AZ" sz="1600" b="1" i="0" u="none" strike="noStrike" cap="none" normalizeH="0" baseline="0">
                <a:effectLst/>
              </a:rPr>
              <a:t>Attrition Rate by Department</a:t>
            </a:r>
            <a:endParaRPr lang="az-Latn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Department_Analysis!$B$7:$B$9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Research &amp; Development</c:v>
                </c:pt>
              </c:strCache>
            </c:strRef>
          </c:cat>
          <c:val>
            <c:numRef>
              <c:f>Department_Analysis!$H$7:$H$9</c:f>
              <c:numCache>
                <c:formatCode>0.00</c:formatCode>
                <c:ptCount val="3"/>
                <c:pt idx="0">
                  <c:v>19.047619047619047</c:v>
                </c:pt>
                <c:pt idx="1">
                  <c:v>20.627802690582961</c:v>
                </c:pt>
                <c:pt idx="2">
                  <c:v>13.839750260145681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0-4BBA-A697-198A28BC25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577016688"/>
        <c:axId val="577017168"/>
      </c:barChart>
      <c:catAx>
        <c:axId val="57701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577017168"/>
        <c:crosses val="autoZero"/>
        <c:auto val="1"/>
        <c:lblAlgn val="ctr"/>
        <c:lblOffset val="100"/>
        <c:noMultiLvlLbl val="0"/>
      </c:catAx>
      <c:valAx>
        <c:axId val="57701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57701668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az-Latn-AZ" sz="1600" b="1" i="0" u="none" strike="noStrike" baseline="0">
                <a:effectLst/>
              </a:rPr>
              <a:t>Tenure Distribution</a:t>
            </a:r>
            <a:endParaRPr lang="az-Latn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Tenure_Career_Analysis!$B$17</c:f>
              <c:strCache>
                <c:ptCount val="1"/>
                <c:pt idx="0">
                  <c:v>0 - 2 years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Tenure_Career_Analysis!$C$17</c:f>
              <c:numCache>
                <c:formatCode>General</c:formatCode>
                <c:ptCount val="1"/>
                <c:pt idx="0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5-4DE7-AE25-A50CA7B553AA}"/>
            </c:ext>
          </c:extLst>
        </c:ser>
        <c:ser>
          <c:idx val="1"/>
          <c:order val="1"/>
          <c:tx>
            <c:strRef>
              <c:f>Tenure_Career_Analysis!$B$18</c:f>
              <c:strCache>
                <c:ptCount val="1"/>
                <c:pt idx="0">
                  <c:v>3 - 5 years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Tenure_Career_Analysis!$C$18</c:f>
              <c:numCache>
                <c:formatCode>General</c:formatCode>
                <c:ptCount val="1"/>
                <c:pt idx="0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C5-4DE7-AE25-A50CA7B553AA}"/>
            </c:ext>
          </c:extLst>
        </c:ser>
        <c:ser>
          <c:idx val="2"/>
          <c:order val="2"/>
          <c:tx>
            <c:strRef>
              <c:f>Tenure_Career_Analysis!$B$19</c:f>
              <c:strCache>
                <c:ptCount val="1"/>
                <c:pt idx="0">
                  <c:v>6 - 10 years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Tenure_Career_Analysis!$C$19</c:f>
              <c:numCache>
                <c:formatCode>General</c:formatCode>
                <c:ptCount val="1"/>
                <c:pt idx="0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C5-4DE7-AE25-A50CA7B553AA}"/>
            </c:ext>
          </c:extLst>
        </c:ser>
        <c:ser>
          <c:idx val="3"/>
          <c:order val="3"/>
          <c:tx>
            <c:strRef>
              <c:f>Tenure_Career_Analysis!$B$20</c:f>
              <c:strCache>
                <c:ptCount val="1"/>
                <c:pt idx="0">
                  <c:v>11 - 15 years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Tenure_Career_Analysis!$C$20</c:f>
              <c:numCache>
                <c:formatCode>General</c:formatCode>
                <c:ptCount val="1"/>
                <c:pt idx="0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C5-4DE7-AE25-A50CA7B553AA}"/>
            </c:ext>
          </c:extLst>
        </c:ser>
        <c:ser>
          <c:idx val="4"/>
          <c:order val="4"/>
          <c:tx>
            <c:strRef>
              <c:f>Tenure_Career_Analysis!$B$21</c:f>
              <c:strCache>
                <c:ptCount val="1"/>
                <c:pt idx="0">
                  <c:v>16 - 20 years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Tenure_Career_Analysis!$C$21</c:f>
              <c:numCache>
                <c:formatCode>General</c:formatCode>
                <c:ptCount val="1"/>
                <c:pt idx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C5-4DE7-AE25-A50CA7B553AA}"/>
            </c:ext>
          </c:extLst>
        </c:ser>
        <c:ser>
          <c:idx val="5"/>
          <c:order val="5"/>
          <c:tx>
            <c:strRef>
              <c:f>Tenure_Career_Analysis!$B$22</c:f>
              <c:strCache>
                <c:ptCount val="1"/>
                <c:pt idx="0">
                  <c:v>21 + years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Tenure_Career_Analysis!$C$22</c:f>
              <c:numCache>
                <c:formatCode>General</c:formatCode>
                <c:ptCount val="1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C5-4DE7-AE25-A50CA7B553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01474848"/>
        <c:axId val="1969053424"/>
      </c:barChart>
      <c:catAx>
        <c:axId val="180147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969053424"/>
        <c:crosses val="autoZero"/>
        <c:auto val="1"/>
        <c:lblAlgn val="ctr"/>
        <c:lblOffset val="100"/>
        <c:noMultiLvlLbl val="0"/>
      </c:catAx>
      <c:valAx>
        <c:axId val="196905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80147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800" b="1" i="0" u="none" strike="noStrike" baseline="0">
                <a:effectLst/>
              </a:rPr>
              <a:t>Employees by Job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Tenure_Career_Analysis!$B$55</c:f>
              <c:strCache>
                <c:ptCount val="1"/>
                <c:pt idx="0">
                  <c:v>Job Level 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FD-47F0-92F6-6D9BE1B166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FD-47F0-92F6-6D9BE1B166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1FD-47F0-92F6-6D9BE1B166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1FD-47F0-92F6-6D9BE1B166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1FD-47F0-92F6-6D9BE1B166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Tenure_Career_Analysis!$B$56:$B$60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9-4E84-9A85-71EF1AFAF961}"/>
            </c:ext>
          </c:extLst>
        </c:ser>
        <c:ser>
          <c:idx val="1"/>
          <c:order val="1"/>
          <c:tx>
            <c:strRef>
              <c:f>Tenure_Career_Analysis!$C$55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1FD-47F0-92F6-6D9BE1B166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1FD-47F0-92F6-6D9BE1B166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1FD-47F0-92F6-6D9BE1B166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1FD-47F0-92F6-6D9BE1B166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1FD-47F0-92F6-6D9BE1B166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Tenure_Career_Analysis!$C$56:$C$60</c:f>
              <c:numCache>
                <c:formatCode>General</c:formatCode>
                <c:ptCount val="5"/>
                <c:pt idx="0">
                  <c:v>543</c:v>
                </c:pt>
                <c:pt idx="1">
                  <c:v>534</c:v>
                </c:pt>
                <c:pt idx="2">
                  <c:v>218</c:v>
                </c:pt>
                <c:pt idx="3">
                  <c:v>106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B9-4E84-9A85-71EF1AFAF96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az-Latn-AZ" sz="1600" b="1" i="0" u="none" strike="noStrike" baseline="0">
                <a:effectLst/>
              </a:rPr>
              <a:t>Attrition by Years Since Promotion</a:t>
            </a:r>
            <a:endParaRPr lang="az-Latn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Tenure_Career_Analysis!$B$35</c:f>
              <c:strCache>
                <c:ptCount val="1"/>
                <c:pt idx="0">
                  <c:v>Years Since Promotion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Tenure_Career_Analysis!$B$36:$B$51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E-42E3-9F09-3A9A8C464931}"/>
            </c:ext>
          </c:extLst>
        </c:ser>
        <c:ser>
          <c:idx val="1"/>
          <c:order val="1"/>
          <c:tx>
            <c:strRef>
              <c:f>Tenure_Career_Analysis!$E$35</c:f>
              <c:strCache>
                <c:ptCount val="1"/>
                <c:pt idx="0">
                  <c:v>Attrition 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val>
            <c:numRef>
              <c:f>Tenure_Career_Analysis!$E$36:$E$51</c:f>
              <c:numCache>
                <c:formatCode>0.00</c:formatCode>
                <c:ptCount val="16"/>
                <c:pt idx="0">
                  <c:v>18.9328743545611</c:v>
                </c:pt>
                <c:pt idx="1">
                  <c:v>8.4337349397590362</c:v>
                </c:pt>
                <c:pt idx="2">
                  <c:v>4.6471600688468158</c:v>
                </c:pt>
                <c:pt idx="3">
                  <c:v>1.5490533562822719</c:v>
                </c:pt>
                <c:pt idx="4">
                  <c:v>0.86058519793459543</c:v>
                </c:pt>
                <c:pt idx="5">
                  <c:v>0.34423407917383825</c:v>
                </c:pt>
                <c:pt idx="6">
                  <c:v>1.0327022375215147</c:v>
                </c:pt>
                <c:pt idx="7">
                  <c:v>2.753872633390706</c:v>
                </c:pt>
                <c:pt idx="8">
                  <c:v>0</c:v>
                </c:pt>
                <c:pt idx="9">
                  <c:v>0.6884681583476765</c:v>
                </c:pt>
                <c:pt idx="10">
                  <c:v>0.17211703958691912</c:v>
                </c:pt>
                <c:pt idx="11">
                  <c:v>0.34423407917383825</c:v>
                </c:pt>
                <c:pt idx="12">
                  <c:v>0</c:v>
                </c:pt>
                <c:pt idx="13">
                  <c:v>0.34423407917383825</c:v>
                </c:pt>
                <c:pt idx="14">
                  <c:v>0.17211703958691912</c:v>
                </c:pt>
                <c:pt idx="15">
                  <c:v>0.51635111876075734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E-42E3-9F09-3A9A8C464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30422896"/>
        <c:axId val="1976327728"/>
      </c:barChart>
      <c:catAx>
        <c:axId val="1730422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976327728"/>
        <c:crosses val="autoZero"/>
        <c:auto val="1"/>
        <c:lblAlgn val="ctr"/>
        <c:lblOffset val="100"/>
        <c:noMultiLvlLbl val="0"/>
      </c:catAx>
      <c:valAx>
        <c:axId val="197632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730422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400" b="1" i="0" u="none" strike="noStrike" baseline="0">
                <a:effectLst/>
              </a:rPr>
              <a:t> Income Growth by Experience 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Tenure_Career_Analysis!$D$26</c:f>
              <c:strCache>
                <c:ptCount val="1"/>
                <c:pt idx="0">
                  <c:v>Avg Income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Tenure_Career_Analysis!$B$27:$B$31</c:f>
              <c:strCache>
                <c:ptCount val="5"/>
                <c:pt idx="0">
                  <c:v>0 - 5 years</c:v>
                </c:pt>
                <c:pt idx="1">
                  <c:v>6 - 10 years</c:v>
                </c:pt>
                <c:pt idx="2">
                  <c:v>11 - 20 years</c:v>
                </c:pt>
                <c:pt idx="3">
                  <c:v>21 - 30 years</c:v>
                </c:pt>
                <c:pt idx="4">
                  <c:v>31 + years</c:v>
                </c:pt>
              </c:strCache>
            </c:strRef>
          </c:cat>
          <c:val>
            <c:numRef>
              <c:f>Tenure_Career_Analysis!$D$27:$D$31</c:f>
              <c:numCache>
                <c:formatCode>0.00</c:formatCode>
                <c:ptCount val="5"/>
                <c:pt idx="0">
                  <c:v>2937.6265822784812</c:v>
                </c:pt>
                <c:pt idx="1">
                  <c:v>5189.7462932454691</c:v>
                </c:pt>
                <c:pt idx="2">
                  <c:v>6635.5205882352939</c:v>
                </c:pt>
                <c:pt idx="3">
                  <c:v>15441.826086956522</c:v>
                </c:pt>
                <c:pt idx="4">
                  <c:v>16057.217391304348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4-47A2-A238-9762386F9C8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02749680"/>
        <c:axId val="2102750640"/>
      </c:lineChart>
      <c:catAx>
        <c:axId val="210274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102750640"/>
        <c:crosses val="autoZero"/>
        <c:auto val="1"/>
        <c:lblAlgn val="ctr"/>
        <c:lblOffset val="100"/>
        <c:noMultiLvlLbl val="0"/>
      </c:catAx>
      <c:valAx>
        <c:axId val="210275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10274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400" b="1" i="0" u="none" strike="noStrike" baseline="0">
                <a:effectLst/>
              </a:rPr>
              <a:t>Satisfaction Scores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Satisfaction_Analysis!$C$6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Satisfaction_Analysis!$B$7:$B$11</c:f>
              <c:strCache>
                <c:ptCount val="5"/>
                <c:pt idx="0">
                  <c:v>Job Satisfaction</c:v>
                </c:pt>
                <c:pt idx="1">
                  <c:v>Environment Satisfaction</c:v>
                </c:pt>
                <c:pt idx="2">
                  <c:v>Relationship Satisfaction</c:v>
                </c:pt>
                <c:pt idx="3">
                  <c:v>Work-life Balance</c:v>
                </c:pt>
                <c:pt idx="4">
                  <c:v>Job Involvement</c:v>
                </c:pt>
              </c:strCache>
            </c:strRef>
          </c:cat>
          <c:val>
            <c:numRef>
              <c:f>Satisfaction_Analysis!$C$7:$C$11</c:f>
              <c:numCache>
                <c:formatCode>0.00</c:formatCode>
                <c:ptCount val="5"/>
                <c:pt idx="0">
                  <c:v>2.7285714285714286</c:v>
                </c:pt>
                <c:pt idx="1">
                  <c:v>2.721768707482993</c:v>
                </c:pt>
                <c:pt idx="2">
                  <c:v>2.7122448979591836</c:v>
                </c:pt>
                <c:pt idx="3">
                  <c:v>2.7612244897959184</c:v>
                </c:pt>
                <c:pt idx="4">
                  <c:v>2.7299319727891156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C-49B4-A5C3-207D3916A7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09197616"/>
        <c:axId val="1809195216"/>
      </c:radarChart>
      <c:catAx>
        <c:axId val="180919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809195216"/>
        <c:crosses val="autoZero"/>
        <c:auto val="1"/>
        <c:lblAlgn val="ctr"/>
        <c:lblOffset val="100"/>
        <c:noMultiLvlLbl val="0"/>
      </c:catAx>
      <c:valAx>
        <c:axId val="18091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80919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800" b="1" i="0" u="none" strike="noStrike" cap="all" baseline="0">
                <a:effectLst/>
              </a:rPr>
              <a:t>Job Satisfaction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Satisfaction_Analysis!$D$15</c:f>
              <c:strCache>
                <c:ptCount val="1"/>
                <c:pt idx="0">
                  <c:v>Count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Satisfaction_Analysis!$B$16:$B$19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 High</c:v>
                </c:pt>
              </c:strCache>
            </c:strRef>
          </c:cat>
          <c:val>
            <c:numRef>
              <c:f>Satisfaction_Analysis!$D$16:$D$19</c:f>
              <c:numCache>
                <c:formatCode>General</c:formatCode>
                <c:ptCount val="4"/>
                <c:pt idx="0">
                  <c:v>289</c:v>
                </c:pt>
                <c:pt idx="1">
                  <c:v>280</c:v>
                </c:pt>
                <c:pt idx="2">
                  <c:v>442</c:v>
                </c:pt>
                <c:pt idx="3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B-4F9A-8CB6-70616F8857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797204352"/>
        <c:axId val="1797202432"/>
      </c:barChart>
      <c:catAx>
        <c:axId val="179720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797202432"/>
        <c:crosses val="autoZero"/>
        <c:auto val="1"/>
        <c:lblAlgn val="ctr"/>
        <c:lblOffset val="100"/>
        <c:noMultiLvlLbl val="0"/>
      </c:catAx>
      <c:valAx>
        <c:axId val="179720243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79720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400" b="1" i="0" u="none" strike="noStrike" baseline="0">
                <a:effectLst/>
              </a:rPr>
              <a:t>Attrition by Job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Satisfaction_Analysis!$F$15</c:f>
              <c:strCache>
                <c:ptCount val="1"/>
                <c:pt idx="0">
                  <c:v>Attrition Rate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Satisfaction_Analysis!$B$16:$B$19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 High</c:v>
                </c:pt>
              </c:strCache>
            </c:strRef>
          </c:cat>
          <c:val>
            <c:numRef>
              <c:f>Satisfaction_Analysis!$F$16:$F$19</c:f>
              <c:numCache>
                <c:formatCode>0.00</c:formatCode>
                <c:ptCount val="4"/>
                <c:pt idx="0">
                  <c:v>22.837370242214533</c:v>
                </c:pt>
                <c:pt idx="1">
                  <c:v>16.428571428571427</c:v>
                </c:pt>
                <c:pt idx="2">
                  <c:v>16.515837104072396</c:v>
                </c:pt>
                <c:pt idx="3">
                  <c:v>11.328976034858387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B-47D9-B25F-212C111275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21870880"/>
        <c:axId val="1721868480"/>
      </c:lineChart>
      <c:catAx>
        <c:axId val="172187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721868480"/>
        <c:crosses val="autoZero"/>
        <c:auto val="1"/>
        <c:lblAlgn val="ctr"/>
        <c:lblOffset val="100"/>
        <c:noMultiLvlLbl val="0"/>
      </c:catAx>
      <c:valAx>
        <c:axId val="172186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172187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400" b="1" i="0" u="none" strike="noStrike" baseline="0">
                <a:effectLst/>
              </a:rPr>
              <a:t>Satisfaction Comparison</a:t>
            </a:r>
            <a:endParaRPr lang="az-Latn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Satisfaction_Analysis!$C$47</c:f>
              <c:strCache>
                <c:ptCount val="1"/>
                <c:pt idx="0">
                  <c:v>Job Satisfaction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Satisfaction_Analysis!$B$48:$B$50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Research &amp; Development</c:v>
                </c:pt>
              </c:strCache>
            </c:strRef>
          </c:cat>
          <c:val>
            <c:numRef>
              <c:f>Satisfaction_Analysis!$C$48:$C$50</c:f>
              <c:numCache>
                <c:formatCode>0.00</c:formatCode>
                <c:ptCount val="3"/>
                <c:pt idx="0">
                  <c:v>2.6031746031746033</c:v>
                </c:pt>
                <c:pt idx="1">
                  <c:v>2.7511210762331837</c:v>
                </c:pt>
                <c:pt idx="2">
                  <c:v>2.7263267429760667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5-4B39-80B8-63076EA3AD7B}"/>
            </c:ext>
          </c:extLst>
        </c:ser>
        <c:ser>
          <c:idx val="1"/>
          <c:order val="1"/>
          <c:tx>
            <c:strRef>
              <c:f>Satisfaction_Analysis!$D$47</c:f>
              <c:strCache>
                <c:ptCount val="1"/>
                <c:pt idx="0">
                  <c:v>Environment Satisfaction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Satisfaction_Analysis!$B$48:$B$50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Research &amp; Development</c:v>
                </c:pt>
              </c:strCache>
            </c:strRef>
          </c:cat>
          <c:val>
            <c:numRef>
              <c:f>Satisfaction_Analysis!$D$48:$D$50</c:f>
              <c:numCache>
                <c:formatCode>0.00</c:formatCode>
                <c:ptCount val="3"/>
                <c:pt idx="0">
                  <c:v>2.6825396825396823</c:v>
                </c:pt>
                <c:pt idx="1">
                  <c:v>2.6793721973094171</c:v>
                </c:pt>
                <c:pt idx="2">
                  <c:v>2.7440166493236213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05-4B39-80B8-63076EA3AD7B}"/>
            </c:ext>
          </c:extLst>
        </c:ser>
        <c:ser>
          <c:idx val="2"/>
          <c:order val="2"/>
          <c:tx>
            <c:strRef>
              <c:f>Satisfaction_Analysis!$E$47</c:f>
              <c:strCache>
                <c:ptCount val="1"/>
                <c:pt idx="0">
                  <c:v>Relationship Satisfaction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Satisfaction_Analysis!$B$48:$B$50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Research &amp; Development</c:v>
                </c:pt>
              </c:strCache>
            </c:strRef>
          </c:cat>
          <c:val>
            <c:numRef>
              <c:f>Satisfaction_Analysis!$E$48:$E$50</c:f>
              <c:numCache>
                <c:formatCode>0.00</c:formatCode>
                <c:ptCount val="3"/>
                <c:pt idx="0">
                  <c:v>2.8888888888888888</c:v>
                </c:pt>
                <c:pt idx="1">
                  <c:v>2.695067264573991</c:v>
                </c:pt>
                <c:pt idx="2">
                  <c:v>2.7086368366285121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05-4B39-80B8-63076EA3AD7B}"/>
            </c:ext>
          </c:extLst>
        </c:ser>
        <c:ser>
          <c:idx val="3"/>
          <c:order val="3"/>
          <c:tx>
            <c:strRef>
              <c:f>Satisfaction_Analysis!$F$47</c:f>
              <c:strCache>
                <c:ptCount val="1"/>
                <c:pt idx="0">
                  <c:v>Work-life Balance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Satisfaction_Analysis!$B$48:$B$50</c:f>
              <c:strCache>
                <c:ptCount val="3"/>
                <c:pt idx="0">
                  <c:v>Human Resources</c:v>
                </c:pt>
                <c:pt idx="1">
                  <c:v>Sales</c:v>
                </c:pt>
                <c:pt idx="2">
                  <c:v>Research &amp; Development</c:v>
                </c:pt>
              </c:strCache>
            </c:strRef>
          </c:cat>
          <c:val>
            <c:numRef>
              <c:f>Satisfaction_Analysis!$F$48:$F$50</c:f>
              <c:numCache>
                <c:formatCode>0.00</c:formatCode>
                <c:ptCount val="3"/>
                <c:pt idx="0">
                  <c:v>2.9206349206349205</c:v>
                </c:pt>
                <c:pt idx="1">
                  <c:v>2.8161434977578477</c:v>
                </c:pt>
                <c:pt idx="2">
                  <c:v>2.7252861602497398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05-4B39-80B8-63076EA3AD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7152000"/>
        <c:axId val="2107153920"/>
      </c:barChart>
      <c:catAx>
        <c:axId val="210715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107153920"/>
        <c:crosses val="autoZero"/>
        <c:auto val="1"/>
        <c:lblAlgn val="ctr"/>
        <c:lblOffset val="100"/>
        <c:noMultiLvlLbl val="0"/>
      </c:catAx>
      <c:valAx>
        <c:axId val="21071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210715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[hr_data.xlsx]Pivot_Tables!PivotTable41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400" b="0" i="0" u="none" strike="noStrike" baseline="0">
                <a:effectLst/>
              </a:rPr>
              <a:t>Employee &amp; Attrition by Department</a:t>
            </a:r>
            <a:endParaRPr lang="az-Latn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z-Latn-A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z-Latn-A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z-Latn-A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Pivot_Tables!$C$4</c:f>
              <c:strCache>
                <c:ptCount val="1"/>
                <c:pt idx="0">
                  <c:v>Sum of EmployeeNumber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Pivot_Tables!$B$5:$B$19</c:f>
              <c:multiLvlStrCache>
                <c:ptCount val="1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Laboratory Technician</c:v>
                  </c:pt>
                  <c:pt idx="4">
                    <c:v>Manager</c:v>
                  </c:pt>
                  <c:pt idx="5">
                    <c:v>Manufacturing Director</c:v>
                  </c:pt>
                  <c:pt idx="6">
                    <c:v>Research Director</c:v>
                  </c:pt>
                  <c:pt idx="7">
                    <c:v>Research Scientist</c:v>
                  </c:pt>
                  <c:pt idx="8">
                    <c:v>Manager</c:v>
                  </c:pt>
                  <c:pt idx="9">
                    <c:v>Sales Executive</c:v>
                  </c:pt>
                  <c:pt idx="10">
                    <c:v>Sales Representative</c:v>
                  </c:pt>
                </c:lvl>
                <c:lvl>
                  <c:pt idx="0">
                    <c:v>Human Resources</c:v>
                  </c:pt>
                  <c:pt idx="2">
                    <c:v>Research &amp; Development</c:v>
                  </c:pt>
                  <c:pt idx="8">
                    <c:v>Sales</c:v>
                  </c:pt>
                </c:lvl>
              </c:multiLvlStrCache>
            </c:multiLvlStrRef>
          </c:cat>
          <c:val>
            <c:numRef>
              <c:f>Pivot_Tables!$C$5:$C$19</c:f>
              <c:numCache>
                <c:formatCode>General</c:formatCode>
                <c:ptCount val="11"/>
                <c:pt idx="0">
                  <c:v>64289</c:v>
                </c:pt>
                <c:pt idx="1">
                  <c:v>11643</c:v>
                </c:pt>
                <c:pt idx="2">
                  <c:v>140797</c:v>
                </c:pt>
                <c:pt idx="3">
                  <c:v>258793</c:v>
                </c:pt>
                <c:pt idx="4">
                  <c:v>50639</c:v>
                </c:pt>
                <c:pt idx="5">
                  <c:v>144820</c:v>
                </c:pt>
                <c:pt idx="6">
                  <c:v>79183</c:v>
                </c:pt>
                <c:pt idx="7">
                  <c:v>293018</c:v>
                </c:pt>
                <c:pt idx="8">
                  <c:v>34373</c:v>
                </c:pt>
                <c:pt idx="9">
                  <c:v>342656</c:v>
                </c:pt>
                <c:pt idx="10">
                  <c:v>86341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1-4C1A-AFD8-5E1C43218DC2}"/>
            </c:ext>
          </c:extLst>
        </c:ser>
        <c:ser>
          <c:idx val="1"/>
          <c:order val="1"/>
          <c:tx>
            <c:strRef>
              <c:f>Pivot_Tables!$D$4</c:f>
              <c:strCache>
                <c:ptCount val="1"/>
                <c:pt idx="0">
                  <c:v>Summarize by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Pivot_Tables!$B$5:$B$19</c:f>
              <c:multiLvlStrCache>
                <c:ptCount val="1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Laboratory Technician</c:v>
                  </c:pt>
                  <c:pt idx="4">
                    <c:v>Manager</c:v>
                  </c:pt>
                  <c:pt idx="5">
                    <c:v>Manufacturing Director</c:v>
                  </c:pt>
                  <c:pt idx="6">
                    <c:v>Research Director</c:v>
                  </c:pt>
                  <c:pt idx="7">
                    <c:v>Research Scientist</c:v>
                  </c:pt>
                  <c:pt idx="8">
                    <c:v>Manager</c:v>
                  </c:pt>
                  <c:pt idx="9">
                    <c:v>Sales Executive</c:v>
                  </c:pt>
                  <c:pt idx="10">
                    <c:v>Sales Representative</c:v>
                  </c:pt>
                </c:lvl>
                <c:lvl>
                  <c:pt idx="0">
                    <c:v>Human Resources</c:v>
                  </c:pt>
                  <c:pt idx="2">
                    <c:v>Research &amp; Development</c:v>
                  </c:pt>
                  <c:pt idx="8">
                    <c:v>Sales</c:v>
                  </c:pt>
                </c:lvl>
              </c:multiLvlStrCache>
            </c:multiLvlStrRef>
          </c:cat>
          <c:val>
            <c:numRef>
              <c:f>Pivot_Tables!$D$5:$D$19</c:f>
              <c:numCache>
                <c:formatCode>General</c:formatCode>
                <c:ptCount val="11"/>
                <c:pt idx="0">
                  <c:v>52</c:v>
                </c:pt>
                <c:pt idx="1">
                  <c:v>11</c:v>
                </c:pt>
                <c:pt idx="2">
                  <c:v>131</c:v>
                </c:pt>
                <c:pt idx="3">
                  <c:v>259</c:v>
                </c:pt>
                <c:pt idx="4">
                  <c:v>54</c:v>
                </c:pt>
                <c:pt idx="5">
                  <c:v>145</c:v>
                </c:pt>
                <c:pt idx="6">
                  <c:v>80</c:v>
                </c:pt>
                <c:pt idx="7">
                  <c:v>292</c:v>
                </c:pt>
                <c:pt idx="8">
                  <c:v>37</c:v>
                </c:pt>
                <c:pt idx="9">
                  <c:v>326</c:v>
                </c:pt>
                <c:pt idx="10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1-4C1A-AFD8-5E1C43218DC2}"/>
            </c:ext>
          </c:extLst>
        </c:ser>
        <c:ser>
          <c:idx val="2"/>
          <c:order val="2"/>
          <c:tx>
            <c:strRef>
              <c:f>Pivot_Tables!$E$4</c:f>
              <c:strCache>
                <c:ptCount val="1"/>
                <c:pt idx="0">
                  <c:v>Count of Attrition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Pivot_Tables!$B$5:$B$19</c:f>
              <c:multiLvlStrCache>
                <c:ptCount val="1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Laboratory Technician</c:v>
                  </c:pt>
                  <c:pt idx="4">
                    <c:v>Manager</c:v>
                  </c:pt>
                  <c:pt idx="5">
                    <c:v>Manufacturing Director</c:v>
                  </c:pt>
                  <c:pt idx="6">
                    <c:v>Research Director</c:v>
                  </c:pt>
                  <c:pt idx="7">
                    <c:v>Research Scientist</c:v>
                  </c:pt>
                  <c:pt idx="8">
                    <c:v>Manager</c:v>
                  </c:pt>
                  <c:pt idx="9">
                    <c:v>Sales Executive</c:v>
                  </c:pt>
                  <c:pt idx="10">
                    <c:v>Sales Representative</c:v>
                  </c:pt>
                </c:lvl>
                <c:lvl>
                  <c:pt idx="0">
                    <c:v>Human Resources</c:v>
                  </c:pt>
                  <c:pt idx="2">
                    <c:v>Research &amp; Development</c:v>
                  </c:pt>
                  <c:pt idx="8">
                    <c:v>Sales</c:v>
                  </c:pt>
                </c:lvl>
              </c:multiLvlStrCache>
            </c:multiLvlStrRef>
          </c:cat>
          <c:val>
            <c:numRef>
              <c:f>Pivot_Tables!$E$5:$E$19</c:f>
              <c:numCache>
                <c:formatCode>0.00%</c:formatCode>
                <c:ptCount val="11"/>
                <c:pt idx="0">
                  <c:v>0.82539682539682535</c:v>
                </c:pt>
                <c:pt idx="1">
                  <c:v>0.17460317460317459</c:v>
                </c:pt>
                <c:pt idx="2">
                  <c:v>0.13631633714880334</c:v>
                </c:pt>
                <c:pt idx="3">
                  <c:v>0.26951092611862643</c:v>
                </c:pt>
                <c:pt idx="4">
                  <c:v>5.6191467221644122E-2</c:v>
                </c:pt>
                <c:pt idx="5">
                  <c:v>0.15088449531737774</c:v>
                </c:pt>
                <c:pt idx="6">
                  <c:v>8.3246618106139439E-2</c:v>
                </c:pt>
                <c:pt idx="7">
                  <c:v>0.30385015608740895</c:v>
                </c:pt>
                <c:pt idx="8">
                  <c:v>8.2959641255605385E-2</c:v>
                </c:pt>
                <c:pt idx="9">
                  <c:v>0.73094170403587444</c:v>
                </c:pt>
                <c:pt idx="10">
                  <c:v>0.18609865470852019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51-4C1A-AFD8-5E1C43218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982927"/>
        <c:axId val="632985807"/>
      </c:barChart>
      <c:catAx>
        <c:axId val="63298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632985807"/>
        <c:crosses val="autoZero"/>
        <c:auto val="1"/>
        <c:lblAlgn val="ctr"/>
        <c:lblOffset val="100"/>
        <c:noMultiLvlLbl val="0"/>
      </c:catAx>
      <c:valAx>
        <c:axId val="63298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63298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[hr_data.xlsx]Pivot_Tables!PivotTable42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Latn-AZ" sz="1400" b="0" i="0" u="none" strike="noStrike" baseline="0">
                <a:effectLst/>
              </a:rPr>
              <a:t>Average Income by Department &amp; Level</a:t>
            </a:r>
            <a:endParaRPr lang="az-Latn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z-Latn-A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z-Latn-A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z-Latn-A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Pivot_Tables!$H$4</c:f>
              <c:strCache>
                <c:ptCount val="1"/>
                <c:pt idx="0">
                  <c:v>Average of MonthlyIncome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Pivot_Tables!$G$5:$G$23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1</c:v>
                  </c:pt>
                  <c:pt idx="11">
                    <c:v>2</c:v>
                  </c:pt>
                  <c:pt idx="12">
                    <c:v>3</c:v>
                  </c:pt>
                  <c:pt idx="13">
                    <c:v>4</c:v>
                  </c:pt>
                  <c:pt idx="14">
                    <c:v>5</c:v>
                  </c:pt>
                </c:lvl>
                <c:lvl>
                  <c:pt idx="0">
                    <c:v>Human Resources</c:v>
                  </c:pt>
                  <c:pt idx="5">
                    <c:v>Research &amp; Development</c:v>
                  </c:pt>
                  <c:pt idx="10">
                    <c:v>Sales</c:v>
                  </c:pt>
                </c:lvl>
              </c:multiLvlStrCache>
            </c:multiLvlStrRef>
          </c:cat>
          <c:val>
            <c:numRef>
              <c:f>Pivot_Tables!$H$5:$H$23</c:f>
              <c:numCache>
                <c:formatCode>General</c:formatCode>
                <c:ptCount val="15"/>
                <c:pt idx="0">
                  <c:v>2733.212121212121</c:v>
                </c:pt>
                <c:pt idx="1">
                  <c:v>5563.4615384615381</c:v>
                </c:pt>
                <c:pt idx="2">
                  <c:v>9623</c:v>
                </c:pt>
                <c:pt idx="3">
                  <c:v>16147.5</c:v>
                </c:pt>
                <c:pt idx="4">
                  <c:v>19197.857142857141</c:v>
                </c:pt>
                <c:pt idx="5">
                  <c:v>2840.0645161290322</c:v>
                </c:pt>
                <c:pt idx="6">
                  <c:v>5291.2384341637007</c:v>
                </c:pt>
                <c:pt idx="7">
                  <c:v>10170.488372093023</c:v>
                </c:pt>
                <c:pt idx="8">
                  <c:v>15634.676470588236</c:v>
                </c:pt>
                <c:pt idx="9">
                  <c:v>19218.510204081631</c:v>
                </c:pt>
                <c:pt idx="10">
                  <c:v>2506.7236842105262</c:v>
                </c:pt>
                <c:pt idx="11">
                  <c:v>5746.0541666666668</c:v>
                </c:pt>
                <c:pt idx="12">
                  <c:v>9282.2891566265062</c:v>
                </c:pt>
                <c:pt idx="13">
                  <c:v>15166.264705882353</c:v>
                </c:pt>
                <c:pt idx="14">
                  <c:v>19088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A-456B-8F1A-83100618EFD4}"/>
            </c:ext>
          </c:extLst>
        </c:ser>
        <c:ser>
          <c:idx val="1"/>
          <c:order val="1"/>
          <c:tx>
            <c:strRef>
              <c:f>Pivot_Tables!$I$4</c:f>
              <c:strCache>
                <c:ptCount val="1"/>
                <c:pt idx="0">
                  <c:v>Average of PerformanceRating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Pivot_Tables!$G$5:$G$23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1</c:v>
                  </c:pt>
                  <c:pt idx="11">
                    <c:v>2</c:v>
                  </c:pt>
                  <c:pt idx="12">
                    <c:v>3</c:v>
                  </c:pt>
                  <c:pt idx="13">
                    <c:v>4</c:v>
                  </c:pt>
                  <c:pt idx="14">
                    <c:v>5</c:v>
                  </c:pt>
                </c:lvl>
                <c:lvl>
                  <c:pt idx="0">
                    <c:v>Human Resources</c:v>
                  </c:pt>
                  <c:pt idx="5">
                    <c:v>Research &amp; Development</c:v>
                  </c:pt>
                  <c:pt idx="10">
                    <c:v>Sales</c:v>
                  </c:pt>
                </c:lvl>
              </c:multiLvlStrCache>
            </c:multiLvlStrRef>
          </c:cat>
          <c:val>
            <c:numRef>
              <c:f>Pivot_Tables!$I$5:$I$23</c:f>
              <c:numCache>
                <c:formatCode>General</c:formatCode>
                <c:ptCount val="15"/>
                <c:pt idx="0">
                  <c:v>3.1212121212121211</c:v>
                </c:pt>
                <c:pt idx="1">
                  <c:v>3.1538461538461537</c:v>
                </c:pt>
                <c:pt idx="2">
                  <c:v>3.1666666666666665</c:v>
                </c:pt>
                <c:pt idx="3">
                  <c:v>3.25</c:v>
                </c:pt>
                <c:pt idx="4">
                  <c:v>3.1428571428571428</c:v>
                </c:pt>
                <c:pt idx="5">
                  <c:v>3.1728110599078341</c:v>
                </c:pt>
                <c:pt idx="6">
                  <c:v>3.1494661921708187</c:v>
                </c:pt>
                <c:pt idx="7">
                  <c:v>3.1705426356589146</c:v>
                </c:pt>
                <c:pt idx="8">
                  <c:v>3.1911764705882355</c:v>
                </c:pt>
                <c:pt idx="9">
                  <c:v>3.0816326530612246</c:v>
                </c:pt>
                <c:pt idx="10">
                  <c:v>3.1184210526315788</c:v>
                </c:pt>
                <c:pt idx="11">
                  <c:v>3.15</c:v>
                </c:pt>
                <c:pt idx="12">
                  <c:v>3.1204819277108435</c:v>
                </c:pt>
                <c:pt idx="13">
                  <c:v>3.1176470588235294</c:v>
                </c:pt>
                <c:pt idx="14">
                  <c:v>3.1538461538461537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9A-456B-8F1A-83100618EFD4}"/>
            </c:ext>
          </c:extLst>
        </c:ser>
        <c:ser>
          <c:idx val="2"/>
          <c:order val="2"/>
          <c:tx>
            <c:strRef>
              <c:f>Pivot_Tables!$J$4</c:f>
              <c:strCache>
                <c:ptCount val="1"/>
                <c:pt idx="0">
                  <c:v>Count of EmployeeNumber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Pivot_Tables!$G$5:$G$23</c:f>
              <c:multiLvlStrCache>
                <c:ptCount val="1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1</c:v>
                  </c:pt>
                  <c:pt idx="11">
                    <c:v>2</c:v>
                  </c:pt>
                  <c:pt idx="12">
                    <c:v>3</c:v>
                  </c:pt>
                  <c:pt idx="13">
                    <c:v>4</c:v>
                  </c:pt>
                  <c:pt idx="14">
                    <c:v>5</c:v>
                  </c:pt>
                </c:lvl>
                <c:lvl>
                  <c:pt idx="0">
                    <c:v>Human Resources</c:v>
                  </c:pt>
                  <c:pt idx="5">
                    <c:v>Research &amp; Development</c:v>
                  </c:pt>
                  <c:pt idx="10">
                    <c:v>Sales</c:v>
                  </c:pt>
                </c:lvl>
              </c:multiLvlStrCache>
            </c:multiLvlStrRef>
          </c:cat>
          <c:val>
            <c:numRef>
              <c:f>Pivot_Tables!$J$5:$J$23</c:f>
              <c:numCache>
                <c:formatCode>General</c:formatCode>
                <c:ptCount val="15"/>
                <c:pt idx="0">
                  <c:v>33</c:v>
                </c:pt>
                <c:pt idx="1">
                  <c:v>13</c:v>
                </c:pt>
                <c:pt idx="2">
                  <c:v>6</c:v>
                </c:pt>
                <c:pt idx="3">
                  <c:v>4</c:v>
                </c:pt>
                <c:pt idx="4">
                  <c:v>7</c:v>
                </c:pt>
                <c:pt idx="5">
                  <c:v>434</c:v>
                </c:pt>
                <c:pt idx="6">
                  <c:v>281</c:v>
                </c:pt>
                <c:pt idx="7">
                  <c:v>129</c:v>
                </c:pt>
                <c:pt idx="8">
                  <c:v>68</c:v>
                </c:pt>
                <c:pt idx="9">
                  <c:v>49</c:v>
                </c:pt>
                <c:pt idx="10">
                  <c:v>76</c:v>
                </c:pt>
                <c:pt idx="11">
                  <c:v>240</c:v>
                </c:pt>
                <c:pt idx="12">
                  <c:v>83</c:v>
                </c:pt>
                <c:pt idx="13">
                  <c:v>34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9A-456B-8F1A-83100618E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013679"/>
        <c:axId val="938014159"/>
      </c:barChart>
      <c:catAx>
        <c:axId val="93801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938014159"/>
        <c:crosses val="autoZero"/>
        <c:auto val="1"/>
        <c:lblAlgn val="ctr"/>
        <c:lblOffset val="100"/>
        <c:noMultiLvlLbl val="0"/>
      </c:catAx>
      <c:valAx>
        <c:axId val="93801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z-Latn-AZ"/>
          </a:p>
        </c:txPr>
        <c:crossAx val="93801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z-Latn-A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az-Latn-AZ" sz="1500" b="1" i="0" u="none" strike="noStrike" cap="all" spc="100" baseline="0">
                <a:solidFill>
                  <a:sysClr val="window" lastClr="FFFFFF"/>
                </a:solidFill>
                <a:effectLst/>
                <a:latin typeface="Calibri"/>
                <a:ea typeface="Calibri" panose="020F0502020204030204" pitchFamily="34" charset="0"/>
                <a:cs typeface="Calibri" panose="020F0502020204030204" pitchFamily="34" charset="0"/>
              </a:rPr>
              <a:t>Age Distribution</a:t>
            </a:r>
            <a:endParaRPr lang="en-US" sz="1500" b="1" i="0" u="none" strike="noStrike" cap="all" spc="100" baseline="0">
              <a:solidFill>
                <a:sysClr val="window" lastClr="FFFFFF"/>
              </a:solidFill>
              <a:latin typeface="Calibri"/>
            </a:endParaRPr>
          </a:p>
        </cx:rich>
      </cx:tx>
    </cx:title>
    <cx:plotArea>
      <cx:plotAreaRegion>
        <cx:series layoutId="clusteredColumn" uniqueId="{6159A195-3BBB-4EC9-AF67-242CA35518DC}">
          <cx:tx>
            <cx:txData>
              <cx:f>_xlchart.v1.0</cx:f>
              <cx:v>Age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microsoft.com/office/2014/relationships/chartEx" Target="../charts/chartEx1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871075</xdr:colOff>
      <xdr:row>17</xdr:row>
      <xdr:rowOff>4762</xdr:rowOff>
    </xdr:from>
    <xdr:to>
      <xdr:col>10</xdr:col>
      <xdr:colOff>251950</xdr:colOff>
      <xdr:row>31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4D144-93AF-9DF1-4DEC-4F0AF8D60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604274</xdr:colOff>
      <xdr:row>17</xdr:row>
      <xdr:rowOff>4762</xdr:rowOff>
    </xdr:from>
    <xdr:to>
      <xdr:col>4</xdr:col>
      <xdr:colOff>437433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155E1C-7CAB-B1E2-E551-2F9682086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17</xdr:row>
      <xdr:rowOff>4045</xdr:rowOff>
    </xdr:from>
    <xdr:to>
      <xdr:col>18</xdr:col>
      <xdr:colOff>304800</xdr:colOff>
      <xdr:row>31</xdr:row>
      <xdr:rowOff>180258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667F28-0BA2-3323-7134-759BEB541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20</xdr:row>
      <xdr:rowOff>4762</xdr:rowOff>
    </xdr:from>
    <xdr:to>
      <xdr:col>14</xdr:col>
      <xdr:colOff>600075</xdr:colOff>
      <xdr:row>34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740B49-062D-2DF0-A762-5A55F6F9D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609599</xdr:colOff>
      <xdr:row>38</xdr:row>
      <xdr:rowOff>14286</xdr:rowOff>
    </xdr:from>
    <xdr:to>
      <xdr:col>14</xdr:col>
      <xdr:colOff>609599</xdr:colOff>
      <xdr:row>51</xdr:row>
      <xdr:rowOff>228599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5C9962-6B33-D367-CF0D-609FA9780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14287</xdr:colOff>
      <xdr:row>3</xdr:row>
      <xdr:rowOff>14286</xdr:rowOff>
    </xdr:from>
    <xdr:to>
      <xdr:col>15</xdr:col>
      <xdr:colOff>19050</xdr:colOff>
      <xdr:row>18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1FF37-B378-7231-1C53-A1A2B285F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9525</xdr:rowOff>
    </xdr:from>
    <xdr:to>
      <xdr:col>18</xdr:col>
      <xdr:colOff>19050</xdr:colOff>
      <xdr:row>16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1988F-B23C-A7F0-E199-E7D62A245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14286</xdr:colOff>
      <xdr:row>38</xdr:row>
      <xdr:rowOff>14287</xdr:rowOff>
    </xdr:from>
    <xdr:to>
      <xdr:col>18</xdr:col>
      <xdr:colOff>19049</xdr:colOff>
      <xdr:row>54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D51B83-C124-25D4-9206-93C5F8D1D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4761</xdr:colOff>
      <xdr:row>20</xdr:row>
      <xdr:rowOff>14287</xdr:rowOff>
    </xdr:from>
    <xdr:to>
      <xdr:col>18</xdr:col>
      <xdr:colOff>9524</xdr:colOff>
      <xdr:row>36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96D76B-CF76-C2EB-54A5-B61DD6950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4</xdr:row>
      <xdr:rowOff>4762</xdr:rowOff>
    </xdr:from>
    <xdr:to>
      <xdr:col>17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7C761-F38D-5162-E0B2-F3276CF75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22</xdr:row>
      <xdr:rowOff>190499</xdr:rowOff>
    </xdr:from>
    <xdr:to>
      <xdr:col>17</xdr:col>
      <xdr:colOff>0</xdr:colOff>
      <xdr:row>37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20D40D-CA75-4C90-B33B-E2E56608D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</xdr:colOff>
      <xdr:row>40</xdr:row>
      <xdr:rowOff>14287</xdr:rowOff>
    </xdr:from>
    <xdr:to>
      <xdr:col>17</xdr:col>
      <xdr:colOff>19050</xdr:colOff>
      <xdr:row>56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C3E6A7-15DA-A46B-06D1-6A19BAB6E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609599</xdr:colOff>
      <xdr:row>3</xdr:row>
      <xdr:rowOff>190499</xdr:rowOff>
    </xdr:from>
    <xdr:to>
      <xdr:col>17</xdr:col>
      <xdr:colOff>9524</xdr:colOff>
      <xdr:row>19</xdr:row>
      <xdr:rowOff>9524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15BB138-3F9F-4374-B8EC-2A196AF66A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53549" y="761999"/>
              <a:ext cx="4886325" cy="2962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az-Latn-AZ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9525</xdr:colOff>
      <xdr:row>21</xdr:row>
      <xdr:rowOff>4761</xdr:rowOff>
    </xdr:from>
    <xdr:to>
      <xdr:col>16</xdr:col>
      <xdr:colOff>600075</xdr:colOff>
      <xdr:row>35</xdr:row>
      <xdr:rowOff>238124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0D621C-9CD2-CE20-6D08-9D2A0AA82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39</xdr:row>
      <xdr:rowOff>4761</xdr:rowOff>
    </xdr:from>
    <xdr:to>
      <xdr:col>17</xdr:col>
      <xdr:colOff>0</xdr:colOff>
      <xdr:row>54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2A8B47-A54B-0962-C7E3-2AD585B7D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57</xdr:row>
      <xdr:rowOff>4762</xdr:rowOff>
    </xdr:from>
    <xdr:to>
      <xdr:col>17</xdr:col>
      <xdr:colOff>19050</xdr:colOff>
      <xdr:row>72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FCD7C6-37AA-334C-ABB9-94991C2E8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1409699</xdr:colOff>
      <xdr:row>5</xdr:row>
      <xdr:rowOff>4761</xdr:rowOff>
    </xdr:from>
    <xdr:to>
      <xdr:col>14</xdr:col>
      <xdr:colOff>600074</xdr:colOff>
      <xdr:row>20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3DEE6-4D33-9937-3AE9-2C0FBAC8B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1409699</xdr:colOff>
      <xdr:row>22</xdr:row>
      <xdr:rowOff>4761</xdr:rowOff>
    </xdr:from>
    <xdr:to>
      <xdr:col>14</xdr:col>
      <xdr:colOff>600074</xdr:colOff>
      <xdr:row>37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EAC9FF-CABE-521C-7C11-FBE13FACC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39</xdr:row>
      <xdr:rowOff>4762</xdr:rowOff>
    </xdr:from>
    <xdr:to>
      <xdr:col>15</xdr:col>
      <xdr:colOff>0</xdr:colOff>
      <xdr:row>54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D5BA99-B8DB-B126-1A34-50ECE362B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4761</xdr:colOff>
      <xdr:row>5</xdr:row>
      <xdr:rowOff>14286</xdr:rowOff>
    </xdr:from>
    <xdr:to>
      <xdr:col>17</xdr:col>
      <xdr:colOff>9524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536F6-A3E3-EB5C-96D3-E547DFA4B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</xdr:colOff>
      <xdr:row>62</xdr:row>
      <xdr:rowOff>4762</xdr:rowOff>
    </xdr:from>
    <xdr:to>
      <xdr:col>16</xdr:col>
      <xdr:colOff>600075</xdr:colOff>
      <xdr:row>79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678931-7212-27AC-19C4-15636DC10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14286</xdr:colOff>
      <xdr:row>42</xdr:row>
      <xdr:rowOff>185737</xdr:rowOff>
    </xdr:from>
    <xdr:to>
      <xdr:col>16</xdr:col>
      <xdr:colOff>609599</xdr:colOff>
      <xdr:row>60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48DC24-4C8F-5DBB-2E54-B88B4E7ED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4761</xdr:colOff>
      <xdr:row>23</xdr:row>
      <xdr:rowOff>4761</xdr:rowOff>
    </xdr:from>
    <xdr:to>
      <xdr:col>17</xdr:col>
      <xdr:colOff>47624</xdr:colOff>
      <xdr:row>40</xdr:row>
      <xdr:rowOff>9524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7B5C3E-04A3-A324-8335-953240CDDD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23811</xdr:colOff>
      <xdr:row>5</xdr:row>
      <xdr:rowOff>4761</xdr:rowOff>
    </xdr:from>
    <xdr:to>
      <xdr:col>17</xdr:col>
      <xdr:colOff>600075</xdr:colOff>
      <xdr:row>20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F22DF-ACD3-9748-F714-BAA8CA76B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4761</xdr:colOff>
      <xdr:row>24</xdr:row>
      <xdr:rowOff>4762</xdr:rowOff>
    </xdr:from>
    <xdr:to>
      <xdr:col>18</xdr:col>
      <xdr:colOff>9525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222687-9384-0419-9A57-D8D63F8B7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</xdr:colOff>
      <xdr:row>42</xdr:row>
      <xdr:rowOff>166686</xdr:rowOff>
    </xdr:from>
    <xdr:to>
      <xdr:col>18</xdr:col>
      <xdr:colOff>0</xdr:colOff>
      <xdr:row>57</xdr:row>
      <xdr:rowOff>190499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19B9D3-0DFF-DD14-7F71-0E44F60EB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14286</xdr:colOff>
      <xdr:row>61</xdr:row>
      <xdr:rowOff>14286</xdr:rowOff>
    </xdr:from>
    <xdr:to>
      <xdr:col>17</xdr:col>
      <xdr:colOff>609599</xdr:colOff>
      <xdr:row>77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A9EB11-7450-BC3F-A70B-CCC9F2365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2040842</xdr:colOff>
      <xdr:row>3</xdr:row>
      <xdr:rowOff>3820</xdr:rowOff>
    </xdr:from>
    <xdr:to>
      <xdr:col>21</xdr:col>
      <xdr:colOff>8005</xdr:colOff>
      <xdr:row>28</xdr:row>
      <xdr:rowOff>8004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0A617B-74E3-8CFB-8A79-5E758A17E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2041070</xdr:colOff>
      <xdr:row>30</xdr:row>
      <xdr:rowOff>186417</xdr:rowOff>
    </xdr:from>
    <xdr:to>
      <xdr:col>21</xdr:col>
      <xdr:colOff>2720</xdr:colOff>
      <xdr:row>56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2EB5AD-5B7F-73C0-20B3-F79B8E879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əyyam Əhmədov" refreshedDate="46064.067909722224" createdVersion="8" refreshedVersion="8" minRefreshableVersion="3" recordCount="1470" xr:uid="{7904D63C-887A-4608-93E2-BA465F4BD0F2}">
  <cacheSource type="worksheet">
    <worksheetSource name="HR_Data"/>
  </cacheSource>
  <cacheFields count="42">
    <cacheField name="Age" numFmtId="1">
      <sharedItems containsSemiMixedTypes="0" containsString="0" containsNumber="1" containsInteger="1" minValue="18" maxValue="60"/>
    </cacheField>
    <cacheField name="Attrition" numFmtId="49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Group" numFmtId="0">
      <sharedItems/>
    </cacheField>
    <cacheField name="Salary Range" numFmtId="0">
      <sharedItems/>
    </cacheField>
    <cacheField name="Tenure Group" numFmtId="0">
      <sharedItems/>
    </cacheField>
    <cacheField name="Experience Level" numFmtId="0">
      <sharedItems/>
    </cacheField>
    <cacheField name="Performance Category" numFmtId="0">
      <sharedItems/>
    </cacheField>
    <cacheField name="Satisfaction Level" numFmtId="0">
      <sharedItems/>
    </cacheField>
    <cacheField name="High Risk Attention" numFmtId="0">
      <sharedItems count="2">
        <s v="Normal"/>
        <s v="High Risk"/>
      </sharedItems>
    </cacheField>
  </cacheFields>
  <extLst>
    <ext xmlns:x14="http://schemas.microsoft.com/office/spreadsheetml/2009/9/main" uri="{725AE2AE-9491-48be-B2B4-4EB974FC3084}">
      <x14:pivotCacheDefinition pivotCacheId="101424700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x v="0"/>
    <s v="Female"/>
    <n v="94"/>
    <n v="3"/>
    <x v="0"/>
    <x v="0"/>
    <x v="0"/>
    <s v="Single"/>
    <n v="5993"/>
    <n v="19479"/>
    <n v="8"/>
    <s v="Y"/>
    <s v="Yes"/>
    <n v="11"/>
    <n v="3"/>
    <n v="1"/>
    <n v="80"/>
    <n v="0"/>
    <n v="8"/>
    <n v="0"/>
    <n v="1"/>
    <x v="0"/>
    <n v="4"/>
    <n v="0"/>
    <n v="5"/>
    <s v="36-45"/>
    <s v="Medium"/>
    <s v="6-10"/>
    <s v="Mid-Level"/>
    <s v="Standard"/>
    <s v="High"/>
    <x v="0"/>
  </r>
  <r>
    <n v="49"/>
    <x v="1"/>
    <s v="Travel_Frequently"/>
    <n v="279"/>
    <x v="1"/>
    <n v="8"/>
    <n v="1"/>
    <s v="Life Sciences"/>
    <n v="1"/>
    <n v="2"/>
    <x v="1"/>
    <s v="Male"/>
    <n v="61"/>
    <n v="2"/>
    <x v="0"/>
    <x v="1"/>
    <x v="1"/>
    <s v="Married"/>
    <n v="5130"/>
    <n v="24907"/>
    <n v="1"/>
    <s v="Y"/>
    <s v="No"/>
    <n v="23"/>
    <n v="4"/>
    <n v="4"/>
    <n v="80"/>
    <n v="1"/>
    <n v="10"/>
    <n v="3"/>
    <n v="3"/>
    <x v="1"/>
    <n v="7"/>
    <n v="1"/>
    <n v="7"/>
    <s v="46-55"/>
    <s v="Medium"/>
    <s v="6-10"/>
    <s v="Mid-Level"/>
    <s v="Excellent"/>
    <s v="Low"/>
    <x v="0"/>
  </r>
  <r>
    <n v="37"/>
    <x v="0"/>
    <s v="Travel_Rarely"/>
    <n v="1373"/>
    <x v="1"/>
    <n v="2"/>
    <n v="2"/>
    <s v="Other"/>
    <n v="1"/>
    <n v="4"/>
    <x v="2"/>
    <s v="Male"/>
    <n v="92"/>
    <n v="2"/>
    <x v="1"/>
    <x v="2"/>
    <x v="2"/>
    <s v="Single"/>
    <n v="2090"/>
    <n v="2396"/>
    <n v="6"/>
    <s v="Y"/>
    <s v="Yes"/>
    <n v="15"/>
    <n v="3"/>
    <n v="2"/>
    <n v="80"/>
    <n v="0"/>
    <n v="7"/>
    <n v="3"/>
    <n v="3"/>
    <x v="2"/>
    <n v="0"/>
    <n v="0"/>
    <n v="0"/>
    <s v="36-45"/>
    <s v="Low"/>
    <s v="0-2"/>
    <s v="Mid-Level"/>
    <s v="Standard"/>
    <s v="High"/>
    <x v="0"/>
  </r>
  <r>
    <n v="33"/>
    <x v="1"/>
    <s v="Travel_Frequently"/>
    <n v="1392"/>
    <x v="1"/>
    <n v="3"/>
    <n v="4"/>
    <s v="Life Sciences"/>
    <n v="1"/>
    <n v="5"/>
    <x v="2"/>
    <s v="Female"/>
    <n v="56"/>
    <n v="3"/>
    <x v="1"/>
    <x v="1"/>
    <x v="2"/>
    <s v="Married"/>
    <n v="2909"/>
    <n v="23159"/>
    <n v="1"/>
    <s v="Y"/>
    <s v="Yes"/>
    <n v="11"/>
    <n v="3"/>
    <n v="3"/>
    <n v="80"/>
    <n v="0"/>
    <n v="8"/>
    <n v="3"/>
    <n v="3"/>
    <x v="3"/>
    <n v="7"/>
    <n v="3"/>
    <n v="0"/>
    <s v="26-35"/>
    <s v="Low"/>
    <s v="6-10"/>
    <s v="Mid-Level"/>
    <s v="Standard"/>
    <s v="High"/>
    <x v="0"/>
  </r>
  <r>
    <n v="27"/>
    <x v="1"/>
    <s v="Travel_Rarely"/>
    <n v="591"/>
    <x v="1"/>
    <n v="2"/>
    <n v="1"/>
    <s v="Medical"/>
    <n v="1"/>
    <n v="7"/>
    <x v="3"/>
    <s v="Male"/>
    <n v="40"/>
    <n v="3"/>
    <x v="1"/>
    <x v="2"/>
    <x v="1"/>
    <s v="Married"/>
    <n v="3468"/>
    <n v="16632"/>
    <n v="9"/>
    <s v="Y"/>
    <s v="No"/>
    <n v="12"/>
    <n v="3"/>
    <n v="4"/>
    <n v="80"/>
    <n v="1"/>
    <n v="6"/>
    <n v="3"/>
    <n v="3"/>
    <x v="4"/>
    <n v="2"/>
    <n v="2"/>
    <n v="2"/>
    <s v="26-35"/>
    <s v="Medium"/>
    <s v="0-2"/>
    <s v="Mid-Level"/>
    <s v="Standard"/>
    <s v="Low"/>
    <x v="0"/>
  </r>
  <r>
    <n v="32"/>
    <x v="1"/>
    <s v="Travel_Frequently"/>
    <n v="1005"/>
    <x v="1"/>
    <n v="2"/>
    <n v="2"/>
    <s v="Life Sciences"/>
    <n v="1"/>
    <n v="8"/>
    <x v="2"/>
    <s v="Male"/>
    <n v="79"/>
    <n v="3"/>
    <x v="1"/>
    <x v="2"/>
    <x v="0"/>
    <s v="Single"/>
    <n v="3068"/>
    <n v="11864"/>
    <n v="0"/>
    <s v="Y"/>
    <s v="No"/>
    <n v="13"/>
    <n v="3"/>
    <n v="3"/>
    <n v="80"/>
    <n v="0"/>
    <n v="8"/>
    <n v="2"/>
    <n v="2"/>
    <x v="5"/>
    <n v="7"/>
    <n v="3"/>
    <n v="6"/>
    <s v="26-35"/>
    <s v="Medium"/>
    <s v="6-10"/>
    <s v="Mid-Level"/>
    <s v="Standard"/>
    <s v="High"/>
    <x v="0"/>
  </r>
  <r>
    <n v="59"/>
    <x v="1"/>
    <s v="Travel_Rarely"/>
    <n v="1324"/>
    <x v="1"/>
    <n v="3"/>
    <n v="3"/>
    <s v="Medical"/>
    <n v="1"/>
    <n v="10"/>
    <x v="1"/>
    <s v="Female"/>
    <n v="81"/>
    <n v="4"/>
    <x v="1"/>
    <x v="2"/>
    <x v="3"/>
    <s v="Married"/>
    <n v="2670"/>
    <n v="9964"/>
    <n v="4"/>
    <s v="Y"/>
    <s v="Yes"/>
    <n v="20"/>
    <n v="4"/>
    <n v="1"/>
    <n v="80"/>
    <n v="3"/>
    <n v="12"/>
    <n v="3"/>
    <n v="2"/>
    <x v="6"/>
    <n v="0"/>
    <n v="0"/>
    <n v="0"/>
    <s v="56+"/>
    <s v="Low"/>
    <s v="0-2"/>
    <s v="Mid-Level"/>
    <s v="Excellent"/>
    <s v="Low"/>
    <x v="1"/>
  </r>
  <r>
    <n v="30"/>
    <x v="1"/>
    <s v="Travel_Rarely"/>
    <n v="1358"/>
    <x v="1"/>
    <n v="24"/>
    <n v="1"/>
    <s v="Life Sciences"/>
    <n v="1"/>
    <n v="11"/>
    <x v="2"/>
    <s v="Male"/>
    <n v="67"/>
    <n v="3"/>
    <x v="1"/>
    <x v="2"/>
    <x v="2"/>
    <s v="Divorced"/>
    <n v="2693"/>
    <n v="13335"/>
    <n v="1"/>
    <s v="Y"/>
    <s v="No"/>
    <n v="22"/>
    <n v="4"/>
    <n v="2"/>
    <n v="80"/>
    <n v="1"/>
    <n v="1"/>
    <n v="2"/>
    <n v="3"/>
    <x v="6"/>
    <n v="0"/>
    <n v="0"/>
    <n v="0"/>
    <s v="26-35"/>
    <s v="Low"/>
    <s v="0-2"/>
    <s v="Junior"/>
    <s v="Excellent"/>
    <s v="High"/>
    <x v="0"/>
  </r>
  <r>
    <n v="38"/>
    <x v="1"/>
    <s v="Travel_Frequently"/>
    <n v="216"/>
    <x v="1"/>
    <n v="23"/>
    <n v="3"/>
    <s v="Life Sciences"/>
    <n v="1"/>
    <n v="12"/>
    <x v="2"/>
    <s v="Male"/>
    <n v="44"/>
    <n v="2"/>
    <x v="2"/>
    <x v="3"/>
    <x v="2"/>
    <s v="Single"/>
    <n v="9526"/>
    <n v="8787"/>
    <n v="0"/>
    <s v="Y"/>
    <s v="No"/>
    <n v="21"/>
    <n v="4"/>
    <n v="2"/>
    <n v="80"/>
    <n v="0"/>
    <n v="10"/>
    <n v="2"/>
    <n v="3"/>
    <x v="7"/>
    <n v="7"/>
    <n v="1"/>
    <n v="8"/>
    <s v="36-45"/>
    <s v="High"/>
    <s v="6-10"/>
    <s v="Mid-Level"/>
    <s v="Excellent"/>
    <s v="High"/>
    <x v="0"/>
  </r>
  <r>
    <n v="36"/>
    <x v="1"/>
    <s v="Travel_Rarely"/>
    <n v="1299"/>
    <x v="1"/>
    <n v="27"/>
    <n v="3"/>
    <s v="Medical"/>
    <n v="1"/>
    <n v="13"/>
    <x v="1"/>
    <s v="Male"/>
    <n v="94"/>
    <n v="3"/>
    <x v="0"/>
    <x v="4"/>
    <x v="2"/>
    <s v="Married"/>
    <n v="5237"/>
    <n v="16577"/>
    <n v="6"/>
    <s v="Y"/>
    <s v="No"/>
    <n v="13"/>
    <n v="3"/>
    <n v="2"/>
    <n v="80"/>
    <n v="2"/>
    <n v="17"/>
    <n v="3"/>
    <n v="2"/>
    <x v="5"/>
    <n v="7"/>
    <n v="7"/>
    <n v="7"/>
    <s v="36-45"/>
    <s v="Medium"/>
    <s v="6-10"/>
    <s v="Senior"/>
    <s v="Standard"/>
    <s v="High"/>
    <x v="0"/>
  </r>
  <r>
    <n v="35"/>
    <x v="1"/>
    <s v="Travel_Rarely"/>
    <n v="809"/>
    <x v="1"/>
    <n v="16"/>
    <n v="3"/>
    <s v="Medical"/>
    <n v="1"/>
    <n v="14"/>
    <x v="3"/>
    <s v="Male"/>
    <n v="84"/>
    <n v="4"/>
    <x v="1"/>
    <x v="2"/>
    <x v="1"/>
    <s v="Married"/>
    <n v="2426"/>
    <n v="16479"/>
    <n v="0"/>
    <s v="Y"/>
    <s v="No"/>
    <n v="13"/>
    <n v="3"/>
    <n v="3"/>
    <n v="80"/>
    <n v="1"/>
    <n v="6"/>
    <n v="5"/>
    <n v="3"/>
    <x v="8"/>
    <n v="4"/>
    <n v="0"/>
    <n v="3"/>
    <s v="26-35"/>
    <s v="Low"/>
    <s v="3-5"/>
    <s v="Mid-Level"/>
    <s v="Standard"/>
    <s v="Low"/>
    <x v="0"/>
  </r>
  <r>
    <n v="29"/>
    <x v="1"/>
    <s v="Travel_Rarely"/>
    <n v="153"/>
    <x v="1"/>
    <n v="15"/>
    <n v="2"/>
    <s v="Life Sciences"/>
    <n v="1"/>
    <n v="15"/>
    <x v="2"/>
    <s v="Female"/>
    <n v="49"/>
    <n v="2"/>
    <x v="0"/>
    <x v="2"/>
    <x v="2"/>
    <s v="Single"/>
    <n v="4193"/>
    <n v="12682"/>
    <n v="0"/>
    <s v="Y"/>
    <s v="Yes"/>
    <n v="12"/>
    <n v="3"/>
    <n v="4"/>
    <n v="80"/>
    <n v="0"/>
    <n v="10"/>
    <n v="3"/>
    <n v="3"/>
    <x v="7"/>
    <n v="5"/>
    <n v="0"/>
    <n v="8"/>
    <s v="26-35"/>
    <s v="Medium"/>
    <s v="6-10"/>
    <s v="Mid-Level"/>
    <s v="Standard"/>
    <s v="High"/>
    <x v="0"/>
  </r>
  <r>
    <n v="31"/>
    <x v="1"/>
    <s v="Travel_Rarely"/>
    <n v="670"/>
    <x v="1"/>
    <n v="26"/>
    <n v="1"/>
    <s v="Life Sciences"/>
    <n v="1"/>
    <n v="16"/>
    <x v="3"/>
    <s v="Male"/>
    <n v="31"/>
    <n v="3"/>
    <x v="1"/>
    <x v="1"/>
    <x v="2"/>
    <s v="Divorced"/>
    <n v="2911"/>
    <n v="15170"/>
    <n v="1"/>
    <s v="Y"/>
    <s v="No"/>
    <n v="17"/>
    <n v="3"/>
    <n v="4"/>
    <n v="80"/>
    <n v="1"/>
    <n v="5"/>
    <n v="1"/>
    <n v="2"/>
    <x v="8"/>
    <n v="2"/>
    <n v="4"/>
    <n v="3"/>
    <s v="26-35"/>
    <s v="Low"/>
    <s v="3-5"/>
    <s v="Junior"/>
    <s v="Standard"/>
    <s v="High"/>
    <x v="0"/>
  </r>
  <r>
    <n v="34"/>
    <x v="1"/>
    <s v="Travel_Rarely"/>
    <n v="1346"/>
    <x v="1"/>
    <n v="19"/>
    <n v="2"/>
    <s v="Medical"/>
    <n v="1"/>
    <n v="18"/>
    <x v="0"/>
    <s v="Male"/>
    <n v="93"/>
    <n v="3"/>
    <x v="1"/>
    <x v="2"/>
    <x v="0"/>
    <s v="Divorced"/>
    <n v="2661"/>
    <n v="8758"/>
    <n v="0"/>
    <s v="Y"/>
    <s v="No"/>
    <n v="11"/>
    <n v="3"/>
    <n v="3"/>
    <n v="80"/>
    <n v="1"/>
    <n v="3"/>
    <n v="2"/>
    <n v="3"/>
    <x v="4"/>
    <n v="2"/>
    <n v="1"/>
    <n v="2"/>
    <s v="26-35"/>
    <s v="Low"/>
    <s v="0-2"/>
    <s v="Junior"/>
    <s v="Standard"/>
    <s v="High"/>
    <x v="0"/>
  </r>
  <r>
    <n v="28"/>
    <x v="0"/>
    <s v="Travel_Rarely"/>
    <n v="103"/>
    <x v="1"/>
    <n v="24"/>
    <n v="3"/>
    <s v="Life Sciences"/>
    <n v="1"/>
    <n v="19"/>
    <x v="1"/>
    <s v="Male"/>
    <n v="50"/>
    <n v="2"/>
    <x v="1"/>
    <x v="2"/>
    <x v="2"/>
    <s v="Single"/>
    <n v="2028"/>
    <n v="12947"/>
    <n v="5"/>
    <s v="Y"/>
    <s v="Yes"/>
    <n v="14"/>
    <n v="3"/>
    <n v="2"/>
    <n v="80"/>
    <n v="0"/>
    <n v="6"/>
    <n v="4"/>
    <n v="3"/>
    <x v="9"/>
    <n v="2"/>
    <n v="0"/>
    <n v="3"/>
    <s v="26-35"/>
    <s v="Low"/>
    <s v="3-5"/>
    <s v="Mid-Level"/>
    <s v="Standard"/>
    <s v="High"/>
    <x v="0"/>
  </r>
  <r>
    <n v="29"/>
    <x v="1"/>
    <s v="Travel_Rarely"/>
    <n v="1389"/>
    <x v="1"/>
    <n v="21"/>
    <n v="4"/>
    <s v="Life Sciences"/>
    <n v="1"/>
    <n v="20"/>
    <x v="0"/>
    <s v="Female"/>
    <n v="51"/>
    <n v="4"/>
    <x v="2"/>
    <x v="3"/>
    <x v="3"/>
    <s v="Divorced"/>
    <n v="9980"/>
    <n v="10195"/>
    <n v="1"/>
    <s v="Y"/>
    <s v="No"/>
    <n v="11"/>
    <n v="3"/>
    <n v="3"/>
    <n v="80"/>
    <n v="1"/>
    <n v="10"/>
    <n v="1"/>
    <n v="3"/>
    <x v="1"/>
    <n v="9"/>
    <n v="8"/>
    <n v="8"/>
    <s v="26-35"/>
    <s v="High"/>
    <s v="6-10"/>
    <s v="Mid-Level"/>
    <s v="Standard"/>
    <s v="Low"/>
    <x v="0"/>
  </r>
  <r>
    <n v="32"/>
    <x v="1"/>
    <s v="Travel_Rarely"/>
    <n v="334"/>
    <x v="1"/>
    <n v="5"/>
    <n v="2"/>
    <s v="Life Sciences"/>
    <n v="1"/>
    <n v="21"/>
    <x v="3"/>
    <s v="Male"/>
    <n v="80"/>
    <n v="4"/>
    <x v="1"/>
    <x v="1"/>
    <x v="1"/>
    <s v="Divorced"/>
    <n v="3298"/>
    <n v="15053"/>
    <n v="0"/>
    <s v="Y"/>
    <s v="Yes"/>
    <n v="12"/>
    <n v="3"/>
    <n v="4"/>
    <n v="80"/>
    <n v="2"/>
    <n v="7"/>
    <n v="5"/>
    <n v="2"/>
    <x v="0"/>
    <n v="2"/>
    <n v="0"/>
    <n v="5"/>
    <s v="26-35"/>
    <s v="Medium"/>
    <s v="6-10"/>
    <s v="Mid-Level"/>
    <s v="Standard"/>
    <s v="Low"/>
    <x v="0"/>
  </r>
  <r>
    <n v="22"/>
    <x v="1"/>
    <s v="Non-Travel"/>
    <n v="1123"/>
    <x v="1"/>
    <n v="16"/>
    <n v="2"/>
    <s v="Medical"/>
    <n v="1"/>
    <n v="22"/>
    <x v="2"/>
    <s v="Male"/>
    <n v="96"/>
    <n v="4"/>
    <x v="1"/>
    <x v="2"/>
    <x v="0"/>
    <s v="Divorced"/>
    <n v="2935"/>
    <n v="7324"/>
    <n v="1"/>
    <s v="Y"/>
    <s v="Yes"/>
    <n v="13"/>
    <n v="3"/>
    <n v="2"/>
    <n v="80"/>
    <n v="2"/>
    <n v="1"/>
    <n v="2"/>
    <n v="2"/>
    <x v="6"/>
    <n v="0"/>
    <n v="0"/>
    <n v="0"/>
    <s v="18-25"/>
    <s v="Low"/>
    <s v="0-2"/>
    <s v="Junior"/>
    <s v="Standard"/>
    <s v="High"/>
    <x v="0"/>
  </r>
  <r>
    <n v="53"/>
    <x v="1"/>
    <s v="Travel_Rarely"/>
    <n v="1219"/>
    <x v="0"/>
    <n v="2"/>
    <n v="4"/>
    <s v="Life Sciences"/>
    <n v="1"/>
    <n v="23"/>
    <x v="3"/>
    <s v="Female"/>
    <n v="78"/>
    <n v="2"/>
    <x v="3"/>
    <x v="5"/>
    <x v="0"/>
    <s v="Married"/>
    <n v="15427"/>
    <n v="22021"/>
    <n v="2"/>
    <s v="Y"/>
    <s v="No"/>
    <n v="16"/>
    <n v="3"/>
    <n v="3"/>
    <n v="80"/>
    <n v="0"/>
    <n v="31"/>
    <n v="3"/>
    <n v="3"/>
    <x v="10"/>
    <n v="8"/>
    <n v="3"/>
    <n v="7"/>
    <s v="46-55"/>
    <s v="Very High"/>
    <s v="16+"/>
    <s v="Senior"/>
    <s v="Standard"/>
    <s v="High"/>
    <x v="0"/>
  </r>
  <r>
    <n v="38"/>
    <x v="1"/>
    <s v="Travel_Rarely"/>
    <n v="371"/>
    <x v="1"/>
    <n v="2"/>
    <n v="3"/>
    <s v="Life Sciences"/>
    <n v="1"/>
    <n v="24"/>
    <x v="2"/>
    <s v="Male"/>
    <n v="45"/>
    <n v="3"/>
    <x v="1"/>
    <x v="1"/>
    <x v="0"/>
    <s v="Single"/>
    <n v="3944"/>
    <n v="4306"/>
    <n v="5"/>
    <s v="Y"/>
    <s v="Yes"/>
    <n v="11"/>
    <n v="3"/>
    <n v="3"/>
    <n v="80"/>
    <n v="0"/>
    <n v="6"/>
    <n v="3"/>
    <n v="3"/>
    <x v="11"/>
    <n v="2"/>
    <n v="1"/>
    <n v="2"/>
    <s v="36-45"/>
    <s v="Medium"/>
    <s v="3-5"/>
    <s v="Mid-Level"/>
    <s v="Standard"/>
    <s v="High"/>
    <x v="0"/>
  </r>
  <r>
    <n v="24"/>
    <x v="1"/>
    <s v="Non-Travel"/>
    <n v="673"/>
    <x v="1"/>
    <n v="11"/>
    <n v="2"/>
    <s v="Other"/>
    <n v="1"/>
    <n v="26"/>
    <x v="3"/>
    <s v="Female"/>
    <n v="96"/>
    <n v="4"/>
    <x v="0"/>
    <x v="3"/>
    <x v="2"/>
    <s v="Divorced"/>
    <n v="4011"/>
    <n v="8232"/>
    <n v="0"/>
    <s v="Y"/>
    <s v="No"/>
    <n v="18"/>
    <n v="3"/>
    <n v="4"/>
    <n v="80"/>
    <n v="1"/>
    <n v="5"/>
    <n v="5"/>
    <n v="2"/>
    <x v="9"/>
    <n v="2"/>
    <n v="1"/>
    <n v="3"/>
    <s v="18-25"/>
    <s v="Medium"/>
    <s v="3-5"/>
    <s v="Junior"/>
    <s v="Standard"/>
    <s v="High"/>
    <x v="0"/>
  </r>
  <r>
    <n v="36"/>
    <x v="0"/>
    <s v="Travel_Rarely"/>
    <n v="1218"/>
    <x v="0"/>
    <n v="9"/>
    <n v="4"/>
    <s v="Life Sciences"/>
    <n v="1"/>
    <n v="27"/>
    <x v="1"/>
    <s v="Male"/>
    <n v="82"/>
    <n v="2"/>
    <x v="1"/>
    <x v="6"/>
    <x v="3"/>
    <s v="Single"/>
    <n v="3407"/>
    <n v="6986"/>
    <n v="7"/>
    <s v="Y"/>
    <s v="No"/>
    <n v="23"/>
    <n v="4"/>
    <n v="2"/>
    <n v="80"/>
    <n v="0"/>
    <n v="10"/>
    <n v="4"/>
    <n v="3"/>
    <x v="8"/>
    <n v="3"/>
    <n v="0"/>
    <n v="3"/>
    <s v="36-45"/>
    <s v="Medium"/>
    <s v="3-5"/>
    <s v="Mid-Level"/>
    <s v="Excellent"/>
    <s v="Low"/>
    <x v="0"/>
  </r>
  <r>
    <n v="34"/>
    <x v="1"/>
    <s v="Travel_Rarely"/>
    <n v="419"/>
    <x v="1"/>
    <n v="7"/>
    <n v="4"/>
    <s v="Life Sciences"/>
    <n v="1"/>
    <n v="28"/>
    <x v="3"/>
    <s v="Female"/>
    <n v="53"/>
    <n v="3"/>
    <x v="2"/>
    <x v="7"/>
    <x v="1"/>
    <s v="Single"/>
    <n v="11994"/>
    <n v="21293"/>
    <n v="0"/>
    <s v="Y"/>
    <s v="No"/>
    <n v="11"/>
    <n v="3"/>
    <n v="3"/>
    <n v="80"/>
    <n v="0"/>
    <n v="13"/>
    <n v="4"/>
    <n v="3"/>
    <x v="12"/>
    <n v="6"/>
    <n v="2"/>
    <n v="11"/>
    <s v="26-35"/>
    <s v="Very High"/>
    <s v="11-15"/>
    <s v="Mid-Level"/>
    <s v="Standard"/>
    <s v="Low"/>
    <x v="0"/>
  </r>
  <r>
    <n v="21"/>
    <x v="1"/>
    <s v="Travel_Rarely"/>
    <n v="391"/>
    <x v="1"/>
    <n v="15"/>
    <n v="2"/>
    <s v="Life Sciences"/>
    <n v="1"/>
    <n v="30"/>
    <x v="1"/>
    <s v="Male"/>
    <n v="96"/>
    <n v="3"/>
    <x v="1"/>
    <x v="1"/>
    <x v="0"/>
    <s v="Single"/>
    <n v="1232"/>
    <n v="19281"/>
    <n v="1"/>
    <s v="Y"/>
    <s v="No"/>
    <n v="14"/>
    <n v="3"/>
    <n v="4"/>
    <n v="80"/>
    <n v="0"/>
    <n v="0"/>
    <n v="6"/>
    <n v="3"/>
    <x v="2"/>
    <n v="0"/>
    <n v="0"/>
    <n v="0"/>
    <s v="18-25"/>
    <s v="Low"/>
    <s v="0-2"/>
    <s v="Junior"/>
    <s v="Standard"/>
    <s v="High"/>
    <x v="0"/>
  </r>
  <r>
    <n v="34"/>
    <x v="0"/>
    <s v="Travel_Rarely"/>
    <n v="699"/>
    <x v="1"/>
    <n v="6"/>
    <n v="1"/>
    <s v="Medical"/>
    <n v="1"/>
    <n v="31"/>
    <x v="0"/>
    <s v="Male"/>
    <n v="83"/>
    <n v="3"/>
    <x v="1"/>
    <x v="1"/>
    <x v="3"/>
    <s v="Single"/>
    <n v="2960"/>
    <n v="17102"/>
    <n v="2"/>
    <s v="Y"/>
    <s v="No"/>
    <n v="11"/>
    <n v="3"/>
    <n v="3"/>
    <n v="80"/>
    <n v="0"/>
    <n v="8"/>
    <n v="2"/>
    <n v="3"/>
    <x v="9"/>
    <n v="2"/>
    <n v="1"/>
    <n v="3"/>
    <s v="26-35"/>
    <s v="Low"/>
    <s v="3-5"/>
    <s v="Mid-Level"/>
    <s v="Standard"/>
    <s v="Low"/>
    <x v="0"/>
  </r>
  <r>
    <n v="53"/>
    <x v="1"/>
    <s v="Travel_Rarely"/>
    <n v="1282"/>
    <x v="1"/>
    <n v="5"/>
    <n v="3"/>
    <s v="Other"/>
    <n v="1"/>
    <n v="32"/>
    <x v="1"/>
    <s v="Female"/>
    <n v="58"/>
    <n v="3"/>
    <x v="4"/>
    <x v="5"/>
    <x v="2"/>
    <s v="Divorced"/>
    <n v="19094"/>
    <n v="10735"/>
    <n v="4"/>
    <s v="Y"/>
    <s v="No"/>
    <n v="11"/>
    <n v="3"/>
    <n v="4"/>
    <n v="80"/>
    <n v="1"/>
    <n v="26"/>
    <n v="3"/>
    <n v="2"/>
    <x v="13"/>
    <n v="13"/>
    <n v="4"/>
    <n v="8"/>
    <s v="46-55"/>
    <s v="Very High"/>
    <s v="11-15"/>
    <s v="Senior"/>
    <s v="Standard"/>
    <s v="High"/>
    <x v="0"/>
  </r>
  <r>
    <n v="32"/>
    <x v="0"/>
    <s v="Travel_Frequently"/>
    <n v="1125"/>
    <x v="1"/>
    <n v="16"/>
    <n v="1"/>
    <s v="Life Sciences"/>
    <n v="1"/>
    <n v="33"/>
    <x v="0"/>
    <s v="Female"/>
    <n v="72"/>
    <n v="1"/>
    <x v="1"/>
    <x v="1"/>
    <x v="3"/>
    <s v="Single"/>
    <n v="3919"/>
    <n v="4681"/>
    <n v="1"/>
    <s v="Y"/>
    <s v="Yes"/>
    <n v="22"/>
    <n v="4"/>
    <n v="2"/>
    <n v="80"/>
    <n v="0"/>
    <n v="10"/>
    <n v="5"/>
    <n v="3"/>
    <x v="1"/>
    <n v="2"/>
    <n v="6"/>
    <n v="7"/>
    <s v="26-35"/>
    <s v="Medium"/>
    <s v="6-10"/>
    <s v="Mid-Level"/>
    <s v="Excellent"/>
    <s v="Low"/>
    <x v="0"/>
  </r>
  <r>
    <n v="42"/>
    <x v="1"/>
    <s v="Travel_Rarely"/>
    <n v="691"/>
    <x v="0"/>
    <n v="8"/>
    <n v="4"/>
    <s v="Marketing"/>
    <n v="1"/>
    <n v="35"/>
    <x v="1"/>
    <s v="Male"/>
    <n v="48"/>
    <n v="3"/>
    <x v="0"/>
    <x v="0"/>
    <x v="1"/>
    <s v="Married"/>
    <n v="6825"/>
    <n v="21173"/>
    <n v="0"/>
    <s v="Y"/>
    <s v="No"/>
    <n v="11"/>
    <n v="3"/>
    <n v="4"/>
    <n v="80"/>
    <n v="1"/>
    <n v="10"/>
    <n v="2"/>
    <n v="3"/>
    <x v="7"/>
    <n v="7"/>
    <n v="4"/>
    <n v="2"/>
    <s v="36-45"/>
    <s v="High"/>
    <s v="6-10"/>
    <s v="Mid-Level"/>
    <s v="Standard"/>
    <s v="Low"/>
    <x v="0"/>
  </r>
  <r>
    <n v="44"/>
    <x v="1"/>
    <s v="Travel_Rarely"/>
    <n v="477"/>
    <x v="1"/>
    <n v="7"/>
    <n v="4"/>
    <s v="Medical"/>
    <n v="1"/>
    <n v="36"/>
    <x v="3"/>
    <s v="Female"/>
    <n v="42"/>
    <n v="2"/>
    <x v="2"/>
    <x v="4"/>
    <x v="0"/>
    <s v="Married"/>
    <n v="10248"/>
    <n v="2094"/>
    <n v="3"/>
    <s v="Y"/>
    <s v="No"/>
    <n v="14"/>
    <n v="3"/>
    <n v="4"/>
    <n v="80"/>
    <n v="1"/>
    <n v="24"/>
    <n v="4"/>
    <n v="3"/>
    <x v="14"/>
    <n v="6"/>
    <n v="5"/>
    <n v="17"/>
    <s v="36-45"/>
    <s v="Very High"/>
    <s v="16+"/>
    <s v="Senior"/>
    <s v="Standard"/>
    <s v="High"/>
    <x v="0"/>
  </r>
  <r>
    <n v="46"/>
    <x v="1"/>
    <s v="Travel_Rarely"/>
    <n v="705"/>
    <x v="0"/>
    <n v="2"/>
    <n v="4"/>
    <s v="Marketing"/>
    <n v="1"/>
    <n v="38"/>
    <x v="0"/>
    <s v="Female"/>
    <n v="83"/>
    <n v="3"/>
    <x v="4"/>
    <x v="5"/>
    <x v="3"/>
    <s v="Single"/>
    <n v="18947"/>
    <n v="22822"/>
    <n v="3"/>
    <s v="Y"/>
    <s v="No"/>
    <n v="12"/>
    <n v="3"/>
    <n v="4"/>
    <n v="80"/>
    <n v="0"/>
    <n v="22"/>
    <n v="2"/>
    <n v="2"/>
    <x v="4"/>
    <n v="2"/>
    <n v="2"/>
    <n v="1"/>
    <s v="46-55"/>
    <s v="Very High"/>
    <s v="0-2"/>
    <s v="Senior"/>
    <s v="Standard"/>
    <s v="Low"/>
    <x v="0"/>
  </r>
  <r>
    <n v="33"/>
    <x v="1"/>
    <s v="Travel_Rarely"/>
    <n v="924"/>
    <x v="1"/>
    <n v="2"/>
    <n v="3"/>
    <s v="Medical"/>
    <n v="1"/>
    <n v="39"/>
    <x v="1"/>
    <s v="Male"/>
    <n v="78"/>
    <n v="3"/>
    <x v="1"/>
    <x v="2"/>
    <x v="0"/>
    <s v="Single"/>
    <n v="2496"/>
    <n v="6670"/>
    <n v="4"/>
    <s v="Y"/>
    <s v="No"/>
    <n v="11"/>
    <n v="3"/>
    <n v="4"/>
    <n v="80"/>
    <n v="0"/>
    <n v="7"/>
    <n v="3"/>
    <n v="3"/>
    <x v="6"/>
    <n v="1"/>
    <n v="0"/>
    <n v="0"/>
    <s v="26-35"/>
    <s v="Low"/>
    <s v="0-2"/>
    <s v="Mid-Level"/>
    <s v="Standard"/>
    <s v="High"/>
    <x v="0"/>
  </r>
  <r>
    <n v="44"/>
    <x v="1"/>
    <s v="Travel_Rarely"/>
    <n v="1459"/>
    <x v="1"/>
    <n v="10"/>
    <n v="4"/>
    <s v="Other"/>
    <n v="1"/>
    <n v="40"/>
    <x v="2"/>
    <s v="Male"/>
    <n v="41"/>
    <n v="3"/>
    <x v="0"/>
    <x v="4"/>
    <x v="0"/>
    <s v="Married"/>
    <n v="6465"/>
    <n v="19121"/>
    <n v="2"/>
    <s v="Y"/>
    <s v="Yes"/>
    <n v="13"/>
    <n v="3"/>
    <n v="4"/>
    <n v="80"/>
    <n v="0"/>
    <n v="9"/>
    <n v="5"/>
    <n v="4"/>
    <x v="9"/>
    <n v="2"/>
    <n v="1"/>
    <n v="3"/>
    <s v="36-45"/>
    <s v="High"/>
    <s v="3-5"/>
    <s v="Mid-Level"/>
    <s v="Standard"/>
    <s v="High"/>
    <x v="0"/>
  </r>
  <r>
    <n v="30"/>
    <x v="1"/>
    <s v="Travel_Rarely"/>
    <n v="125"/>
    <x v="1"/>
    <n v="9"/>
    <n v="2"/>
    <s v="Medical"/>
    <n v="1"/>
    <n v="41"/>
    <x v="2"/>
    <s v="Male"/>
    <n v="83"/>
    <n v="2"/>
    <x v="1"/>
    <x v="2"/>
    <x v="2"/>
    <s v="Single"/>
    <n v="2206"/>
    <n v="16117"/>
    <n v="1"/>
    <s v="Y"/>
    <s v="No"/>
    <n v="13"/>
    <n v="3"/>
    <n v="1"/>
    <n v="80"/>
    <n v="0"/>
    <n v="10"/>
    <n v="5"/>
    <n v="3"/>
    <x v="1"/>
    <n v="0"/>
    <n v="1"/>
    <n v="8"/>
    <s v="26-35"/>
    <s v="Low"/>
    <s v="6-10"/>
    <s v="Mid-Level"/>
    <s v="Standard"/>
    <s v="High"/>
    <x v="0"/>
  </r>
  <r>
    <n v="39"/>
    <x v="0"/>
    <s v="Travel_Rarely"/>
    <n v="895"/>
    <x v="0"/>
    <n v="5"/>
    <n v="3"/>
    <s v="Technical Degree"/>
    <n v="1"/>
    <n v="42"/>
    <x v="2"/>
    <s v="Male"/>
    <n v="56"/>
    <n v="3"/>
    <x v="0"/>
    <x v="6"/>
    <x v="0"/>
    <s v="Married"/>
    <n v="2086"/>
    <n v="3335"/>
    <n v="3"/>
    <s v="Y"/>
    <s v="No"/>
    <n v="14"/>
    <n v="3"/>
    <n v="3"/>
    <n v="80"/>
    <n v="1"/>
    <n v="19"/>
    <n v="6"/>
    <n v="4"/>
    <x v="6"/>
    <n v="0"/>
    <n v="0"/>
    <n v="0"/>
    <s v="36-45"/>
    <s v="Low"/>
    <s v="0-2"/>
    <s v="Senior"/>
    <s v="Standard"/>
    <s v="High"/>
    <x v="0"/>
  </r>
  <r>
    <n v="24"/>
    <x v="0"/>
    <s v="Travel_Rarely"/>
    <n v="813"/>
    <x v="1"/>
    <n v="1"/>
    <n v="3"/>
    <s v="Medical"/>
    <n v="1"/>
    <n v="45"/>
    <x v="0"/>
    <s v="Male"/>
    <n v="61"/>
    <n v="3"/>
    <x v="1"/>
    <x v="1"/>
    <x v="0"/>
    <s v="Married"/>
    <n v="2293"/>
    <n v="3020"/>
    <n v="2"/>
    <s v="Y"/>
    <s v="Yes"/>
    <n v="16"/>
    <n v="3"/>
    <n v="1"/>
    <n v="80"/>
    <n v="1"/>
    <n v="6"/>
    <n v="2"/>
    <n v="2"/>
    <x v="4"/>
    <n v="0"/>
    <n v="2"/>
    <n v="0"/>
    <s v="18-25"/>
    <s v="Low"/>
    <s v="0-2"/>
    <s v="Mid-Level"/>
    <s v="Standard"/>
    <s v="High"/>
    <x v="0"/>
  </r>
  <r>
    <n v="43"/>
    <x v="1"/>
    <s v="Travel_Rarely"/>
    <n v="1273"/>
    <x v="1"/>
    <n v="2"/>
    <n v="2"/>
    <s v="Medical"/>
    <n v="1"/>
    <n v="46"/>
    <x v="2"/>
    <s v="Female"/>
    <n v="72"/>
    <n v="4"/>
    <x v="1"/>
    <x v="1"/>
    <x v="2"/>
    <s v="Divorced"/>
    <n v="2645"/>
    <n v="21923"/>
    <n v="1"/>
    <s v="Y"/>
    <s v="No"/>
    <n v="12"/>
    <n v="3"/>
    <n v="4"/>
    <n v="80"/>
    <n v="2"/>
    <n v="6"/>
    <n v="3"/>
    <n v="2"/>
    <x v="8"/>
    <n v="3"/>
    <n v="1"/>
    <n v="4"/>
    <s v="36-45"/>
    <s v="Low"/>
    <s v="3-5"/>
    <s v="Mid-Level"/>
    <s v="Standard"/>
    <s v="High"/>
    <x v="0"/>
  </r>
  <r>
    <n v="50"/>
    <x v="0"/>
    <s v="Travel_Rarely"/>
    <n v="869"/>
    <x v="0"/>
    <n v="3"/>
    <n v="2"/>
    <s v="Marketing"/>
    <n v="1"/>
    <n v="47"/>
    <x v="3"/>
    <s v="Male"/>
    <n v="86"/>
    <n v="2"/>
    <x v="1"/>
    <x v="6"/>
    <x v="2"/>
    <s v="Married"/>
    <n v="2683"/>
    <n v="3810"/>
    <n v="1"/>
    <s v="Y"/>
    <s v="Yes"/>
    <n v="14"/>
    <n v="3"/>
    <n v="3"/>
    <n v="80"/>
    <n v="0"/>
    <n v="3"/>
    <n v="2"/>
    <n v="3"/>
    <x v="11"/>
    <n v="2"/>
    <n v="0"/>
    <n v="2"/>
    <s v="46-55"/>
    <s v="Low"/>
    <s v="3-5"/>
    <s v="Junior"/>
    <s v="Standard"/>
    <s v="High"/>
    <x v="0"/>
  </r>
  <r>
    <n v="35"/>
    <x v="1"/>
    <s v="Travel_Rarely"/>
    <n v="890"/>
    <x v="0"/>
    <n v="2"/>
    <n v="3"/>
    <s v="Marketing"/>
    <n v="1"/>
    <n v="49"/>
    <x v="2"/>
    <s v="Female"/>
    <n v="97"/>
    <n v="3"/>
    <x v="1"/>
    <x v="6"/>
    <x v="0"/>
    <s v="Married"/>
    <n v="2014"/>
    <n v="9687"/>
    <n v="1"/>
    <s v="Y"/>
    <s v="No"/>
    <n v="13"/>
    <n v="3"/>
    <n v="1"/>
    <n v="80"/>
    <n v="0"/>
    <n v="2"/>
    <n v="3"/>
    <n v="3"/>
    <x v="4"/>
    <n v="2"/>
    <n v="2"/>
    <n v="2"/>
    <s v="26-35"/>
    <s v="Low"/>
    <s v="0-2"/>
    <s v="Junior"/>
    <s v="Standard"/>
    <s v="High"/>
    <x v="0"/>
  </r>
  <r>
    <n v="36"/>
    <x v="1"/>
    <s v="Travel_Rarely"/>
    <n v="852"/>
    <x v="1"/>
    <n v="5"/>
    <n v="4"/>
    <s v="Life Sciences"/>
    <n v="1"/>
    <n v="51"/>
    <x v="0"/>
    <s v="Female"/>
    <n v="82"/>
    <n v="2"/>
    <x v="1"/>
    <x v="1"/>
    <x v="3"/>
    <s v="Married"/>
    <n v="3419"/>
    <n v="13072"/>
    <n v="9"/>
    <s v="Y"/>
    <s v="Yes"/>
    <n v="14"/>
    <n v="3"/>
    <n v="4"/>
    <n v="80"/>
    <n v="1"/>
    <n v="6"/>
    <n v="3"/>
    <n v="4"/>
    <x v="6"/>
    <n v="1"/>
    <n v="0"/>
    <n v="0"/>
    <s v="36-45"/>
    <s v="Medium"/>
    <s v="0-2"/>
    <s v="Mid-Level"/>
    <s v="Standard"/>
    <s v="Low"/>
    <x v="1"/>
  </r>
  <r>
    <n v="33"/>
    <x v="1"/>
    <s v="Travel_Frequently"/>
    <n v="1141"/>
    <x v="0"/>
    <n v="1"/>
    <n v="3"/>
    <s v="Life Sciences"/>
    <n v="1"/>
    <n v="52"/>
    <x v="1"/>
    <s v="Female"/>
    <n v="42"/>
    <n v="4"/>
    <x v="0"/>
    <x v="0"/>
    <x v="3"/>
    <s v="Married"/>
    <n v="5376"/>
    <n v="3193"/>
    <n v="2"/>
    <s v="Y"/>
    <s v="No"/>
    <n v="19"/>
    <n v="3"/>
    <n v="1"/>
    <n v="80"/>
    <n v="2"/>
    <n v="10"/>
    <n v="3"/>
    <n v="3"/>
    <x v="8"/>
    <n v="3"/>
    <n v="1"/>
    <n v="3"/>
    <s v="26-35"/>
    <s v="Medium"/>
    <s v="3-5"/>
    <s v="Mid-Level"/>
    <s v="Standard"/>
    <s v="Low"/>
    <x v="0"/>
  </r>
  <r>
    <n v="35"/>
    <x v="1"/>
    <s v="Travel_Rarely"/>
    <n v="464"/>
    <x v="1"/>
    <n v="4"/>
    <n v="2"/>
    <s v="Other"/>
    <n v="1"/>
    <n v="53"/>
    <x v="1"/>
    <s v="Male"/>
    <n v="75"/>
    <n v="3"/>
    <x v="1"/>
    <x v="2"/>
    <x v="0"/>
    <s v="Divorced"/>
    <n v="1951"/>
    <n v="10910"/>
    <n v="1"/>
    <s v="Y"/>
    <s v="No"/>
    <n v="12"/>
    <n v="3"/>
    <n v="3"/>
    <n v="80"/>
    <n v="1"/>
    <n v="1"/>
    <n v="3"/>
    <n v="3"/>
    <x v="6"/>
    <n v="0"/>
    <n v="0"/>
    <n v="0"/>
    <s v="26-35"/>
    <s v="Low"/>
    <s v="0-2"/>
    <s v="Junior"/>
    <s v="Standard"/>
    <s v="High"/>
    <x v="0"/>
  </r>
  <r>
    <n v="27"/>
    <x v="1"/>
    <s v="Travel_Rarely"/>
    <n v="1240"/>
    <x v="1"/>
    <n v="2"/>
    <n v="4"/>
    <s v="Life Sciences"/>
    <n v="1"/>
    <n v="54"/>
    <x v="2"/>
    <s v="Female"/>
    <n v="33"/>
    <n v="3"/>
    <x v="1"/>
    <x v="2"/>
    <x v="3"/>
    <s v="Divorced"/>
    <n v="2341"/>
    <n v="19715"/>
    <n v="1"/>
    <s v="Y"/>
    <s v="No"/>
    <n v="13"/>
    <n v="3"/>
    <n v="4"/>
    <n v="80"/>
    <n v="1"/>
    <n v="1"/>
    <n v="6"/>
    <n v="3"/>
    <x v="6"/>
    <n v="0"/>
    <n v="0"/>
    <n v="0"/>
    <s v="26-35"/>
    <s v="Low"/>
    <s v="0-2"/>
    <s v="Junior"/>
    <s v="Standard"/>
    <s v="Low"/>
    <x v="0"/>
  </r>
  <r>
    <n v="26"/>
    <x v="0"/>
    <s v="Travel_Rarely"/>
    <n v="1357"/>
    <x v="1"/>
    <n v="25"/>
    <n v="3"/>
    <s v="Life Sciences"/>
    <n v="1"/>
    <n v="55"/>
    <x v="3"/>
    <s v="Male"/>
    <n v="48"/>
    <n v="1"/>
    <x v="1"/>
    <x v="2"/>
    <x v="2"/>
    <s v="Single"/>
    <n v="2293"/>
    <n v="10558"/>
    <n v="1"/>
    <s v="Y"/>
    <s v="No"/>
    <n v="12"/>
    <n v="3"/>
    <n v="3"/>
    <n v="80"/>
    <n v="0"/>
    <n v="1"/>
    <n v="2"/>
    <n v="2"/>
    <x v="6"/>
    <n v="0"/>
    <n v="0"/>
    <n v="1"/>
    <s v="26-35"/>
    <s v="Low"/>
    <s v="0-2"/>
    <s v="Junior"/>
    <s v="Standard"/>
    <s v="High"/>
    <x v="0"/>
  </r>
  <r>
    <n v="27"/>
    <x v="1"/>
    <s v="Travel_Frequently"/>
    <n v="994"/>
    <x v="0"/>
    <n v="8"/>
    <n v="3"/>
    <s v="Life Sciences"/>
    <n v="1"/>
    <n v="56"/>
    <x v="2"/>
    <s v="Male"/>
    <n v="37"/>
    <n v="3"/>
    <x v="2"/>
    <x v="0"/>
    <x v="2"/>
    <s v="Single"/>
    <n v="8726"/>
    <n v="2975"/>
    <n v="1"/>
    <s v="Y"/>
    <s v="No"/>
    <n v="15"/>
    <n v="3"/>
    <n v="4"/>
    <n v="80"/>
    <n v="0"/>
    <n v="9"/>
    <n v="0"/>
    <n v="3"/>
    <x v="7"/>
    <n v="8"/>
    <n v="1"/>
    <n v="7"/>
    <s v="26-35"/>
    <s v="High"/>
    <s v="6-10"/>
    <s v="Mid-Level"/>
    <s v="Standard"/>
    <s v="High"/>
    <x v="0"/>
  </r>
  <r>
    <n v="30"/>
    <x v="1"/>
    <s v="Travel_Frequently"/>
    <n v="721"/>
    <x v="1"/>
    <n v="1"/>
    <n v="2"/>
    <s v="Medical"/>
    <n v="1"/>
    <n v="57"/>
    <x v="1"/>
    <s v="Female"/>
    <n v="58"/>
    <n v="3"/>
    <x v="0"/>
    <x v="2"/>
    <x v="0"/>
    <s v="Single"/>
    <n v="4011"/>
    <n v="10781"/>
    <n v="1"/>
    <s v="Y"/>
    <s v="No"/>
    <n v="23"/>
    <n v="4"/>
    <n v="4"/>
    <n v="80"/>
    <n v="0"/>
    <n v="12"/>
    <n v="2"/>
    <n v="3"/>
    <x v="12"/>
    <n v="8"/>
    <n v="3"/>
    <n v="7"/>
    <s v="26-35"/>
    <s v="Medium"/>
    <s v="11-15"/>
    <s v="Mid-Level"/>
    <s v="Excellent"/>
    <s v="High"/>
    <x v="0"/>
  </r>
  <r>
    <n v="41"/>
    <x v="0"/>
    <s v="Travel_Rarely"/>
    <n v="1360"/>
    <x v="1"/>
    <n v="12"/>
    <n v="3"/>
    <s v="Technical Degree"/>
    <n v="1"/>
    <n v="58"/>
    <x v="0"/>
    <s v="Female"/>
    <n v="49"/>
    <n v="3"/>
    <x v="4"/>
    <x v="7"/>
    <x v="2"/>
    <s v="Married"/>
    <n v="19545"/>
    <n v="16280"/>
    <n v="1"/>
    <s v="Y"/>
    <s v="No"/>
    <n v="12"/>
    <n v="3"/>
    <n v="4"/>
    <n v="80"/>
    <n v="0"/>
    <n v="23"/>
    <n v="0"/>
    <n v="3"/>
    <x v="14"/>
    <n v="15"/>
    <n v="15"/>
    <n v="8"/>
    <s v="36-45"/>
    <s v="Very High"/>
    <s v="16+"/>
    <s v="Senior"/>
    <s v="Standard"/>
    <s v="High"/>
    <x v="0"/>
  </r>
  <r>
    <n v="34"/>
    <x v="1"/>
    <s v="Non-Travel"/>
    <n v="1065"/>
    <x v="0"/>
    <n v="23"/>
    <n v="4"/>
    <s v="Marketing"/>
    <n v="1"/>
    <n v="60"/>
    <x v="0"/>
    <s v="Male"/>
    <n v="72"/>
    <n v="3"/>
    <x v="0"/>
    <x v="0"/>
    <x v="2"/>
    <s v="Single"/>
    <n v="4568"/>
    <n v="10034"/>
    <n v="0"/>
    <s v="Y"/>
    <s v="No"/>
    <n v="20"/>
    <n v="4"/>
    <n v="3"/>
    <n v="80"/>
    <n v="0"/>
    <n v="10"/>
    <n v="2"/>
    <n v="3"/>
    <x v="7"/>
    <n v="5"/>
    <n v="8"/>
    <n v="7"/>
    <s v="26-35"/>
    <s v="Medium"/>
    <s v="6-10"/>
    <s v="Mid-Level"/>
    <s v="Excellent"/>
    <s v="High"/>
    <x v="0"/>
  </r>
  <r>
    <n v="37"/>
    <x v="1"/>
    <s v="Travel_Rarely"/>
    <n v="408"/>
    <x v="1"/>
    <n v="19"/>
    <n v="2"/>
    <s v="Life Sciences"/>
    <n v="1"/>
    <n v="61"/>
    <x v="0"/>
    <s v="Male"/>
    <n v="73"/>
    <n v="3"/>
    <x v="1"/>
    <x v="1"/>
    <x v="1"/>
    <s v="Married"/>
    <n v="3022"/>
    <n v="10227"/>
    <n v="4"/>
    <s v="Y"/>
    <s v="No"/>
    <n v="21"/>
    <n v="4"/>
    <n v="1"/>
    <n v="80"/>
    <n v="0"/>
    <n v="8"/>
    <n v="1"/>
    <n v="3"/>
    <x v="6"/>
    <n v="0"/>
    <n v="0"/>
    <n v="0"/>
    <s v="36-45"/>
    <s v="Medium"/>
    <s v="0-2"/>
    <s v="Mid-Level"/>
    <s v="Excellent"/>
    <s v="Low"/>
    <x v="0"/>
  </r>
  <r>
    <n v="46"/>
    <x v="1"/>
    <s v="Travel_Frequently"/>
    <n v="1211"/>
    <x v="0"/>
    <n v="5"/>
    <n v="4"/>
    <s v="Marketing"/>
    <n v="1"/>
    <n v="62"/>
    <x v="3"/>
    <s v="Male"/>
    <n v="98"/>
    <n v="3"/>
    <x v="0"/>
    <x v="0"/>
    <x v="0"/>
    <s v="Single"/>
    <n v="5772"/>
    <n v="20445"/>
    <n v="4"/>
    <s v="Y"/>
    <s v="Yes"/>
    <n v="21"/>
    <n v="4"/>
    <n v="3"/>
    <n v="80"/>
    <n v="0"/>
    <n v="14"/>
    <n v="4"/>
    <n v="3"/>
    <x v="7"/>
    <n v="6"/>
    <n v="0"/>
    <n v="8"/>
    <s v="46-55"/>
    <s v="Medium"/>
    <s v="6-10"/>
    <s v="Mid-Level"/>
    <s v="Excellent"/>
    <s v="High"/>
    <x v="0"/>
  </r>
  <r>
    <n v="35"/>
    <x v="1"/>
    <s v="Travel_Rarely"/>
    <n v="1229"/>
    <x v="1"/>
    <n v="8"/>
    <n v="1"/>
    <s v="Life Sciences"/>
    <n v="1"/>
    <n v="63"/>
    <x v="2"/>
    <s v="Male"/>
    <n v="36"/>
    <n v="4"/>
    <x v="1"/>
    <x v="2"/>
    <x v="0"/>
    <s v="Married"/>
    <n v="2269"/>
    <n v="4892"/>
    <n v="1"/>
    <s v="Y"/>
    <s v="No"/>
    <n v="19"/>
    <n v="3"/>
    <n v="4"/>
    <n v="80"/>
    <n v="0"/>
    <n v="1"/>
    <n v="2"/>
    <n v="3"/>
    <x v="6"/>
    <n v="0"/>
    <n v="0"/>
    <n v="1"/>
    <s v="26-35"/>
    <s v="Low"/>
    <s v="0-2"/>
    <s v="Junior"/>
    <s v="Standard"/>
    <s v="High"/>
    <x v="0"/>
  </r>
  <r>
    <n v="48"/>
    <x v="0"/>
    <s v="Travel_Rarely"/>
    <n v="626"/>
    <x v="1"/>
    <n v="1"/>
    <n v="2"/>
    <s v="Life Sciences"/>
    <n v="1"/>
    <n v="64"/>
    <x v="3"/>
    <s v="Male"/>
    <n v="98"/>
    <n v="2"/>
    <x v="2"/>
    <x v="2"/>
    <x v="2"/>
    <s v="Single"/>
    <n v="5381"/>
    <n v="19294"/>
    <n v="9"/>
    <s v="Y"/>
    <s v="Yes"/>
    <n v="13"/>
    <n v="3"/>
    <n v="4"/>
    <n v="80"/>
    <n v="0"/>
    <n v="23"/>
    <n v="2"/>
    <n v="3"/>
    <x v="6"/>
    <n v="0"/>
    <n v="0"/>
    <n v="0"/>
    <s v="46-55"/>
    <s v="Medium"/>
    <s v="0-2"/>
    <s v="Senior"/>
    <s v="Standard"/>
    <s v="High"/>
    <x v="0"/>
  </r>
  <r>
    <n v="28"/>
    <x v="0"/>
    <s v="Travel_Rarely"/>
    <n v="1434"/>
    <x v="1"/>
    <n v="5"/>
    <n v="4"/>
    <s v="Technical Degree"/>
    <n v="1"/>
    <n v="65"/>
    <x v="1"/>
    <s v="Male"/>
    <n v="50"/>
    <n v="3"/>
    <x v="1"/>
    <x v="2"/>
    <x v="2"/>
    <s v="Single"/>
    <n v="3441"/>
    <n v="11179"/>
    <n v="1"/>
    <s v="Y"/>
    <s v="Yes"/>
    <n v="13"/>
    <n v="3"/>
    <n v="3"/>
    <n v="80"/>
    <n v="0"/>
    <n v="2"/>
    <n v="3"/>
    <n v="2"/>
    <x v="4"/>
    <n v="2"/>
    <n v="2"/>
    <n v="2"/>
    <s v="26-35"/>
    <s v="Medium"/>
    <s v="0-2"/>
    <s v="Junior"/>
    <s v="Standard"/>
    <s v="High"/>
    <x v="0"/>
  </r>
  <r>
    <n v="44"/>
    <x v="1"/>
    <s v="Travel_Rarely"/>
    <n v="1488"/>
    <x v="0"/>
    <n v="1"/>
    <n v="5"/>
    <s v="Marketing"/>
    <n v="1"/>
    <n v="68"/>
    <x v="0"/>
    <s v="Female"/>
    <n v="75"/>
    <n v="3"/>
    <x v="0"/>
    <x v="0"/>
    <x v="3"/>
    <s v="Divorced"/>
    <n v="5454"/>
    <n v="4009"/>
    <n v="5"/>
    <s v="Y"/>
    <s v="Yes"/>
    <n v="21"/>
    <n v="4"/>
    <n v="3"/>
    <n v="80"/>
    <n v="1"/>
    <n v="9"/>
    <n v="2"/>
    <n v="2"/>
    <x v="9"/>
    <n v="3"/>
    <n v="1"/>
    <n v="3"/>
    <s v="36-45"/>
    <s v="Medium"/>
    <s v="3-5"/>
    <s v="Mid-Level"/>
    <s v="Excellent"/>
    <s v="Low"/>
    <x v="0"/>
  </r>
  <r>
    <n v="35"/>
    <x v="1"/>
    <s v="Non-Travel"/>
    <n v="1097"/>
    <x v="1"/>
    <n v="11"/>
    <n v="2"/>
    <s v="Medical"/>
    <n v="1"/>
    <n v="70"/>
    <x v="1"/>
    <s v="Male"/>
    <n v="79"/>
    <n v="2"/>
    <x v="2"/>
    <x v="4"/>
    <x v="3"/>
    <s v="Married"/>
    <n v="9884"/>
    <n v="8302"/>
    <n v="2"/>
    <s v="Y"/>
    <s v="Yes"/>
    <n v="13"/>
    <n v="3"/>
    <n v="3"/>
    <n v="80"/>
    <n v="1"/>
    <n v="10"/>
    <n v="3"/>
    <n v="3"/>
    <x v="9"/>
    <n v="0"/>
    <n v="2"/>
    <n v="3"/>
    <s v="26-35"/>
    <s v="High"/>
    <s v="3-5"/>
    <s v="Mid-Level"/>
    <s v="Standard"/>
    <s v="Low"/>
    <x v="0"/>
  </r>
  <r>
    <n v="26"/>
    <x v="1"/>
    <s v="Travel_Rarely"/>
    <n v="1443"/>
    <x v="0"/>
    <n v="23"/>
    <n v="3"/>
    <s v="Marketing"/>
    <n v="1"/>
    <n v="72"/>
    <x v="1"/>
    <s v="Female"/>
    <n v="47"/>
    <n v="2"/>
    <x v="0"/>
    <x v="0"/>
    <x v="0"/>
    <s v="Married"/>
    <n v="4157"/>
    <n v="21436"/>
    <n v="7"/>
    <s v="Y"/>
    <s v="Yes"/>
    <n v="19"/>
    <n v="3"/>
    <n v="3"/>
    <n v="80"/>
    <n v="1"/>
    <n v="5"/>
    <n v="2"/>
    <n v="2"/>
    <x v="4"/>
    <n v="2"/>
    <n v="0"/>
    <n v="0"/>
    <s v="26-35"/>
    <s v="Medium"/>
    <s v="0-2"/>
    <s v="Junior"/>
    <s v="Standard"/>
    <s v="High"/>
    <x v="0"/>
  </r>
  <r>
    <n v="33"/>
    <x v="1"/>
    <s v="Travel_Frequently"/>
    <n v="515"/>
    <x v="1"/>
    <n v="1"/>
    <n v="2"/>
    <s v="Life Sciences"/>
    <n v="1"/>
    <n v="73"/>
    <x v="3"/>
    <s v="Female"/>
    <n v="98"/>
    <n v="3"/>
    <x v="2"/>
    <x v="7"/>
    <x v="0"/>
    <s v="Single"/>
    <n v="13458"/>
    <n v="15146"/>
    <n v="1"/>
    <s v="Y"/>
    <s v="Yes"/>
    <n v="12"/>
    <n v="3"/>
    <n v="3"/>
    <n v="80"/>
    <n v="0"/>
    <n v="15"/>
    <n v="1"/>
    <n v="3"/>
    <x v="15"/>
    <n v="14"/>
    <n v="8"/>
    <n v="12"/>
    <s v="26-35"/>
    <s v="Very High"/>
    <s v="11-15"/>
    <s v="Mid-Level"/>
    <s v="Standard"/>
    <s v="High"/>
    <x v="0"/>
  </r>
  <r>
    <n v="35"/>
    <x v="1"/>
    <s v="Travel_Frequently"/>
    <n v="853"/>
    <x v="0"/>
    <n v="18"/>
    <n v="5"/>
    <s v="Life Sciences"/>
    <n v="1"/>
    <n v="74"/>
    <x v="0"/>
    <s v="Male"/>
    <n v="71"/>
    <n v="3"/>
    <x v="2"/>
    <x v="0"/>
    <x v="3"/>
    <s v="Married"/>
    <n v="9069"/>
    <n v="11031"/>
    <n v="1"/>
    <s v="Y"/>
    <s v="No"/>
    <n v="22"/>
    <n v="4"/>
    <n v="4"/>
    <n v="80"/>
    <n v="1"/>
    <n v="9"/>
    <n v="3"/>
    <n v="2"/>
    <x v="7"/>
    <n v="8"/>
    <n v="1"/>
    <n v="8"/>
    <s v="26-35"/>
    <s v="High"/>
    <s v="6-10"/>
    <s v="Mid-Level"/>
    <s v="Excellent"/>
    <s v="Low"/>
    <x v="0"/>
  </r>
  <r>
    <n v="35"/>
    <x v="1"/>
    <s v="Travel_Rarely"/>
    <n v="1142"/>
    <x v="1"/>
    <n v="23"/>
    <n v="4"/>
    <s v="Medical"/>
    <n v="1"/>
    <n v="75"/>
    <x v="1"/>
    <s v="Female"/>
    <n v="30"/>
    <n v="3"/>
    <x v="1"/>
    <x v="2"/>
    <x v="3"/>
    <s v="Married"/>
    <n v="4014"/>
    <n v="16002"/>
    <n v="3"/>
    <s v="Y"/>
    <s v="Yes"/>
    <n v="15"/>
    <n v="3"/>
    <n v="3"/>
    <n v="80"/>
    <n v="1"/>
    <n v="4"/>
    <n v="3"/>
    <n v="3"/>
    <x v="4"/>
    <n v="2"/>
    <n v="2"/>
    <n v="2"/>
    <s v="26-35"/>
    <s v="Medium"/>
    <s v="0-2"/>
    <s v="Junior"/>
    <s v="Standard"/>
    <s v="Low"/>
    <x v="1"/>
  </r>
  <r>
    <n v="31"/>
    <x v="1"/>
    <s v="Travel_Rarely"/>
    <n v="655"/>
    <x v="1"/>
    <n v="7"/>
    <n v="4"/>
    <s v="Life Sciences"/>
    <n v="1"/>
    <n v="76"/>
    <x v="2"/>
    <s v="Male"/>
    <n v="48"/>
    <n v="3"/>
    <x v="0"/>
    <x v="2"/>
    <x v="0"/>
    <s v="Divorced"/>
    <n v="5915"/>
    <n v="9528"/>
    <n v="3"/>
    <s v="Y"/>
    <s v="No"/>
    <n v="22"/>
    <n v="4"/>
    <n v="4"/>
    <n v="80"/>
    <n v="1"/>
    <n v="10"/>
    <n v="3"/>
    <n v="2"/>
    <x v="5"/>
    <n v="7"/>
    <n v="1"/>
    <n v="7"/>
    <s v="26-35"/>
    <s v="Medium"/>
    <s v="6-10"/>
    <s v="Mid-Level"/>
    <s v="Excellent"/>
    <s v="High"/>
    <x v="0"/>
  </r>
  <r>
    <n v="37"/>
    <x v="1"/>
    <s v="Travel_Rarely"/>
    <n v="1115"/>
    <x v="1"/>
    <n v="1"/>
    <n v="4"/>
    <s v="Life Sciences"/>
    <n v="1"/>
    <n v="77"/>
    <x v="3"/>
    <s v="Male"/>
    <n v="51"/>
    <n v="2"/>
    <x v="0"/>
    <x v="3"/>
    <x v="2"/>
    <s v="Divorced"/>
    <n v="5993"/>
    <n v="2689"/>
    <n v="1"/>
    <s v="Y"/>
    <s v="No"/>
    <n v="18"/>
    <n v="3"/>
    <n v="3"/>
    <n v="80"/>
    <n v="1"/>
    <n v="7"/>
    <n v="2"/>
    <n v="4"/>
    <x v="5"/>
    <n v="5"/>
    <n v="0"/>
    <n v="7"/>
    <s v="36-45"/>
    <s v="Medium"/>
    <s v="6-10"/>
    <s v="Mid-Level"/>
    <s v="Standard"/>
    <s v="High"/>
    <x v="0"/>
  </r>
  <r>
    <n v="32"/>
    <x v="1"/>
    <s v="Travel_Rarely"/>
    <n v="427"/>
    <x v="1"/>
    <n v="1"/>
    <n v="3"/>
    <s v="Medical"/>
    <n v="1"/>
    <n v="78"/>
    <x v="3"/>
    <s v="Male"/>
    <n v="33"/>
    <n v="3"/>
    <x v="0"/>
    <x v="3"/>
    <x v="0"/>
    <s v="Married"/>
    <n v="6162"/>
    <n v="10877"/>
    <n v="1"/>
    <s v="Y"/>
    <s v="Yes"/>
    <n v="22"/>
    <n v="4"/>
    <n v="2"/>
    <n v="80"/>
    <n v="1"/>
    <n v="9"/>
    <n v="3"/>
    <n v="3"/>
    <x v="7"/>
    <n v="8"/>
    <n v="7"/>
    <n v="8"/>
    <s v="26-35"/>
    <s v="High"/>
    <s v="6-10"/>
    <s v="Mid-Level"/>
    <s v="Excellent"/>
    <s v="High"/>
    <x v="0"/>
  </r>
  <r>
    <n v="38"/>
    <x v="1"/>
    <s v="Travel_Frequently"/>
    <n v="653"/>
    <x v="1"/>
    <n v="29"/>
    <n v="5"/>
    <s v="Life Sciences"/>
    <n v="1"/>
    <n v="79"/>
    <x v="2"/>
    <s v="Female"/>
    <n v="50"/>
    <n v="3"/>
    <x v="0"/>
    <x v="2"/>
    <x v="0"/>
    <s v="Single"/>
    <n v="2406"/>
    <n v="5456"/>
    <n v="1"/>
    <s v="Y"/>
    <s v="No"/>
    <n v="11"/>
    <n v="3"/>
    <n v="4"/>
    <n v="80"/>
    <n v="0"/>
    <n v="10"/>
    <n v="2"/>
    <n v="3"/>
    <x v="1"/>
    <n v="3"/>
    <n v="9"/>
    <n v="9"/>
    <s v="36-45"/>
    <s v="Low"/>
    <s v="6-10"/>
    <s v="Mid-Level"/>
    <s v="Standard"/>
    <s v="High"/>
    <x v="0"/>
  </r>
  <r>
    <n v="50"/>
    <x v="1"/>
    <s v="Travel_Rarely"/>
    <n v="989"/>
    <x v="1"/>
    <n v="7"/>
    <n v="2"/>
    <s v="Medical"/>
    <n v="1"/>
    <n v="80"/>
    <x v="0"/>
    <s v="Female"/>
    <n v="43"/>
    <n v="2"/>
    <x v="4"/>
    <x v="7"/>
    <x v="2"/>
    <s v="Divorced"/>
    <n v="18740"/>
    <n v="16701"/>
    <n v="5"/>
    <s v="Y"/>
    <s v="Yes"/>
    <n v="12"/>
    <n v="3"/>
    <n v="4"/>
    <n v="80"/>
    <n v="1"/>
    <n v="29"/>
    <n v="2"/>
    <n v="2"/>
    <x v="16"/>
    <n v="3"/>
    <n v="13"/>
    <n v="8"/>
    <s v="46-55"/>
    <s v="Very High"/>
    <s v="16+"/>
    <s v="Senior"/>
    <s v="Standard"/>
    <s v="High"/>
    <x v="0"/>
  </r>
  <r>
    <n v="59"/>
    <x v="1"/>
    <s v="Travel_Rarely"/>
    <n v="1435"/>
    <x v="0"/>
    <n v="25"/>
    <n v="3"/>
    <s v="Life Sciences"/>
    <n v="1"/>
    <n v="81"/>
    <x v="3"/>
    <s v="Female"/>
    <n v="99"/>
    <n v="3"/>
    <x v="2"/>
    <x v="0"/>
    <x v="3"/>
    <s v="Single"/>
    <n v="7637"/>
    <n v="2354"/>
    <n v="7"/>
    <s v="Y"/>
    <s v="No"/>
    <n v="11"/>
    <n v="3"/>
    <n v="4"/>
    <n v="80"/>
    <n v="0"/>
    <n v="28"/>
    <n v="3"/>
    <n v="2"/>
    <x v="17"/>
    <n v="16"/>
    <n v="7"/>
    <n v="9"/>
    <s v="56+"/>
    <s v="High"/>
    <s v="16+"/>
    <s v="Senior"/>
    <s v="Standard"/>
    <s v="Low"/>
    <x v="0"/>
  </r>
  <r>
    <n v="36"/>
    <x v="1"/>
    <s v="Travel_Rarely"/>
    <n v="1223"/>
    <x v="1"/>
    <n v="8"/>
    <n v="3"/>
    <s v="Technical Degree"/>
    <n v="1"/>
    <n v="83"/>
    <x v="1"/>
    <s v="Female"/>
    <n v="59"/>
    <n v="3"/>
    <x v="2"/>
    <x v="4"/>
    <x v="2"/>
    <s v="Divorced"/>
    <n v="10096"/>
    <n v="8202"/>
    <n v="1"/>
    <s v="Y"/>
    <s v="No"/>
    <n v="13"/>
    <n v="3"/>
    <n v="2"/>
    <n v="80"/>
    <n v="3"/>
    <n v="17"/>
    <n v="2"/>
    <n v="3"/>
    <x v="18"/>
    <n v="14"/>
    <n v="12"/>
    <n v="8"/>
    <s v="36-45"/>
    <s v="Very High"/>
    <s v="16+"/>
    <s v="Senior"/>
    <s v="Standard"/>
    <s v="High"/>
    <x v="0"/>
  </r>
  <r>
    <n v="55"/>
    <x v="1"/>
    <s v="Travel_Rarely"/>
    <n v="836"/>
    <x v="1"/>
    <n v="8"/>
    <n v="3"/>
    <s v="Medical"/>
    <n v="1"/>
    <n v="84"/>
    <x v="2"/>
    <s v="Female"/>
    <n v="33"/>
    <n v="3"/>
    <x v="3"/>
    <x v="5"/>
    <x v="2"/>
    <s v="Divorced"/>
    <n v="14756"/>
    <n v="19730"/>
    <n v="2"/>
    <s v="Y"/>
    <s v="Yes"/>
    <n v="14"/>
    <n v="3"/>
    <n v="3"/>
    <n v="80"/>
    <n v="3"/>
    <n v="21"/>
    <n v="2"/>
    <n v="3"/>
    <x v="8"/>
    <n v="0"/>
    <n v="0"/>
    <n v="2"/>
    <s v="46-55"/>
    <s v="Very High"/>
    <s v="3-5"/>
    <s v="Senior"/>
    <s v="Standard"/>
    <s v="High"/>
    <x v="0"/>
  </r>
  <r>
    <n v="36"/>
    <x v="1"/>
    <s v="Travel_Frequently"/>
    <n v="1195"/>
    <x v="1"/>
    <n v="11"/>
    <n v="3"/>
    <s v="Life Sciences"/>
    <n v="1"/>
    <n v="85"/>
    <x v="0"/>
    <s v="Male"/>
    <n v="95"/>
    <n v="2"/>
    <x v="0"/>
    <x v="3"/>
    <x v="1"/>
    <s v="Single"/>
    <n v="6499"/>
    <n v="22656"/>
    <n v="1"/>
    <s v="Y"/>
    <s v="No"/>
    <n v="13"/>
    <n v="3"/>
    <n v="3"/>
    <n v="80"/>
    <n v="0"/>
    <n v="6"/>
    <n v="3"/>
    <n v="3"/>
    <x v="0"/>
    <n v="5"/>
    <n v="0"/>
    <n v="3"/>
    <s v="36-45"/>
    <s v="High"/>
    <s v="6-10"/>
    <s v="Mid-Level"/>
    <s v="Standard"/>
    <s v="Low"/>
    <x v="0"/>
  </r>
  <r>
    <n v="45"/>
    <x v="1"/>
    <s v="Travel_Rarely"/>
    <n v="1339"/>
    <x v="1"/>
    <n v="7"/>
    <n v="3"/>
    <s v="Life Sciences"/>
    <n v="1"/>
    <n v="86"/>
    <x v="0"/>
    <s v="Male"/>
    <n v="59"/>
    <n v="3"/>
    <x v="2"/>
    <x v="1"/>
    <x v="3"/>
    <s v="Divorced"/>
    <n v="9724"/>
    <n v="18787"/>
    <n v="2"/>
    <s v="Y"/>
    <s v="No"/>
    <n v="17"/>
    <n v="3"/>
    <n v="3"/>
    <n v="80"/>
    <n v="1"/>
    <n v="25"/>
    <n v="2"/>
    <n v="3"/>
    <x v="6"/>
    <n v="0"/>
    <n v="0"/>
    <n v="0"/>
    <s v="36-45"/>
    <s v="High"/>
    <s v="0-2"/>
    <s v="Senior"/>
    <s v="Standard"/>
    <s v="Low"/>
    <x v="0"/>
  </r>
  <r>
    <n v="35"/>
    <x v="1"/>
    <s v="Travel_Frequently"/>
    <n v="664"/>
    <x v="1"/>
    <n v="1"/>
    <n v="3"/>
    <s v="Medical"/>
    <n v="1"/>
    <n v="88"/>
    <x v="0"/>
    <s v="Male"/>
    <n v="79"/>
    <n v="3"/>
    <x v="1"/>
    <x v="1"/>
    <x v="3"/>
    <s v="Married"/>
    <n v="2194"/>
    <n v="5868"/>
    <n v="4"/>
    <s v="Y"/>
    <s v="No"/>
    <n v="13"/>
    <n v="3"/>
    <n v="4"/>
    <n v="80"/>
    <n v="1"/>
    <n v="5"/>
    <n v="2"/>
    <n v="2"/>
    <x v="11"/>
    <n v="2"/>
    <n v="1"/>
    <n v="2"/>
    <s v="26-35"/>
    <s v="Low"/>
    <s v="3-5"/>
    <s v="Junior"/>
    <s v="Standard"/>
    <s v="Low"/>
    <x v="0"/>
  </r>
  <r>
    <n v="36"/>
    <x v="0"/>
    <s v="Travel_Rarely"/>
    <n v="318"/>
    <x v="1"/>
    <n v="9"/>
    <n v="3"/>
    <s v="Medical"/>
    <n v="1"/>
    <n v="90"/>
    <x v="2"/>
    <s v="Male"/>
    <n v="79"/>
    <n v="2"/>
    <x v="1"/>
    <x v="1"/>
    <x v="2"/>
    <s v="Married"/>
    <n v="3388"/>
    <n v="21777"/>
    <n v="0"/>
    <s v="Y"/>
    <s v="Yes"/>
    <n v="17"/>
    <n v="3"/>
    <n v="1"/>
    <n v="80"/>
    <n v="1"/>
    <n v="2"/>
    <n v="0"/>
    <n v="2"/>
    <x v="6"/>
    <n v="0"/>
    <n v="0"/>
    <n v="0"/>
    <s v="36-45"/>
    <s v="Medium"/>
    <s v="0-2"/>
    <s v="Junior"/>
    <s v="Standard"/>
    <s v="High"/>
    <x v="0"/>
  </r>
  <r>
    <n v="59"/>
    <x v="1"/>
    <s v="Travel_Frequently"/>
    <n v="1225"/>
    <x v="0"/>
    <n v="1"/>
    <n v="1"/>
    <s v="Life Sciences"/>
    <n v="1"/>
    <n v="91"/>
    <x v="3"/>
    <s v="Female"/>
    <n v="57"/>
    <n v="2"/>
    <x v="0"/>
    <x v="0"/>
    <x v="2"/>
    <s v="Single"/>
    <n v="5473"/>
    <n v="24668"/>
    <n v="7"/>
    <s v="Y"/>
    <s v="No"/>
    <n v="11"/>
    <n v="3"/>
    <n v="4"/>
    <n v="80"/>
    <n v="0"/>
    <n v="20"/>
    <n v="2"/>
    <n v="2"/>
    <x v="9"/>
    <n v="3"/>
    <n v="1"/>
    <n v="3"/>
    <s v="56+"/>
    <s v="Medium"/>
    <s v="3-5"/>
    <s v="Senior"/>
    <s v="Standard"/>
    <s v="High"/>
    <x v="0"/>
  </r>
  <r>
    <n v="29"/>
    <x v="1"/>
    <s v="Travel_Rarely"/>
    <n v="1328"/>
    <x v="1"/>
    <n v="2"/>
    <n v="3"/>
    <s v="Life Sciences"/>
    <n v="1"/>
    <n v="94"/>
    <x v="1"/>
    <s v="Male"/>
    <n v="76"/>
    <n v="3"/>
    <x v="1"/>
    <x v="1"/>
    <x v="1"/>
    <s v="Married"/>
    <n v="2703"/>
    <n v="4956"/>
    <n v="0"/>
    <s v="Y"/>
    <s v="No"/>
    <n v="23"/>
    <n v="4"/>
    <n v="4"/>
    <n v="80"/>
    <n v="1"/>
    <n v="6"/>
    <n v="3"/>
    <n v="3"/>
    <x v="8"/>
    <n v="4"/>
    <n v="0"/>
    <n v="4"/>
    <s v="26-35"/>
    <s v="Low"/>
    <s v="3-5"/>
    <s v="Mid-Level"/>
    <s v="Excellent"/>
    <s v="Low"/>
    <x v="0"/>
  </r>
  <r>
    <n v="31"/>
    <x v="1"/>
    <s v="Travel_Rarely"/>
    <n v="1082"/>
    <x v="1"/>
    <n v="1"/>
    <n v="4"/>
    <s v="Medical"/>
    <n v="1"/>
    <n v="95"/>
    <x v="1"/>
    <s v="Male"/>
    <n v="87"/>
    <n v="3"/>
    <x v="1"/>
    <x v="1"/>
    <x v="1"/>
    <s v="Single"/>
    <n v="2501"/>
    <n v="18775"/>
    <n v="1"/>
    <s v="Y"/>
    <s v="No"/>
    <n v="17"/>
    <n v="3"/>
    <n v="2"/>
    <n v="80"/>
    <n v="0"/>
    <n v="1"/>
    <n v="4"/>
    <n v="3"/>
    <x v="6"/>
    <n v="1"/>
    <n v="1"/>
    <n v="0"/>
    <s v="26-35"/>
    <s v="Low"/>
    <s v="0-2"/>
    <s v="Junior"/>
    <s v="Standard"/>
    <s v="Low"/>
    <x v="0"/>
  </r>
  <r>
    <n v="32"/>
    <x v="1"/>
    <s v="Travel_Rarely"/>
    <n v="548"/>
    <x v="1"/>
    <n v="1"/>
    <n v="3"/>
    <s v="Life Sciences"/>
    <n v="1"/>
    <n v="96"/>
    <x v="0"/>
    <s v="Male"/>
    <n v="66"/>
    <n v="3"/>
    <x v="0"/>
    <x v="1"/>
    <x v="1"/>
    <s v="Married"/>
    <n v="6220"/>
    <n v="7346"/>
    <n v="1"/>
    <s v="Y"/>
    <s v="No"/>
    <n v="17"/>
    <n v="3"/>
    <n v="2"/>
    <n v="80"/>
    <n v="2"/>
    <n v="10"/>
    <n v="3"/>
    <n v="3"/>
    <x v="1"/>
    <n v="4"/>
    <n v="0"/>
    <n v="9"/>
    <s v="26-35"/>
    <s v="High"/>
    <s v="6-10"/>
    <s v="Mid-Level"/>
    <s v="Standard"/>
    <s v="Low"/>
    <x v="0"/>
  </r>
  <r>
    <n v="36"/>
    <x v="1"/>
    <s v="Travel_Rarely"/>
    <n v="132"/>
    <x v="1"/>
    <n v="6"/>
    <n v="3"/>
    <s v="Life Sciences"/>
    <n v="1"/>
    <n v="97"/>
    <x v="0"/>
    <s v="Female"/>
    <n v="55"/>
    <n v="4"/>
    <x v="1"/>
    <x v="2"/>
    <x v="0"/>
    <s v="Married"/>
    <n v="3038"/>
    <n v="22002"/>
    <n v="3"/>
    <s v="Y"/>
    <s v="No"/>
    <n v="12"/>
    <n v="3"/>
    <n v="2"/>
    <n v="80"/>
    <n v="0"/>
    <n v="5"/>
    <n v="3"/>
    <n v="3"/>
    <x v="6"/>
    <n v="0"/>
    <n v="0"/>
    <n v="0"/>
    <s v="36-45"/>
    <s v="Medium"/>
    <s v="0-2"/>
    <s v="Junior"/>
    <s v="Standard"/>
    <s v="High"/>
    <x v="0"/>
  </r>
  <r>
    <n v="31"/>
    <x v="1"/>
    <s v="Travel_Rarely"/>
    <n v="746"/>
    <x v="1"/>
    <n v="8"/>
    <n v="4"/>
    <s v="Life Sciences"/>
    <n v="1"/>
    <n v="98"/>
    <x v="1"/>
    <s v="Female"/>
    <n v="61"/>
    <n v="3"/>
    <x v="0"/>
    <x v="3"/>
    <x v="0"/>
    <s v="Single"/>
    <n v="4424"/>
    <n v="20682"/>
    <n v="1"/>
    <s v="Y"/>
    <s v="No"/>
    <n v="23"/>
    <n v="4"/>
    <n v="4"/>
    <n v="80"/>
    <n v="0"/>
    <n v="11"/>
    <n v="2"/>
    <n v="3"/>
    <x v="19"/>
    <n v="7"/>
    <n v="1"/>
    <n v="8"/>
    <s v="26-35"/>
    <s v="Medium"/>
    <s v="11-15"/>
    <s v="Mid-Level"/>
    <s v="Excellent"/>
    <s v="High"/>
    <x v="0"/>
  </r>
  <r>
    <n v="35"/>
    <x v="1"/>
    <s v="Travel_Rarely"/>
    <n v="776"/>
    <x v="0"/>
    <n v="1"/>
    <n v="4"/>
    <s v="Marketing"/>
    <n v="1"/>
    <n v="100"/>
    <x v="1"/>
    <s v="Male"/>
    <n v="32"/>
    <n v="2"/>
    <x v="0"/>
    <x v="0"/>
    <x v="3"/>
    <s v="Single"/>
    <n v="4312"/>
    <n v="23016"/>
    <n v="0"/>
    <s v="Y"/>
    <s v="No"/>
    <n v="14"/>
    <n v="3"/>
    <n v="2"/>
    <n v="80"/>
    <n v="0"/>
    <n v="16"/>
    <n v="2"/>
    <n v="3"/>
    <x v="15"/>
    <n v="13"/>
    <n v="2"/>
    <n v="8"/>
    <s v="26-35"/>
    <s v="Medium"/>
    <s v="11-15"/>
    <s v="Senior"/>
    <s v="Standard"/>
    <s v="Low"/>
    <x v="0"/>
  </r>
  <r>
    <n v="45"/>
    <x v="1"/>
    <s v="Travel_Rarely"/>
    <n v="193"/>
    <x v="1"/>
    <n v="6"/>
    <n v="4"/>
    <s v="Other"/>
    <n v="1"/>
    <n v="101"/>
    <x v="2"/>
    <s v="Male"/>
    <n v="52"/>
    <n v="3"/>
    <x v="2"/>
    <x v="7"/>
    <x v="3"/>
    <s v="Married"/>
    <n v="13245"/>
    <n v="15067"/>
    <n v="4"/>
    <s v="Y"/>
    <s v="Yes"/>
    <n v="14"/>
    <n v="3"/>
    <n v="2"/>
    <n v="80"/>
    <n v="0"/>
    <n v="17"/>
    <n v="3"/>
    <n v="4"/>
    <x v="2"/>
    <n v="0"/>
    <n v="0"/>
    <n v="0"/>
    <s v="36-45"/>
    <s v="Very High"/>
    <s v="0-2"/>
    <s v="Senior"/>
    <s v="Standard"/>
    <s v="Low"/>
    <x v="1"/>
  </r>
  <r>
    <n v="37"/>
    <x v="1"/>
    <s v="Travel_Rarely"/>
    <n v="397"/>
    <x v="1"/>
    <n v="7"/>
    <n v="4"/>
    <s v="Medical"/>
    <n v="1"/>
    <n v="102"/>
    <x v="3"/>
    <s v="Male"/>
    <n v="30"/>
    <n v="3"/>
    <x v="2"/>
    <x v="7"/>
    <x v="2"/>
    <s v="Single"/>
    <n v="13664"/>
    <n v="25258"/>
    <n v="4"/>
    <s v="Y"/>
    <s v="No"/>
    <n v="13"/>
    <n v="3"/>
    <n v="1"/>
    <n v="80"/>
    <n v="0"/>
    <n v="16"/>
    <n v="3"/>
    <n v="4"/>
    <x v="8"/>
    <n v="2"/>
    <n v="0"/>
    <n v="2"/>
    <s v="36-45"/>
    <s v="Very High"/>
    <s v="3-5"/>
    <s v="Senior"/>
    <s v="Standard"/>
    <s v="High"/>
    <x v="0"/>
  </r>
  <r>
    <n v="46"/>
    <x v="1"/>
    <s v="Travel_Rarely"/>
    <n v="945"/>
    <x v="2"/>
    <n v="5"/>
    <n v="2"/>
    <s v="Medical"/>
    <n v="1"/>
    <n v="103"/>
    <x v="0"/>
    <s v="Male"/>
    <n v="80"/>
    <n v="3"/>
    <x v="0"/>
    <x v="8"/>
    <x v="1"/>
    <s v="Divorced"/>
    <n v="5021"/>
    <n v="10425"/>
    <n v="8"/>
    <s v="Y"/>
    <s v="Yes"/>
    <n v="22"/>
    <n v="4"/>
    <n v="4"/>
    <n v="80"/>
    <n v="1"/>
    <n v="16"/>
    <n v="2"/>
    <n v="3"/>
    <x v="9"/>
    <n v="2"/>
    <n v="0"/>
    <n v="2"/>
    <s v="46-55"/>
    <s v="Medium"/>
    <s v="3-5"/>
    <s v="Senior"/>
    <s v="Excellent"/>
    <s v="Low"/>
    <x v="0"/>
  </r>
  <r>
    <n v="30"/>
    <x v="1"/>
    <s v="Travel_Rarely"/>
    <n v="852"/>
    <x v="1"/>
    <n v="1"/>
    <n v="1"/>
    <s v="Life Sciences"/>
    <n v="1"/>
    <n v="104"/>
    <x v="2"/>
    <s v="Male"/>
    <n v="55"/>
    <n v="2"/>
    <x v="0"/>
    <x v="2"/>
    <x v="0"/>
    <s v="Married"/>
    <n v="5126"/>
    <n v="15998"/>
    <n v="1"/>
    <s v="Y"/>
    <s v="Yes"/>
    <n v="12"/>
    <n v="3"/>
    <n v="3"/>
    <n v="80"/>
    <n v="2"/>
    <n v="10"/>
    <n v="1"/>
    <n v="2"/>
    <x v="1"/>
    <n v="8"/>
    <n v="3"/>
    <n v="0"/>
    <s v="26-35"/>
    <s v="Medium"/>
    <s v="6-10"/>
    <s v="Mid-Level"/>
    <s v="Standard"/>
    <s v="High"/>
    <x v="0"/>
  </r>
  <r>
    <n v="35"/>
    <x v="1"/>
    <s v="Travel_Rarely"/>
    <n v="1214"/>
    <x v="1"/>
    <n v="1"/>
    <n v="3"/>
    <s v="Medical"/>
    <n v="1"/>
    <n v="105"/>
    <x v="0"/>
    <s v="Male"/>
    <n v="30"/>
    <n v="2"/>
    <x v="1"/>
    <x v="1"/>
    <x v="2"/>
    <s v="Single"/>
    <n v="2859"/>
    <n v="26278"/>
    <n v="1"/>
    <s v="Y"/>
    <s v="No"/>
    <n v="18"/>
    <n v="3"/>
    <n v="1"/>
    <n v="80"/>
    <n v="0"/>
    <n v="6"/>
    <n v="3"/>
    <n v="3"/>
    <x v="0"/>
    <n v="4"/>
    <n v="0"/>
    <n v="4"/>
    <s v="26-35"/>
    <s v="Low"/>
    <s v="6-10"/>
    <s v="Mid-Level"/>
    <s v="Standard"/>
    <s v="High"/>
    <x v="0"/>
  </r>
  <r>
    <n v="55"/>
    <x v="1"/>
    <s v="Travel_Rarely"/>
    <n v="111"/>
    <x v="0"/>
    <n v="1"/>
    <n v="2"/>
    <s v="Life Sciences"/>
    <n v="1"/>
    <n v="106"/>
    <x v="3"/>
    <s v="Male"/>
    <n v="70"/>
    <n v="3"/>
    <x v="2"/>
    <x v="0"/>
    <x v="0"/>
    <s v="Married"/>
    <n v="10239"/>
    <n v="18092"/>
    <n v="3"/>
    <s v="Y"/>
    <s v="No"/>
    <n v="14"/>
    <n v="3"/>
    <n v="4"/>
    <n v="80"/>
    <n v="1"/>
    <n v="24"/>
    <n v="4"/>
    <n v="3"/>
    <x v="6"/>
    <n v="0"/>
    <n v="1"/>
    <n v="0"/>
    <s v="46-55"/>
    <s v="Very High"/>
    <s v="0-2"/>
    <s v="Senior"/>
    <s v="Standard"/>
    <s v="High"/>
    <x v="0"/>
  </r>
  <r>
    <n v="38"/>
    <x v="1"/>
    <s v="Non-Travel"/>
    <n v="573"/>
    <x v="1"/>
    <n v="6"/>
    <n v="3"/>
    <s v="Medical"/>
    <n v="1"/>
    <n v="107"/>
    <x v="0"/>
    <s v="Female"/>
    <n v="79"/>
    <n v="1"/>
    <x v="0"/>
    <x v="1"/>
    <x v="0"/>
    <s v="Divorced"/>
    <n v="5329"/>
    <n v="15717"/>
    <n v="7"/>
    <s v="Y"/>
    <s v="Yes"/>
    <n v="12"/>
    <n v="3"/>
    <n v="4"/>
    <n v="80"/>
    <n v="3"/>
    <n v="17"/>
    <n v="3"/>
    <n v="3"/>
    <x v="20"/>
    <n v="11"/>
    <n v="1"/>
    <n v="9"/>
    <s v="36-45"/>
    <s v="Medium"/>
    <s v="11-15"/>
    <s v="Senior"/>
    <s v="Standard"/>
    <s v="High"/>
    <x v="0"/>
  </r>
  <r>
    <n v="34"/>
    <x v="1"/>
    <s v="Travel_Rarely"/>
    <n v="1153"/>
    <x v="1"/>
    <n v="1"/>
    <n v="2"/>
    <s v="Medical"/>
    <n v="1"/>
    <n v="110"/>
    <x v="3"/>
    <s v="Male"/>
    <n v="94"/>
    <n v="3"/>
    <x v="0"/>
    <x v="3"/>
    <x v="1"/>
    <s v="Married"/>
    <n v="4325"/>
    <n v="17736"/>
    <n v="1"/>
    <s v="Y"/>
    <s v="No"/>
    <n v="15"/>
    <n v="3"/>
    <n v="3"/>
    <n v="80"/>
    <n v="0"/>
    <n v="5"/>
    <n v="2"/>
    <n v="3"/>
    <x v="8"/>
    <n v="2"/>
    <n v="1"/>
    <n v="3"/>
    <s v="26-35"/>
    <s v="Medium"/>
    <s v="3-5"/>
    <s v="Junior"/>
    <s v="Standard"/>
    <s v="Low"/>
    <x v="0"/>
  </r>
  <r>
    <n v="56"/>
    <x v="1"/>
    <s v="Travel_Rarely"/>
    <n v="1400"/>
    <x v="1"/>
    <n v="7"/>
    <n v="3"/>
    <s v="Life Sciences"/>
    <n v="1"/>
    <n v="112"/>
    <x v="2"/>
    <s v="Male"/>
    <n v="49"/>
    <n v="1"/>
    <x v="2"/>
    <x v="3"/>
    <x v="0"/>
    <s v="Single"/>
    <n v="7260"/>
    <n v="21698"/>
    <n v="4"/>
    <s v="Y"/>
    <s v="No"/>
    <n v="11"/>
    <n v="3"/>
    <n v="1"/>
    <n v="80"/>
    <n v="0"/>
    <n v="37"/>
    <n v="3"/>
    <n v="2"/>
    <x v="0"/>
    <n v="4"/>
    <n v="0"/>
    <n v="2"/>
    <s v="56+"/>
    <s v="High"/>
    <s v="6-10"/>
    <s v="Senior"/>
    <s v="Standard"/>
    <s v="High"/>
    <x v="0"/>
  </r>
  <r>
    <n v="23"/>
    <x v="1"/>
    <s v="Travel_Rarely"/>
    <n v="541"/>
    <x v="0"/>
    <n v="2"/>
    <n v="1"/>
    <s v="Technical Degree"/>
    <n v="1"/>
    <n v="113"/>
    <x v="1"/>
    <s v="Male"/>
    <n v="62"/>
    <n v="3"/>
    <x v="1"/>
    <x v="6"/>
    <x v="3"/>
    <s v="Divorced"/>
    <n v="2322"/>
    <n v="9518"/>
    <n v="3"/>
    <s v="Y"/>
    <s v="No"/>
    <n v="13"/>
    <n v="3"/>
    <n v="3"/>
    <n v="80"/>
    <n v="1"/>
    <n v="3"/>
    <n v="3"/>
    <n v="3"/>
    <x v="2"/>
    <n v="0"/>
    <n v="0"/>
    <n v="0"/>
    <s v="18-25"/>
    <s v="Low"/>
    <s v="0-2"/>
    <s v="Junior"/>
    <s v="Standard"/>
    <s v="Low"/>
    <x v="0"/>
  </r>
  <r>
    <n v="51"/>
    <x v="1"/>
    <s v="Travel_Rarely"/>
    <n v="432"/>
    <x v="1"/>
    <n v="9"/>
    <n v="4"/>
    <s v="Life Sciences"/>
    <n v="1"/>
    <n v="116"/>
    <x v="2"/>
    <s v="Male"/>
    <n v="96"/>
    <n v="3"/>
    <x v="1"/>
    <x v="2"/>
    <x v="0"/>
    <s v="Married"/>
    <n v="2075"/>
    <n v="18725"/>
    <n v="3"/>
    <s v="Y"/>
    <s v="No"/>
    <n v="23"/>
    <n v="4"/>
    <n v="2"/>
    <n v="80"/>
    <n v="2"/>
    <n v="10"/>
    <n v="4"/>
    <n v="3"/>
    <x v="9"/>
    <n v="2"/>
    <n v="0"/>
    <n v="3"/>
    <s v="46-55"/>
    <s v="Low"/>
    <s v="3-5"/>
    <s v="Mid-Level"/>
    <s v="Excellent"/>
    <s v="High"/>
    <x v="0"/>
  </r>
  <r>
    <n v="30"/>
    <x v="1"/>
    <s v="Travel_Rarely"/>
    <n v="288"/>
    <x v="1"/>
    <n v="2"/>
    <n v="3"/>
    <s v="Life Sciences"/>
    <n v="1"/>
    <n v="117"/>
    <x v="1"/>
    <s v="Male"/>
    <n v="99"/>
    <n v="2"/>
    <x v="0"/>
    <x v="4"/>
    <x v="0"/>
    <s v="Married"/>
    <n v="4152"/>
    <n v="15830"/>
    <n v="1"/>
    <s v="Y"/>
    <s v="No"/>
    <n v="19"/>
    <n v="3"/>
    <n v="1"/>
    <n v="80"/>
    <n v="3"/>
    <n v="11"/>
    <n v="3"/>
    <n v="3"/>
    <x v="19"/>
    <n v="10"/>
    <n v="10"/>
    <n v="8"/>
    <s v="26-35"/>
    <s v="Medium"/>
    <s v="11-15"/>
    <s v="Mid-Level"/>
    <s v="Standard"/>
    <s v="High"/>
    <x v="0"/>
  </r>
  <r>
    <n v="46"/>
    <x v="0"/>
    <s v="Travel_Rarely"/>
    <n v="669"/>
    <x v="0"/>
    <n v="9"/>
    <n v="2"/>
    <s v="Medical"/>
    <n v="1"/>
    <n v="118"/>
    <x v="1"/>
    <s v="Male"/>
    <n v="64"/>
    <n v="2"/>
    <x v="2"/>
    <x v="0"/>
    <x v="0"/>
    <s v="Single"/>
    <n v="9619"/>
    <n v="13596"/>
    <n v="1"/>
    <s v="Y"/>
    <s v="No"/>
    <n v="16"/>
    <n v="3"/>
    <n v="4"/>
    <n v="80"/>
    <n v="0"/>
    <n v="9"/>
    <n v="3"/>
    <n v="3"/>
    <x v="7"/>
    <n v="8"/>
    <n v="4"/>
    <n v="7"/>
    <s v="46-55"/>
    <s v="High"/>
    <s v="6-10"/>
    <s v="Mid-Level"/>
    <s v="Standard"/>
    <s v="High"/>
    <x v="0"/>
  </r>
  <r>
    <n v="40"/>
    <x v="1"/>
    <s v="Travel_Frequently"/>
    <n v="530"/>
    <x v="1"/>
    <n v="1"/>
    <n v="4"/>
    <s v="Life Sciences"/>
    <n v="1"/>
    <n v="119"/>
    <x v="1"/>
    <s v="Male"/>
    <n v="78"/>
    <n v="2"/>
    <x v="3"/>
    <x v="4"/>
    <x v="1"/>
    <s v="Married"/>
    <n v="13503"/>
    <n v="14115"/>
    <n v="1"/>
    <s v="Y"/>
    <s v="No"/>
    <n v="22"/>
    <n v="4"/>
    <n v="4"/>
    <n v="80"/>
    <n v="1"/>
    <n v="22"/>
    <n v="3"/>
    <n v="2"/>
    <x v="14"/>
    <n v="3"/>
    <n v="11"/>
    <n v="11"/>
    <s v="36-45"/>
    <s v="Very High"/>
    <s v="16+"/>
    <s v="Senior"/>
    <s v="Excellent"/>
    <s v="Low"/>
    <x v="0"/>
  </r>
  <r>
    <n v="51"/>
    <x v="1"/>
    <s v="Travel_Rarely"/>
    <n v="632"/>
    <x v="0"/>
    <n v="21"/>
    <n v="4"/>
    <s v="Marketing"/>
    <n v="1"/>
    <n v="120"/>
    <x v="1"/>
    <s v="Male"/>
    <n v="71"/>
    <n v="3"/>
    <x v="0"/>
    <x v="0"/>
    <x v="0"/>
    <s v="Single"/>
    <n v="5441"/>
    <n v="8423"/>
    <n v="0"/>
    <s v="Y"/>
    <s v="Yes"/>
    <n v="22"/>
    <n v="4"/>
    <n v="4"/>
    <n v="80"/>
    <n v="0"/>
    <n v="11"/>
    <n v="2"/>
    <n v="1"/>
    <x v="1"/>
    <n v="7"/>
    <n v="1"/>
    <n v="0"/>
    <s v="46-55"/>
    <s v="Medium"/>
    <s v="6-10"/>
    <s v="Mid-Level"/>
    <s v="Excellent"/>
    <s v="High"/>
    <x v="0"/>
  </r>
  <r>
    <n v="30"/>
    <x v="1"/>
    <s v="Travel_Rarely"/>
    <n v="1334"/>
    <x v="0"/>
    <n v="4"/>
    <n v="2"/>
    <s v="Medical"/>
    <n v="1"/>
    <n v="121"/>
    <x v="1"/>
    <s v="Female"/>
    <n v="63"/>
    <n v="2"/>
    <x v="0"/>
    <x v="0"/>
    <x v="1"/>
    <s v="Divorced"/>
    <n v="5209"/>
    <n v="19760"/>
    <n v="1"/>
    <s v="Y"/>
    <s v="Yes"/>
    <n v="12"/>
    <n v="3"/>
    <n v="2"/>
    <n v="80"/>
    <n v="3"/>
    <n v="11"/>
    <n v="4"/>
    <n v="2"/>
    <x v="19"/>
    <n v="8"/>
    <n v="2"/>
    <n v="7"/>
    <s v="26-35"/>
    <s v="Medium"/>
    <s v="11-15"/>
    <s v="Mid-Level"/>
    <s v="Standard"/>
    <s v="Low"/>
    <x v="0"/>
  </r>
  <r>
    <n v="46"/>
    <x v="1"/>
    <s v="Travel_Frequently"/>
    <n v="638"/>
    <x v="1"/>
    <n v="1"/>
    <n v="3"/>
    <s v="Medical"/>
    <n v="1"/>
    <n v="124"/>
    <x v="1"/>
    <s v="Male"/>
    <n v="40"/>
    <n v="2"/>
    <x v="2"/>
    <x v="4"/>
    <x v="3"/>
    <s v="Married"/>
    <n v="10673"/>
    <n v="3142"/>
    <n v="2"/>
    <s v="Y"/>
    <s v="Yes"/>
    <n v="13"/>
    <n v="3"/>
    <n v="3"/>
    <n v="80"/>
    <n v="1"/>
    <n v="21"/>
    <n v="5"/>
    <n v="2"/>
    <x v="1"/>
    <n v="9"/>
    <n v="9"/>
    <n v="5"/>
    <s v="46-55"/>
    <s v="Very High"/>
    <s v="6-10"/>
    <s v="Senior"/>
    <s v="Standard"/>
    <s v="Low"/>
    <x v="0"/>
  </r>
  <r>
    <n v="32"/>
    <x v="1"/>
    <s v="Travel_Rarely"/>
    <n v="1093"/>
    <x v="0"/>
    <n v="6"/>
    <n v="4"/>
    <s v="Medical"/>
    <n v="1"/>
    <n v="125"/>
    <x v="0"/>
    <s v="Male"/>
    <n v="87"/>
    <n v="3"/>
    <x v="0"/>
    <x v="0"/>
    <x v="2"/>
    <s v="Single"/>
    <n v="5010"/>
    <n v="24301"/>
    <n v="1"/>
    <s v="Y"/>
    <s v="No"/>
    <n v="16"/>
    <n v="3"/>
    <n v="1"/>
    <n v="80"/>
    <n v="0"/>
    <n v="12"/>
    <n v="0"/>
    <n v="3"/>
    <x v="19"/>
    <n v="8"/>
    <n v="5"/>
    <n v="7"/>
    <s v="26-35"/>
    <s v="Medium"/>
    <s v="11-15"/>
    <s v="Mid-Level"/>
    <s v="Standard"/>
    <s v="High"/>
    <x v="0"/>
  </r>
  <r>
    <n v="54"/>
    <x v="1"/>
    <s v="Travel_Rarely"/>
    <n v="1217"/>
    <x v="1"/>
    <n v="2"/>
    <n v="4"/>
    <s v="Technical Degree"/>
    <n v="1"/>
    <n v="126"/>
    <x v="3"/>
    <s v="Female"/>
    <n v="60"/>
    <n v="3"/>
    <x v="2"/>
    <x v="7"/>
    <x v="2"/>
    <s v="Married"/>
    <n v="13549"/>
    <n v="24001"/>
    <n v="9"/>
    <s v="Y"/>
    <s v="No"/>
    <n v="12"/>
    <n v="3"/>
    <n v="1"/>
    <n v="80"/>
    <n v="1"/>
    <n v="16"/>
    <n v="5"/>
    <n v="1"/>
    <x v="9"/>
    <n v="3"/>
    <n v="0"/>
    <n v="3"/>
    <s v="46-55"/>
    <s v="Very High"/>
    <s v="3-5"/>
    <s v="Senior"/>
    <s v="Standard"/>
    <s v="High"/>
    <x v="0"/>
  </r>
  <r>
    <n v="24"/>
    <x v="1"/>
    <s v="Travel_Rarely"/>
    <n v="1353"/>
    <x v="0"/>
    <n v="3"/>
    <n v="2"/>
    <s v="Other"/>
    <n v="1"/>
    <n v="128"/>
    <x v="3"/>
    <s v="Female"/>
    <n v="33"/>
    <n v="3"/>
    <x v="0"/>
    <x v="0"/>
    <x v="2"/>
    <s v="Married"/>
    <n v="4999"/>
    <n v="17519"/>
    <n v="0"/>
    <s v="Y"/>
    <s v="No"/>
    <n v="21"/>
    <n v="4"/>
    <n v="1"/>
    <n v="80"/>
    <n v="1"/>
    <n v="4"/>
    <n v="2"/>
    <n v="2"/>
    <x v="11"/>
    <n v="2"/>
    <n v="0"/>
    <n v="2"/>
    <s v="18-25"/>
    <s v="Medium"/>
    <s v="3-5"/>
    <s v="Junior"/>
    <s v="Excellent"/>
    <s v="High"/>
    <x v="0"/>
  </r>
  <r>
    <n v="28"/>
    <x v="1"/>
    <s v="Non-Travel"/>
    <n v="120"/>
    <x v="0"/>
    <n v="4"/>
    <n v="3"/>
    <s v="Medical"/>
    <n v="1"/>
    <n v="129"/>
    <x v="0"/>
    <s v="Male"/>
    <n v="43"/>
    <n v="3"/>
    <x v="0"/>
    <x v="0"/>
    <x v="2"/>
    <s v="Married"/>
    <n v="4221"/>
    <n v="8863"/>
    <n v="1"/>
    <s v="Y"/>
    <s v="No"/>
    <n v="15"/>
    <n v="3"/>
    <n v="2"/>
    <n v="80"/>
    <n v="0"/>
    <n v="5"/>
    <n v="3"/>
    <n v="4"/>
    <x v="8"/>
    <n v="4"/>
    <n v="0"/>
    <n v="4"/>
    <s v="26-35"/>
    <s v="Medium"/>
    <s v="3-5"/>
    <s v="Junior"/>
    <s v="Standard"/>
    <s v="High"/>
    <x v="0"/>
  </r>
  <r>
    <n v="58"/>
    <x v="1"/>
    <s v="Travel_Rarely"/>
    <n v="682"/>
    <x v="0"/>
    <n v="10"/>
    <n v="4"/>
    <s v="Medical"/>
    <n v="1"/>
    <n v="131"/>
    <x v="2"/>
    <s v="Male"/>
    <n v="37"/>
    <n v="3"/>
    <x v="3"/>
    <x v="0"/>
    <x v="2"/>
    <s v="Single"/>
    <n v="13872"/>
    <n v="24409"/>
    <n v="0"/>
    <s v="Y"/>
    <s v="No"/>
    <n v="13"/>
    <n v="3"/>
    <n v="3"/>
    <n v="80"/>
    <n v="0"/>
    <n v="38"/>
    <n v="1"/>
    <n v="2"/>
    <x v="21"/>
    <n v="10"/>
    <n v="1"/>
    <n v="8"/>
    <s v="56+"/>
    <s v="Very High"/>
    <s v="16+"/>
    <s v="Senior"/>
    <s v="Standard"/>
    <s v="High"/>
    <x v="0"/>
  </r>
  <r>
    <n v="44"/>
    <x v="1"/>
    <s v="Non-Travel"/>
    <n v="489"/>
    <x v="1"/>
    <n v="23"/>
    <n v="3"/>
    <s v="Medical"/>
    <n v="1"/>
    <n v="132"/>
    <x v="0"/>
    <s v="Male"/>
    <n v="67"/>
    <n v="3"/>
    <x v="0"/>
    <x v="2"/>
    <x v="1"/>
    <s v="Married"/>
    <n v="2042"/>
    <n v="25043"/>
    <n v="4"/>
    <s v="Y"/>
    <s v="No"/>
    <n v="12"/>
    <n v="3"/>
    <n v="3"/>
    <n v="80"/>
    <n v="1"/>
    <n v="17"/>
    <n v="3"/>
    <n v="4"/>
    <x v="11"/>
    <n v="2"/>
    <n v="1"/>
    <n v="2"/>
    <s v="36-45"/>
    <s v="Low"/>
    <s v="3-5"/>
    <s v="Senior"/>
    <s v="Standard"/>
    <s v="Low"/>
    <x v="0"/>
  </r>
  <r>
    <n v="37"/>
    <x v="0"/>
    <s v="Travel_Rarely"/>
    <n v="807"/>
    <x v="2"/>
    <n v="6"/>
    <n v="4"/>
    <s v="Human Resources"/>
    <n v="1"/>
    <n v="133"/>
    <x v="1"/>
    <s v="Male"/>
    <n v="63"/>
    <n v="3"/>
    <x v="1"/>
    <x v="8"/>
    <x v="3"/>
    <s v="Divorced"/>
    <n v="2073"/>
    <n v="23648"/>
    <n v="4"/>
    <s v="Y"/>
    <s v="Yes"/>
    <n v="22"/>
    <n v="4"/>
    <n v="4"/>
    <n v="80"/>
    <n v="0"/>
    <n v="7"/>
    <n v="3"/>
    <n v="3"/>
    <x v="11"/>
    <n v="2"/>
    <n v="0"/>
    <n v="2"/>
    <s v="36-45"/>
    <s v="Low"/>
    <s v="3-5"/>
    <s v="Mid-Level"/>
    <s v="Excellent"/>
    <s v="Low"/>
    <x v="0"/>
  </r>
  <r>
    <n v="32"/>
    <x v="1"/>
    <s v="Travel_Rarely"/>
    <n v="827"/>
    <x v="1"/>
    <n v="1"/>
    <n v="1"/>
    <s v="Life Sciences"/>
    <n v="1"/>
    <n v="134"/>
    <x v="2"/>
    <s v="Male"/>
    <n v="71"/>
    <n v="3"/>
    <x v="1"/>
    <x v="1"/>
    <x v="3"/>
    <s v="Single"/>
    <n v="2956"/>
    <n v="15178"/>
    <n v="1"/>
    <s v="Y"/>
    <s v="No"/>
    <n v="13"/>
    <n v="3"/>
    <n v="4"/>
    <n v="80"/>
    <n v="0"/>
    <n v="1"/>
    <n v="2"/>
    <n v="3"/>
    <x v="6"/>
    <n v="0"/>
    <n v="0"/>
    <n v="0"/>
    <s v="26-35"/>
    <s v="Low"/>
    <s v="0-2"/>
    <s v="Junior"/>
    <s v="Standard"/>
    <s v="Low"/>
    <x v="0"/>
  </r>
  <r>
    <n v="20"/>
    <x v="0"/>
    <s v="Travel_Frequently"/>
    <n v="871"/>
    <x v="1"/>
    <n v="6"/>
    <n v="3"/>
    <s v="Life Sciences"/>
    <n v="1"/>
    <n v="137"/>
    <x v="2"/>
    <s v="Female"/>
    <n v="66"/>
    <n v="2"/>
    <x v="1"/>
    <x v="2"/>
    <x v="0"/>
    <s v="Single"/>
    <n v="2926"/>
    <n v="19783"/>
    <n v="1"/>
    <s v="Y"/>
    <s v="Yes"/>
    <n v="18"/>
    <n v="3"/>
    <n v="2"/>
    <n v="80"/>
    <n v="0"/>
    <n v="1"/>
    <n v="5"/>
    <n v="3"/>
    <x v="6"/>
    <n v="0"/>
    <n v="1"/>
    <n v="0"/>
    <s v="18-25"/>
    <s v="Low"/>
    <s v="0-2"/>
    <s v="Junior"/>
    <s v="Standard"/>
    <s v="High"/>
    <x v="0"/>
  </r>
  <r>
    <n v="34"/>
    <x v="1"/>
    <s v="Travel_Rarely"/>
    <n v="665"/>
    <x v="1"/>
    <n v="6"/>
    <n v="4"/>
    <s v="Other"/>
    <n v="1"/>
    <n v="138"/>
    <x v="3"/>
    <s v="Female"/>
    <n v="41"/>
    <n v="3"/>
    <x v="0"/>
    <x v="1"/>
    <x v="2"/>
    <s v="Single"/>
    <n v="4809"/>
    <n v="12482"/>
    <n v="1"/>
    <s v="Y"/>
    <s v="No"/>
    <n v="14"/>
    <n v="3"/>
    <n v="3"/>
    <n v="80"/>
    <n v="0"/>
    <n v="16"/>
    <n v="3"/>
    <n v="3"/>
    <x v="22"/>
    <n v="13"/>
    <n v="2"/>
    <n v="10"/>
    <s v="26-35"/>
    <s v="Medium"/>
    <s v="16+"/>
    <s v="Senior"/>
    <s v="Standard"/>
    <s v="High"/>
    <x v="0"/>
  </r>
  <r>
    <n v="37"/>
    <x v="1"/>
    <s v="Non-Travel"/>
    <n v="1040"/>
    <x v="1"/>
    <n v="2"/>
    <n v="2"/>
    <s v="Life Sciences"/>
    <n v="1"/>
    <n v="139"/>
    <x v="1"/>
    <s v="Male"/>
    <n v="100"/>
    <n v="2"/>
    <x v="0"/>
    <x v="4"/>
    <x v="0"/>
    <s v="Divorced"/>
    <n v="5163"/>
    <n v="15850"/>
    <n v="5"/>
    <s v="Y"/>
    <s v="No"/>
    <n v="14"/>
    <n v="3"/>
    <n v="4"/>
    <n v="80"/>
    <n v="1"/>
    <n v="17"/>
    <n v="2"/>
    <n v="4"/>
    <x v="6"/>
    <n v="0"/>
    <n v="0"/>
    <n v="0"/>
    <s v="36-45"/>
    <s v="Medium"/>
    <s v="0-2"/>
    <s v="Senior"/>
    <s v="Standard"/>
    <s v="High"/>
    <x v="0"/>
  </r>
  <r>
    <n v="59"/>
    <x v="1"/>
    <s v="Non-Travel"/>
    <n v="1420"/>
    <x v="2"/>
    <n v="2"/>
    <n v="4"/>
    <s v="Human Resources"/>
    <n v="1"/>
    <n v="140"/>
    <x v="1"/>
    <s v="Female"/>
    <n v="32"/>
    <n v="2"/>
    <x v="4"/>
    <x v="5"/>
    <x v="0"/>
    <s v="Married"/>
    <n v="18844"/>
    <n v="21922"/>
    <n v="9"/>
    <s v="Y"/>
    <s v="No"/>
    <n v="21"/>
    <n v="4"/>
    <n v="4"/>
    <n v="80"/>
    <n v="1"/>
    <n v="30"/>
    <n v="3"/>
    <n v="3"/>
    <x v="11"/>
    <n v="2"/>
    <n v="2"/>
    <n v="2"/>
    <s v="56+"/>
    <s v="Very High"/>
    <s v="3-5"/>
    <s v="Senior"/>
    <s v="Excellent"/>
    <s v="High"/>
    <x v="0"/>
  </r>
  <r>
    <n v="50"/>
    <x v="1"/>
    <s v="Travel_Frequently"/>
    <n v="1115"/>
    <x v="1"/>
    <n v="1"/>
    <n v="3"/>
    <s v="Life Sciences"/>
    <n v="1"/>
    <n v="141"/>
    <x v="3"/>
    <s v="Female"/>
    <n v="73"/>
    <n v="3"/>
    <x v="4"/>
    <x v="7"/>
    <x v="1"/>
    <s v="Married"/>
    <n v="18172"/>
    <n v="9755"/>
    <n v="3"/>
    <s v="Y"/>
    <s v="Yes"/>
    <n v="19"/>
    <n v="3"/>
    <n v="1"/>
    <n v="80"/>
    <n v="0"/>
    <n v="28"/>
    <n v="1"/>
    <n v="2"/>
    <x v="3"/>
    <n v="3"/>
    <n v="0"/>
    <n v="7"/>
    <s v="46-55"/>
    <s v="Very High"/>
    <s v="6-10"/>
    <s v="Senior"/>
    <s v="Standard"/>
    <s v="Low"/>
    <x v="0"/>
  </r>
  <r>
    <n v="25"/>
    <x v="0"/>
    <s v="Travel_Rarely"/>
    <n v="240"/>
    <x v="0"/>
    <n v="5"/>
    <n v="3"/>
    <s v="Marketing"/>
    <n v="1"/>
    <n v="142"/>
    <x v="1"/>
    <s v="Male"/>
    <n v="46"/>
    <n v="2"/>
    <x v="0"/>
    <x v="0"/>
    <x v="2"/>
    <s v="Single"/>
    <n v="5744"/>
    <n v="26959"/>
    <n v="1"/>
    <s v="Y"/>
    <s v="Yes"/>
    <n v="11"/>
    <n v="3"/>
    <n v="4"/>
    <n v="80"/>
    <n v="0"/>
    <n v="6"/>
    <n v="1"/>
    <n v="3"/>
    <x v="0"/>
    <n v="4"/>
    <n v="0"/>
    <n v="3"/>
    <s v="18-25"/>
    <s v="Medium"/>
    <s v="6-10"/>
    <s v="Mid-Level"/>
    <s v="Standard"/>
    <s v="High"/>
    <x v="0"/>
  </r>
  <r>
    <n v="25"/>
    <x v="1"/>
    <s v="Travel_Rarely"/>
    <n v="1280"/>
    <x v="1"/>
    <n v="7"/>
    <n v="1"/>
    <s v="Medical"/>
    <n v="1"/>
    <n v="143"/>
    <x v="2"/>
    <s v="Male"/>
    <n v="64"/>
    <n v="2"/>
    <x v="1"/>
    <x v="1"/>
    <x v="0"/>
    <s v="Married"/>
    <n v="2889"/>
    <n v="26897"/>
    <n v="1"/>
    <s v="Y"/>
    <s v="No"/>
    <n v="11"/>
    <n v="3"/>
    <n v="3"/>
    <n v="80"/>
    <n v="2"/>
    <n v="2"/>
    <n v="2"/>
    <n v="3"/>
    <x v="4"/>
    <n v="2"/>
    <n v="2"/>
    <n v="1"/>
    <s v="18-25"/>
    <s v="Low"/>
    <s v="0-2"/>
    <s v="Junior"/>
    <s v="Standard"/>
    <s v="High"/>
    <x v="0"/>
  </r>
  <r>
    <n v="22"/>
    <x v="1"/>
    <s v="Travel_Rarely"/>
    <n v="534"/>
    <x v="1"/>
    <n v="15"/>
    <n v="3"/>
    <s v="Medical"/>
    <n v="1"/>
    <n v="144"/>
    <x v="0"/>
    <s v="Female"/>
    <n v="59"/>
    <n v="3"/>
    <x v="1"/>
    <x v="2"/>
    <x v="0"/>
    <s v="Single"/>
    <n v="2871"/>
    <n v="23785"/>
    <n v="1"/>
    <s v="Y"/>
    <s v="No"/>
    <n v="15"/>
    <n v="3"/>
    <n v="3"/>
    <n v="80"/>
    <n v="0"/>
    <n v="1"/>
    <n v="5"/>
    <n v="3"/>
    <x v="2"/>
    <n v="0"/>
    <n v="0"/>
    <n v="0"/>
    <s v="18-25"/>
    <s v="Low"/>
    <s v="0-2"/>
    <s v="Junior"/>
    <s v="Standard"/>
    <s v="High"/>
    <x v="0"/>
  </r>
  <r>
    <n v="51"/>
    <x v="1"/>
    <s v="Travel_Frequently"/>
    <n v="1456"/>
    <x v="1"/>
    <n v="1"/>
    <n v="4"/>
    <s v="Medical"/>
    <n v="1"/>
    <n v="145"/>
    <x v="3"/>
    <s v="Female"/>
    <n v="30"/>
    <n v="2"/>
    <x v="2"/>
    <x v="4"/>
    <x v="3"/>
    <s v="Single"/>
    <n v="7484"/>
    <n v="25796"/>
    <n v="3"/>
    <s v="Y"/>
    <s v="No"/>
    <n v="20"/>
    <n v="4"/>
    <n v="3"/>
    <n v="80"/>
    <n v="0"/>
    <n v="23"/>
    <n v="1"/>
    <n v="2"/>
    <x v="20"/>
    <n v="12"/>
    <n v="12"/>
    <n v="8"/>
    <s v="46-55"/>
    <s v="High"/>
    <s v="11-15"/>
    <s v="Senior"/>
    <s v="Excellent"/>
    <s v="Low"/>
    <x v="0"/>
  </r>
  <r>
    <n v="34"/>
    <x v="0"/>
    <s v="Travel_Frequently"/>
    <n v="658"/>
    <x v="1"/>
    <n v="7"/>
    <n v="3"/>
    <s v="Life Sciences"/>
    <n v="1"/>
    <n v="147"/>
    <x v="3"/>
    <s v="Male"/>
    <n v="66"/>
    <n v="1"/>
    <x v="0"/>
    <x v="2"/>
    <x v="2"/>
    <s v="Single"/>
    <n v="6074"/>
    <n v="22887"/>
    <n v="1"/>
    <s v="Y"/>
    <s v="Yes"/>
    <n v="24"/>
    <n v="4"/>
    <n v="4"/>
    <n v="80"/>
    <n v="0"/>
    <n v="9"/>
    <n v="3"/>
    <n v="3"/>
    <x v="7"/>
    <n v="7"/>
    <n v="0"/>
    <n v="6"/>
    <s v="26-35"/>
    <s v="High"/>
    <s v="6-10"/>
    <s v="Mid-Level"/>
    <s v="Excellent"/>
    <s v="High"/>
    <x v="0"/>
  </r>
  <r>
    <n v="54"/>
    <x v="1"/>
    <s v="Non-Travel"/>
    <n v="142"/>
    <x v="2"/>
    <n v="26"/>
    <n v="3"/>
    <s v="Human Resources"/>
    <n v="1"/>
    <n v="148"/>
    <x v="2"/>
    <s v="Female"/>
    <n v="30"/>
    <n v="4"/>
    <x v="3"/>
    <x v="5"/>
    <x v="0"/>
    <s v="Single"/>
    <n v="17328"/>
    <n v="13871"/>
    <n v="2"/>
    <s v="Y"/>
    <s v="Yes"/>
    <n v="12"/>
    <n v="3"/>
    <n v="3"/>
    <n v="80"/>
    <n v="0"/>
    <n v="23"/>
    <n v="3"/>
    <n v="3"/>
    <x v="8"/>
    <n v="3"/>
    <n v="4"/>
    <n v="4"/>
    <s v="46-55"/>
    <s v="Very High"/>
    <s v="3-5"/>
    <s v="Senior"/>
    <s v="Standard"/>
    <s v="High"/>
    <x v="0"/>
  </r>
  <r>
    <n v="24"/>
    <x v="1"/>
    <s v="Travel_Rarely"/>
    <n v="1127"/>
    <x v="1"/>
    <n v="18"/>
    <n v="1"/>
    <s v="Life Sciences"/>
    <n v="1"/>
    <n v="150"/>
    <x v="0"/>
    <s v="Male"/>
    <n v="52"/>
    <n v="3"/>
    <x v="1"/>
    <x v="2"/>
    <x v="2"/>
    <s v="Married"/>
    <n v="2774"/>
    <n v="13257"/>
    <n v="0"/>
    <s v="Y"/>
    <s v="No"/>
    <n v="12"/>
    <n v="3"/>
    <n v="3"/>
    <n v="80"/>
    <n v="1"/>
    <n v="6"/>
    <n v="2"/>
    <n v="3"/>
    <x v="8"/>
    <n v="3"/>
    <n v="1"/>
    <n v="2"/>
    <s v="18-25"/>
    <s v="Low"/>
    <s v="3-5"/>
    <s v="Mid-Level"/>
    <s v="Standard"/>
    <s v="High"/>
    <x v="0"/>
  </r>
  <r>
    <n v="34"/>
    <x v="1"/>
    <s v="Travel_Rarely"/>
    <n v="1031"/>
    <x v="1"/>
    <n v="6"/>
    <n v="4"/>
    <s v="Life Sciences"/>
    <n v="1"/>
    <n v="151"/>
    <x v="1"/>
    <s v="Female"/>
    <n v="45"/>
    <n v="2"/>
    <x v="0"/>
    <x v="1"/>
    <x v="1"/>
    <s v="Divorced"/>
    <n v="4505"/>
    <n v="15000"/>
    <n v="6"/>
    <s v="Y"/>
    <s v="No"/>
    <n v="15"/>
    <n v="3"/>
    <n v="3"/>
    <n v="80"/>
    <n v="1"/>
    <n v="12"/>
    <n v="3"/>
    <n v="3"/>
    <x v="6"/>
    <n v="0"/>
    <n v="0"/>
    <n v="0"/>
    <s v="26-35"/>
    <s v="Medium"/>
    <s v="0-2"/>
    <s v="Mid-Level"/>
    <s v="Standard"/>
    <s v="Low"/>
    <x v="0"/>
  </r>
  <r>
    <n v="37"/>
    <x v="1"/>
    <s v="Travel_Rarely"/>
    <n v="1189"/>
    <x v="0"/>
    <n v="3"/>
    <n v="3"/>
    <s v="Life Sciences"/>
    <n v="1"/>
    <n v="152"/>
    <x v="1"/>
    <s v="Male"/>
    <n v="87"/>
    <n v="3"/>
    <x v="2"/>
    <x v="0"/>
    <x v="0"/>
    <s v="Single"/>
    <n v="7428"/>
    <n v="14506"/>
    <n v="2"/>
    <s v="Y"/>
    <s v="No"/>
    <n v="12"/>
    <n v="3"/>
    <n v="1"/>
    <n v="80"/>
    <n v="0"/>
    <n v="12"/>
    <n v="3"/>
    <n v="3"/>
    <x v="8"/>
    <n v="3"/>
    <n v="1"/>
    <n v="3"/>
    <s v="36-45"/>
    <s v="High"/>
    <s v="3-5"/>
    <s v="Mid-Level"/>
    <s v="Standard"/>
    <s v="High"/>
    <x v="0"/>
  </r>
  <r>
    <n v="34"/>
    <x v="1"/>
    <s v="Travel_Rarely"/>
    <n v="1354"/>
    <x v="1"/>
    <n v="5"/>
    <n v="3"/>
    <s v="Medical"/>
    <n v="1"/>
    <n v="153"/>
    <x v="1"/>
    <s v="Female"/>
    <n v="45"/>
    <n v="2"/>
    <x v="2"/>
    <x v="5"/>
    <x v="3"/>
    <s v="Single"/>
    <n v="11631"/>
    <n v="5615"/>
    <n v="2"/>
    <s v="Y"/>
    <s v="No"/>
    <n v="12"/>
    <n v="3"/>
    <n v="4"/>
    <n v="80"/>
    <n v="0"/>
    <n v="14"/>
    <n v="6"/>
    <n v="3"/>
    <x v="19"/>
    <n v="10"/>
    <n v="5"/>
    <n v="8"/>
    <s v="26-35"/>
    <s v="Very High"/>
    <s v="11-15"/>
    <s v="Mid-Level"/>
    <s v="Standard"/>
    <s v="Low"/>
    <x v="0"/>
  </r>
  <r>
    <n v="36"/>
    <x v="1"/>
    <s v="Travel_Frequently"/>
    <n v="1467"/>
    <x v="0"/>
    <n v="11"/>
    <n v="2"/>
    <s v="Technical Degree"/>
    <n v="1"/>
    <n v="154"/>
    <x v="0"/>
    <s v="Female"/>
    <n v="92"/>
    <n v="3"/>
    <x v="2"/>
    <x v="0"/>
    <x v="0"/>
    <s v="Married"/>
    <n v="9738"/>
    <n v="22952"/>
    <n v="0"/>
    <s v="Y"/>
    <s v="No"/>
    <n v="14"/>
    <n v="3"/>
    <n v="3"/>
    <n v="80"/>
    <n v="1"/>
    <n v="10"/>
    <n v="6"/>
    <n v="3"/>
    <x v="7"/>
    <n v="7"/>
    <n v="2"/>
    <n v="8"/>
    <s v="36-45"/>
    <s v="High"/>
    <s v="6-10"/>
    <s v="Mid-Level"/>
    <s v="Standard"/>
    <s v="High"/>
    <x v="0"/>
  </r>
  <r>
    <n v="36"/>
    <x v="1"/>
    <s v="Travel_Rarely"/>
    <n v="922"/>
    <x v="1"/>
    <n v="3"/>
    <n v="2"/>
    <s v="Life Sciences"/>
    <n v="1"/>
    <n v="155"/>
    <x v="3"/>
    <s v="Female"/>
    <n v="39"/>
    <n v="3"/>
    <x v="1"/>
    <x v="2"/>
    <x v="0"/>
    <s v="Divorced"/>
    <n v="2835"/>
    <n v="2561"/>
    <n v="5"/>
    <s v="Y"/>
    <s v="No"/>
    <n v="22"/>
    <n v="4"/>
    <n v="1"/>
    <n v="80"/>
    <n v="1"/>
    <n v="7"/>
    <n v="2"/>
    <n v="3"/>
    <x v="6"/>
    <n v="0"/>
    <n v="0"/>
    <n v="0"/>
    <s v="36-45"/>
    <s v="Low"/>
    <s v="0-2"/>
    <s v="Mid-Level"/>
    <s v="Excellent"/>
    <s v="High"/>
    <x v="0"/>
  </r>
  <r>
    <n v="43"/>
    <x v="1"/>
    <s v="Travel_Frequently"/>
    <n v="394"/>
    <x v="0"/>
    <n v="26"/>
    <n v="2"/>
    <s v="Life Sciences"/>
    <n v="1"/>
    <n v="158"/>
    <x v="1"/>
    <s v="Male"/>
    <n v="92"/>
    <n v="3"/>
    <x v="3"/>
    <x v="5"/>
    <x v="0"/>
    <s v="Married"/>
    <n v="16959"/>
    <n v="19494"/>
    <n v="1"/>
    <s v="Y"/>
    <s v="Yes"/>
    <n v="12"/>
    <n v="3"/>
    <n v="4"/>
    <n v="80"/>
    <n v="2"/>
    <n v="25"/>
    <n v="3"/>
    <n v="4"/>
    <x v="10"/>
    <n v="12"/>
    <n v="4"/>
    <n v="12"/>
    <s v="36-45"/>
    <s v="Very High"/>
    <s v="16+"/>
    <s v="Senior"/>
    <s v="Standard"/>
    <s v="High"/>
    <x v="0"/>
  </r>
  <r>
    <n v="30"/>
    <x v="1"/>
    <s v="Travel_Frequently"/>
    <n v="1312"/>
    <x v="1"/>
    <n v="23"/>
    <n v="3"/>
    <s v="Life Sciences"/>
    <n v="1"/>
    <n v="159"/>
    <x v="3"/>
    <s v="Male"/>
    <n v="96"/>
    <n v="1"/>
    <x v="1"/>
    <x v="1"/>
    <x v="2"/>
    <s v="Divorced"/>
    <n v="2613"/>
    <n v="22310"/>
    <n v="1"/>
    <s v="Y"/>
    <s v="No"/>
    <n v="25"/>
    <n v="4"/>
    <n v="3"/>
    <n v="80"/>
    <n v="3"/>
    <n v="10"/>
    <n v="2"/>
    <n v="2"/>
    <x v="1"/>
    <n v="7"/>
    <n v="0"/>
    <n v="9"/>
    <s v="26-35"/>
    <s v="Low"/>
    <s v="6-10"/>
    <s v="Mid-Level"/>
    <s v="Excellent"/>
    <s v="High"/>
    <x v="0"/>
  </r>
  <r>
    <n v="33"/>
    <x v="1"/>
    <s v="Non-Travel"/>
    <n v="750"/>
    <x v="0"/>
    <n v="22"/>
    <n v="2"/>
    <s v="Marketing"/>
    <n v="1"/>
    <n v="160"/>
    <x v="1"/>
    <s v="Male"/>
    <n v="95"/>
    <n v="3"/>
    <x v="0"/>
    <x v="0"/>
    <x v="1"/>
    <s v="Married"/>
    <n v="6146"/>
    <n v="15480"/>
    <n v="0"/>
    <s v="Y"/>
    <s v="No"/>
    <n v="13"/>
    <n v="3"/>
    <n v="1"/>
    <n v="80"/>
    <n v="1"/>
    <n v="8"/>
    <n v="2"/>
    <n v="4"/>
    <x v="5"/>
    <n v="7"/>
    <n v="0"/>
    <n v="7"/>
    <s v="26-35"/>
    <s v="High"/>
    <s v="6-10"/>
    <s v="Mid-Level"/>
    <s v="Standard"/>
    <s v="Low"/>
    <x v="0"/>
  </r>
  <r>
    <n v="56"/>
    <x v="0"/>
    <s v="Travel_Rarely"/>
    <n v="441"/>
    <x v="1"/>
    <n v="14"/>
    <n v="4"/>
    <s v="Life Sciences"/>
    <n v="1"/>
    <n v="161"/>
    <x v="0"/>
    <s v="Female"/>
    <n v="72"/>
    <n v="3"/>
    <x v="1"/>
    <x v="1"/>
    <x v="1"/>
    <s v="Married"/>
    <n v="4963"/>
    <n v="4510"/>
    <n v="9"/>
    <s v="Y"/>
    <s v="Yes"/>
    <n v="18"/>
    <n v="3"/>
    <n v="1"/>
    <n v="80"/>
    <n v="3"/>
    <n v="7"/>
    <n v="2"/>
    <n v="3"/>
    <x v="8"/>
    <n v="4"/>
    <n v="4"/>
    <n v="3"/>
    <s v="56+"/>
    <s v="Medium"/>
    <s v="3-5"/>
    <s v="Mid-Level"/>
    <s v="Standard"/>
    <s v="Low"/>
    <x v="0"/>
  </r>
  <r>
    <n v="51"/>
    <x v="1"/>
    <s v="Travel_Rarely"/>
    <n v="684"/>
    <x v="1"/>
    <n v="6"/>
    <n v="3"/>
    <s v="Life Sciences"/>
    <n v="1"/>
    <n v="162"/>
    <x v="3"/>
    <s v="Male"/>
    <n v="51"/>
    <n v="3"/>
    <x v="4"/>
    <x v="7"/>
    <x v="2"/>
    <s v="Single"/>
    <n v="19537"/>
    <n v="6462"/>
    <n v="7"/>
    <s v="Y"/>
    <s v="No"/>
    <n v="13"/>
    <n v="3"/>
    <n v="3"/>
    <n v="80"/>
    <n v="0"/>
    <n v="23"/>
    <n v="5"/>
    <n v="3"/>
    <x v="23"/>
    <n v="18"/>
    <n v="15"/>
    <n v="15"/>
    <s v="46-55"/>
    <s v="Very High"/>
    <s v="16+"/>
    <s v="Senior"/>
    <s v="Standard"/>
    <s v="High"/>
    <x v="0"/>
  </r>
  <r>
    <n v="31"/>
    <x v="0"/>
    <s v="Travel_Rarely"/>
    <n v="249"/>
    <x v="0"/>
    <n v="6"/>
    <n v="4"/>
    <s v="Life Sciences"/>
    <n v="1"/>
    <n v="163"/>
    <x v="0"/>
    <s v="Male"/>
    <n v="76"/>
    <n v="1"/>
    <x v="0"/>
    <x v="0"/>
    <x v="2"/>
    <s v="Married"/>
    <n v="6172"/>
    <n v="20739"/>
    <n v="4"/>
    <s v="Y"/>
    <s v="Yes"/>
    <n v="18"/>
    <n v="3"/>
    <n v="2"/>
    <n v="80"/>
    <n v="0"/>
    <n v="12"/>
    <n v="3"/>
    <n v="2"/>
    <x v="5"/>
    <n v="7"/>
    <n v="7"/>
    <n v="7"/>
    <s v="26-35"/>
    <s v="High"/>
    <s v="6-10"/>
    <s v="Mid-Level"/>
    <s v="Standard"/>
    <s v="High"/>
    <x v="0"/>
  </r>
  <r>
    <n v="26"/>
    <x v="1"/>
    <s v="Travel_Rarely"/>
    <n v="841"/>
    <x v="1"/>
    <n v="6"/>
    <n v="3"/>
    <s v="Other"/>
    <n v="1"/>
    <n v="164"/>
    <x v="1"/>
    <s v="Female"/>
    <n v="46"/>
    <n v="2"/>
    <x v="1"/>
    <x v="1"/>
    <x v="1"/>
    <s v="Married"/>
    <n v="2368"/>
    <n v="23300"/>
    <n v="1"/>
    <s v="Y"/>
    <s v="No"/>
    <n v="19"/>
    <n v="3"/>
    <n v="3"/>
    <n v="80"/>
    <n v="0"/>
    <n v="5"/>
    <n v="3"/>
    <n v="2"/>
    <x v="8"/>
    <n v="4"/>
    <n v="4"/>
    <n v="3"/>
    <s v="26-35"/>
    <s v="Low"/>
    <s v="3-5"/>
    <s v="Junior"/>
    <s v="Standard"/>
    <s v="Low"/>
    <x v="0"/>
  </r>
  <r>
    <n v="58"/>
    <x v="0"/>
    <s v="Travel_Rarely"/>
    <n v="147"/>
    <x v="1"/>
    <n v="23"/>
    <n v="4"/>
    <s v="Medical"/>
    <n v="1"/>
    <n v="165"/>
    <x v="2"/>
    <s v="Female"/>
    <n v="94"/>
    <n v="3"/>
    <x v="2"/>
    <x v="4"/>
    <x v="0"/>
    <s v="Married"/>
    <n v="10312"/>
    <n v="3465"/>
    <n v="1"/>
    <s v="Y"/>
    <s v="No"/>
    <n v="12"/>
    <n v="3"/>
    <n v="4"/>
    <n v="80"/>
    <n v="1"/>
    <n v="40"/>
    <n v="3"/>
    <n v="2"/>
    <x v="24"/>
    <n v="10"/>
    <n v="15"/>
    <n v="6"/>
    <s v="56+"/>
    <s v="Very High"/>
    <s v="16+"/>
    <s v="Senior"/>
    <s v="Standard"/>
    <s v="High"/>
    <x v="0"/>
  </r>
  <r>
    <n v="19"/>
    <x v="0"/>
    <s v="Travel_Rarely"/>
    <n v="528"/>
    <x v="0"/>
    <n v="22"/>
    <n v="1"/>
    <s v="Marketing"/>
    <n v="1"/>
    <n v="167"/>
    <x v="2"/>
    <s v="Male"/>
    <n v="50"/>
    <n v="3"/>
    <x v="1"/>
    <x v="6"/>
    <x v="2"/>
    <s v="Single"/>
    <n v="1675"/>
    <n v="26820"/>
    <n v="1"/>
    <s v="Y"/>
    <s v="Yes"/>
    <n v="19"/>
    <n v="3"/>
    <n v="4"/>
    <n v="80"/>
    <n v="0"/>
    <n v="0"/>
    <n v="2"/>
    <n v="2"/>
    <x v="2"/>
    <n v="0"/>
    <n v="0"/>
    <n v="0"/>
    <s v="18-25"/>
    <s v="Low"/>
    <s v="0-2"/>
    <s v="Junior"/>
    <s v="Standard"/>
    <s v="High"/>
    <x v="0"/>
  </r>
  <r>
    <n v="22"/>
    <x v="1"/>
    <s v="Travel_Rarely"/>
    <n v="594"/>
    <x v="1"/>
    <n v="2"/>
    <n v="1"/>
    <s v="Technical Degree"/>
    <n v="1"/>
    <n v="169"/>
    <x v="1"/>
    <s v="Male"/>
    <n v="100"/>
    <n v="3"/>
    <x v="1"/>
    <x v="2"/>
    <x v="0"/>
    <s v="Married"/>
    <n v="2523"/>
    <n v="19299"/>
    <n v="0"/>
    <s v="Y"/>
    <s v="No"/>
    <n v="14"/>
    <n v="3"/>
    <n v="3"/>
    <n v="80"/>
    <n v="1"/>
    <n v="3"/>
    <n v="2"/>
    <n v="3"/>
    <x v="4"/>
    <n v="1"/>
    <n v="2"/>
    <n v="1"/>
    <s v="18-25"/>
    <s v="Low"/>
    <s v="0-2"/>
    <s v="Junior"/>
    <s v="Standard"/>
    <s v="High"/>
    <x v="0"/>
  </r>
  <r>
    <n v="49"/>
    <x v="1"/>
    <s v="Travel_Rarely"/>
    <n v="470"/>
    <x v="1"/>
    <n v="20"/>
    <n v="4"/>
    <s v="Medical"/>
    <n v="1"/>
    <n v="170"/>
    <x v="1"/>
    <s v="Female"/>
    <n v="96"/>
    <n v="3"/>
    <x v="0"/>
    <x v="3"/>
    <x v="3"/>
    <s v="Married"/>
    <n v="6567"/>
    <n v="5549"/>
    <n v="1"/>
    <s v="Y"/>
    <s v="No"/>
    <n v="14"/>
    <n v="3"/>
    <n v="3"/>
    <n v="80"/>
    <n v="0"/>
    <n v="16"/>
    <n v="2"/>
    <n v="2"/>
    <x v="15"/>
    <n v="11"/>
    <n v="5"/>
    <n v="11"/>
    <s v="46-55"/>
    <s v="High"/>
    <s v="11-15"/>
    <s v="Senior"/>
    <s v="Standard"/>
    <s v="Low"/>
    <x v="0"/>
  </r>
  <r>
    <n v="43"/>
    <x v="1"/>
    <s v="Travel_Frequently"/>
    <n v="957"/>
    <x v="1"/>
    <n v="28"/>
    <n v="3"/>
    <s v="Medical"/>
    <n v="1"/>
    <n v="171"/>
    <x v="0"/>
    <s v="Female"/>
    <n v="72"/>
    <n v="4"/>
    <x v="1"/>
    <x v="1"/>
    <x v="2"/>
    <s v="Single"/>
    <n v="4739"/>
    <n v="16090"/>
    <n v="4"/>
    <s v="Y"/>
    <s v="No"/>
    <n v="12"/>
    <n v="3"/>
    <n v="4"/>
    <n v="80"/>
    <n v="0"/>
    <n v="18"/>
    <n v="2"/>
    <n v="3"/>
    <x v="11"/>
    <n v="2"/>
    <n v="1"/>
    <n v="2"/>
    <s v="36-45"/>
    <s v="Medium"/>
    <s v="3-5"/>
    <s v="Senior"/>
    <s v="Standard"/>
    <s v="High"/>
    <x v="0"/>
  </r>
  <r>
    <n v="50"/>
    <x v="1"/>
    <s v="Travel_Frequently"/>
    <n v="809"/>
    <x v="0"/>
    <n v="12"/>
    <n v="3"/>
    <s v="Marketing"/>
    <n v="1"/>
    <n v="174"/>
    <x v="1"/>
    <s v="Female"/>
    <n v="77"/>
    <n v="3"/>
    <x v="2"/>
    <x v="0"/>
    <x v="0"/>
    <s v="Single"/>
    <n v="9208"/>
    <n v="6645"/>
    <n v="4"/>
    <s v="Y"/>
    <s v="No"/>
    <n v="11"/>
    <n v="3"/>
    <n v="4"/>
    <n v="80"/>
    <n v="0"/>
    <n v="16"/>
    <n v="3"/>
    <n v="3"/>
    <x v="4"/>
    <n v="2"/>
    <n v="2"/>
    <n v="1"/>
    <s v="46-55"/>
    <s v="High"/>
    <s v="0-2"/>
    <s v="Senior"/>
    <s v="Standard"/>
    <s v="High"/>
    <x v="0"/>
  </r>
  <r>
    <n v="31"/>
    <x v="0"/>
    <s v="Travel_Rarely"/>
    <n v="542"/>
    <x v="0"/>
    <n v="20"/>
    <n v="3"/>
    <s v="Life Sciences"/>
    <n v="1"/>
    <n v="175"/>
    <x v="0"/>
    <s v="Female"/>
    <n v="71"/>
    <n v="1"/>
    <x v="0"/>
    <x v="0"/>
    <x v="2"/>
    <s v="Married"/>
    <n v="4559"/>
    <n v="24788"/>
    <n v="3"/>
    <s v="Y"/>
    <s v="Yes"/>
    <n v="11"/>
    <n v="3"/>
    <n v="3"/>
    <n v="80"/>
    <n v="1"/>
    <n v="4"/>
    <n v="2"/>
    <n v="3"/>
    <x v="4"/>
    <n v="2"/>
    <n v="2"/>
    <n v="2"/>
    <s v="26-35"/>
    <s v="Medium"/>
    <s v="0-2"/>
    <s v="Junior"/>
    <s v="Standard"/>
    <s v="High"/>
    <x v="0"/>
  </r>
  <r>
    <n v="41"/>
    <x v="1"/>
    <s v="Travel_Rarely"/>
    <n v="802"/>
    <x v="0"/>
    <n v="9"/>
    <n v="1"/>
    <s v="Life Sciences"/>
    <n v="1"/>
    <n v="176"/>
    <x v="1"/>
    <s v="Male"/>
    <n v="96"/>
    <n v="3"/>
    <x v="2"/>
    <x v="0"/>
    <x v="2"/>
    <s v="Divorced"/>
    <n v="8189"/>
    <n v="21196"/>
    <n v="3"/>
    <s v="Y"/>
    <s v="Yes"/>
    <n v="13"/>
    <n v="3"/>
    <n v="3"/>
    <n v="80"/>
    <n v="1"/>
    <n v="12"/>
    <n v="2"/>
    <n v="3"/>
    <x v="7"/>
    <n v="7"/>
    <n v="0"/>
    <n v="7"/>
    <s v="36-45"/>
    <s v="High"/>
    <s v="6-10"/>
    <s v="Mid-Level"/>
    <s v="Standard"/>
    <s v="High"/>
    <x v="0"/>
  </r>
  <r>
    <n v="26"/>
    <x v="1"/>
    <s v="Travel_Rarely"/>
    <n v="1355"/>
    <x v="2"/>
    <n v="25"/>
    <n v="1"/>
    <s v="Life Sciences"/>
    <n v="1"/>
    <n v="177"/>
    <x v="1"/>
    <s v="Female"/>
    <n v="61"/>
    <n v="3"/>
    <x v="1"/>
    <x v="8"/>
    <x v="2"/>
    <s v="Married"/>
    <n v="2942"/>
    <n v="8916"/>
    <n v="1"/>
    <s v="Y"/>
    <s v="No"/>
    <n v="23"/>
    <n v="4"/>
    <n v="4"/>
    <n v="80"/>
    <n v="1"/>
    <n v="8"/>
    <n v="3"/>
    <n v="3"/>
    <x v="3"/>
    <n v="7"/>
    <n v="5"/>
    <n v="7"/>
    <s v="26-35"/>
    <s v="Low"/>
    <s v="6-10"/>
    <s v="Mid-Level"/>
    <s v="Excellent"/>
    <s v="High"/>
    <x v="0"/>
  </r>
  <r>
    <n v="36"/>
    <x v="1"/>
    <s v="Travel_Rarely"/>
    <n v="216"/>
    <x v="1"/>
    <n v="6"/>
    <n v="2"/>
    <s v="Medical"/>
    <n v="1"/>
    <n v="178"/>
    <x v="0"/>
    <s v="Male"/>
    <n v="84"/>
    <n v="3"/>
    <x v="0"/>
    <x v="3"/>
    <x v="1"/>
    <s v="Divorced"/>
    <n v="4941"/>
    <n v="2819"/>
    <n v="6"/>
    <s v="Y"/>
    <s v="No"/>
    <n v="20"/>
    <n v="4"/>
    <n v="4"/>
    <n v="80"/>
    <n v="2"/>
    <n v="7"/>
    <n v="0"/>
    <n v="3"/>
    <x v="11"/>
    <n v="2"/>
    <n v="0"/>
    <n v="1"/>
    <s v="36-45"/>
    <s v="Medium"/>
    <s v="3-5"/>
    <s v="Mid-Level"/>
    <s v="Excellent"/>
    <s v="Low"/>
    <x v="0"/>
  </r>
  <r>
    <n v="51"/>
    <x v="0"/>
    <s v="Travel_Frequently"/>
    <n v="1150"/>
    <x v="1"/>
    <n v="8"/>
    <n v="4"/>
    <s v="Life Sciences"/>
    <n v="1"/>
    <n v="179"/>
    <x v="3"/>
    <s v="Male"/>
    <n v="53"/>
    <n v="1"/>
    <x v="2"/>
    <x v="3"/>
    <x v="0"/>
    <s v="Single"/>
    <n v="10650"/>
    <n v="25150"/>
    <n v="2"/>
    <s v="Y"/>
    <s v="No"/>
    <n v="15"/>
    <n v="3"/>
    <n v="4"/>
    <n v="80"/>
    <n v="0"/>
    <n v="18"/>
    <n v="2"/>
    <n v="3"/>
    <x v="9"/>
    <n v="2"/>
    <n v="0"/>
    <n v="3"/>
    <s v="46-55"/>
    <s v="Very High"/>
    <s v="3-5"/>
    <s v="Senior"/>
    <s v="Standard"/>
    <s v="High"/>
    <x v="0"/>
  </r>
  <r>
    <n v="39"/>
    <x v="1"/>
    <s v="Travel_Rarely"/>
    <n v="1329"/>
    <x v="0"/>
    <n v="4"/>
    <n v="4"/>
    <s v="Life Sciences"/>
    <n v="1"/>
    <n v="182"/>
    <x v="2"/>
    <s v="Female"/>
    <n v="47"/>
    <n v="2"/>
    <x v="0"/>
    <x v="0"/>
    <x v="2"/>
    <s v="Married"/>
    <n v="5902"/>
    <n v="14590"/>
    <n v="4"/>
    <s v="Y"/>
    <s v="No"/>
    <n v="14"/>
    <n v="3"/>
    <n v="3"/>
    <n v="80"/>
    <n v="1"/>
    <n v="17"/>
    <n v="1"/>
    <n v="4"/>
    <x v="15"/>
    <n v="11"/>
    <n v="5"/>
    <n v="9"/>
    <s v="36-45"/>
    <s v="Medium"/>
    <s v="11-15"/>
    <s v="Senior"/>
    <s v="Standard"/>
    <s v="High"/>
    <x v="0"/>
  </r>
  <r>
    <n v="25"/>
    <x v="1"/>
    <s v="Travel_Rarely"/>
    <n v="959"/>
    <x v="0"/>
    <n v="28"/>
    <n v="3"/>
    <s v="Life Sciences"/>
    <n v="1"/>
    <n v="183"/>
    <x v="3"/>
    <s v="Male"/>
    <n v="41"/>
    <n v="2"/>
    <x v="0"/>
    <x v="0"/>
    <x v="2"/>
    <s v="Married"/>
    <n v="8639"/>
    <n v="24835"/>
    <n v="2"/>
    <s v="Y"/>
    <s v="No"/>
    <n v="18"/>
    <n v="3"/>
    <n v="4"/>
    <n v="80"/>
    <n v="0"/>
    <n v="6"/>
    <n v="3"/>
    <n v="3"/>
    <x v="4"/>
    <n v="2"/>
    <n v="2"/>
    <n v="2"/>
    <s v="18-25"/>
    <s v="High"/>
    <s v="0-2"/>
    <s v="Mid-Level"/>
    <s v="Standard"/>
    <s v="High"/>
    <x v="0"/>
  </r>
  <r>
    <n v="30"/>
    <x v="1"/>
    <s v="Travel_Rarely"/>
    <n v="1240"/>
    <x v="2"/>
    <n v="9"/>
    <n v="3"/>
    <s v="Human Resources"/>
    <n v="1"/>
    <n v="184"/>
    <x v="1"/>
    <s v="Male"/>
    <n v="48"/>
    <n v="3"/>
    <x v="0"/>
    <x v="8"/>
    <x v="0"/>
    <s v="Married"/>
    <n v="6347"/>
    <n v="13982"/>
    <n v="0"/>
    <s v="Y"/>
    <s v="Yes"/>
    <n v="19"/>
    <n v="3"/>
    <n v="4"/>
    <n v="80"/>
    <n v="0"/>
    <n v="12"/>
    <n v="2"/>
    <n v="1"/>
    <x v="19"/>
    <n v="9"/>
    <n v="4"/>
    <n v="7"/>
    <s v="26-35"/>
    <s v="High"/>
    <s v="11-15"/>
    <s v="Mid-Level"/>
    <s v="Standard"/>
    <s v="High"/>
    <x v="0"/>
  </r>
  <r>
    <n v="32"/>
    <x v="0"/>
    <s v="Travel_Rarely"/>
    <n v="1033"/>
    <x v="1"/>
    <n v="9"/>
    <n v="3"/>
    <s v="Medical"/>
    <n v="1"/>
    <n v="190"/>
    <x v="3"/>
    <s v="Female"/>
    <n v="41"/>
    <n v="3"/>
    <x v="1"/>
    <x v="2"/>
    <x v="3"/>
    <s v="Single"/>
    <n v="4200"/>
    <n v="10224"/>
    <n v="7"/>
    <s v="Y"/>
    <s v="No"/>
    <n v="22"/>
    <n v="4"/>
    <n v="1"/>
    <n v="80"/>
    <n v="0"/>
    <n v="10"/>
    <n v="2"/>
    <n v="4"/>
    <x v="8"/>
    <n v="4"/>
    <n v="0"/>
    <n v="4"/>
    <s v="26-35"/>
    <s v="Medium"/>
    <s v="3-5"/>
    <s v="Mid-Level"/>
    <s v="Excellent"/>
    <s v="Low"/>
    <x v="0"/>
  </r>
  <r>
    <n v="45"/>
    <x v="1"/>
    <s v="Travel_Rarely"/>
    <n v="1316"/>
    <x v="1"/>
    <n v="29"/>
    <n v="3"/>
    <s v="Medical"/>
    <n v="1"/>
    <n v="192"/>
    <x v="1"/>
    <s v="Male"/>
    <n v="83"/>
    <n v="3"/>
    <x v="1"/>
    <x v="1"/>
    <x v="0"/>
    <s v="Single"/>
    <n v="3452"/>
    <n v="9752"/>
    <n v="5"/>
    <s v="Y"/>
    <s v="No"/>
    <n v="13"/>
    <n v="3"/>
    <n v="2"/>
    <n v="80"/>
    <n v="0"/>
    <n v="9"/>
    <n v="2"/>
    <n v="2"/>
    <x v="0"/>
    <n v="5"/>
    <n v="0"/>
    <n v="3"/>
    <s v="36-45"/>
    <s v="Medium"/>
    <s v="6-10"/>
    <s v="Mid-Level"/>
    <s v="Standard"/>
    <s v="High"/>
    <x v="0"/>
  </r>
  <r>
    <n v="38"/>
    <x v="1"/>
    <s v="Travel_Rarely"/>
    <n v="364"/>
    <x v="1"/>
    <n v="3"/>
    <n v="5"/>
    <s v="Technical Degree"/>
    <n v="1"/>
    <n v="193"/>
    <x v="2"/>
    <s v="Female"/>
    <n v="32"/>
    <n v="3"/>
    <x v="0"/>
    <x v="1"/>
    <x v="2"/>
    <s v="Single"/>
    <n v="4317"/>
    <n v="2302"/>
    <n v="3"/>
    <s v="Y"/>
    <s v="Yes"/>
    <n v="20"/>
    <n v="4"/>
    <n v="2"/>
    <n v="80"/>
    <n v="0"/>
    <n v="19"/>
    <n v="2"/>
    <n v="3"/>
    <x v="11"/>
    <n v="2"/>
    <n v="2"/>
    <n v="2"/>
    <s v="36-45"/>
    <s v="Medium"/>
    <s v="3-5"/>
    <s v="Senior"/>
    <s v="Excellent"/>
    <s v="High"/>
    <x v="0"/>
  </r>
  <r>
    <n v="30"/>
    <x v="1"/>
    <s v="Travel_Rarely"/>
    <n v="438"/>
    <x v="1"/>
    <n v="18"/>
    <n v="3"/>
    <s v="Life Sciences"/>
    <n v="1"/>
    <n v="194"/>
    <x v="3"/>
    <s v="Female"/>
    <n v="75"/>
    <n v="3"/>
    <x v="1"/>
    <x v="1"/>
    <x v="2"/>
    <s v="Single"/>
    <n v="2632"/>
    <n v="23910"/>
    <n v="1"/>
    <s v="Y"/>
    <s v="No"/>
    <n v="14"/>
    <n v="3"/>
    <n v="3"/>
    <n v="80"/>
    <n v="0"/>
    <n v="5"/>
    <n v="4"/>
    <n v="2"/>
    <x v="8"/>
    <n v="4"/>
    <n v="0"/>
    <n v="4"/>
    <s v="26-35"/>
    <s v="Low"/>
    <s v="3-5"/>
    <s v="Junior"/>
    <s v="Standard"/>
    <s v="High"/>
    <x v="0"/>
  </r>
  <r>
    <n v="32"/>
    <x v="1"/>
    <s v="Travel_Frequently"/>
    <n v="689"/>
    <x v="0"/>
    <n v="9"/>
    <n v="2"/>
    <s v="Medical"/>
    <n v="1"/>
    <n v="195"/>
    <x v="2"/>
    <s v="Male"/>
    <n v="35"/>
    <n v="1"/>
    <x v="0"/>
    <x v="0"/>
    <x v="0"/>
    <s v="Divorced"/>
    <n v="4668"/>
    <n v="22812"/>
    <n v="0"/>
    <s v="Y"/>
    <s v="No"/>
    <n v="17"/>
    <n v="3"/>
    <n v="4"/>
    <n v="80"/>
    <n v="3"/>
    <n v="9"/>
    <n v="2"/>
    <n v="4"/>
    <x v="3"/>
    <n v="7"/>
    <n v="0"/>
    <n v="7"/>
    <s v="26-35"/>
    <s v="Medium"/>
    <s v="6-10"/>
    <s v="Mid-Level"/>
    <s v="Standard"/>
    <s v="High"/>
    <x v="0"/>
  </r>
  <r>
    <n v="30"/>
    <x v="1"/>
    <s v="Travel_Rarely"/>
    <n v="201"/>
    <x v="1"/>
    <n v="5"/>
    <n v="3"/>
    <s v="Technical Degree"/>
    <n v="1"/>
    <n v="197"/>
    <x v="2"/>
    <s v="Female"/>
    <n v="84"/>
    <n v="3"/>
    <x v="1"/>
    <x v="1"/>
    <x v="3"/>
    <s v="Divorced"/>
    <n v="3204"/>
    <n v="10415"/>
    <n v="5"/>
    <s v="Y"/>
    <s v="No"/>
    <n v="14"/>
    <n v="3"/>
    <n v="4"/>
    <n v="80"/>
    <n v="1"/>
    <n v="8"/>
    <n v="3"/>
    <n v="3"/>
    <x v="11"/>
    <n v="2"/>
    <n v="2"/>
    <n v="2"/>
    <s v="26-35"/>
    <s v="Medium"/>
    <s v="3-5"/>
    <s v="Mid-Level"/>
    <s v="Standard"/>
    <s v="Low"/>
    <x v="0"/>
  </r>
  <r>
    <n v="30"/>
    <x v="1"/>
    <s v="Travel_Rarely"/>
    <n v="1427"/>
    <x v="1"/>
    <n v="2"/>
    <n v="1"/>
    <s v="Medical"/>
    <n v="1"/>
    <n v="198"/>
    <x v="0"/>
    <s v="Male"/>
    <n v="35"/>
    <n v="2"/>
    <x v="1"/>
    <x v="2"/>
    <x v="0"/>
    <s v="Single"/>
    <n v="2720"/>
    <n v="11162"/>
    <n v="0"/>
    <s v="Y"/>
    <s v="No"/>
    <n v="13"/>
    <n v="3"/>
    <n v="4"/>
    <n v="80"/>
    <n v="0"/>
    <n v="6"/>
    <n v="3"/>
    <n v="3"/>
    <x v="8"/>
    <n v="3"/>
    <n v="1"/>
    <n v="2"/>
    <s v="26-35"/>
    <s v="Low"/>
    <s v="3-5"/>
    <s v="Mid-Level"/>
    <s v="Standard"/>
    <s v="High"/>
    <x v="0"/>
  </r>
  <r>
    <n v="41"/>
    <x v="1"/>
    <s v="Travel_Frequently"/>
    <n v="857"/>
    <x v="1"/>
    <n v="10"/>
    <n v="3"/>
    <s v="Life Sciences"/>
    <n v="1"/>
    <n v="199"/>
    <x v="2"/>
    <s v="Male"/>
    <n v="91"/>
    <n v="2"/>
    <x v="3"/>
    <x v="5"/>
    <x v="3"/>
    <s v="Divorced"/>
    <n v="17181"/>
    <n v="12888"/>
    <n v="4"/>
    <s v="Y"/>
    <s v="No"/>
    <n v="13"/>
    <n v="3"/>
    <n v="2"/>
    <n v="80"/>
    <n v="1"/>
    <n v="21"/>
    <n v="2"/>
    <n v="2"/>
    <x v="5"/>
    <n v="6"/>
    <n v="7"/>
    <n v="7"/>
    <s v="36-45"/>
    <s v="Very High"/>
    <s v="6-10"/>
    <s v="Senior"/>
    <s v="Standard"/>
    <s v="Low"/>
    <x v="0"/>
  </r>
  <r>
    <n v="41"/>
    <x v="1"/>
    <s v="Travel_Rarely"/>
    <n v="933"/>
    <x v="1"/>
    <n v="9"/>
    <n v="4"/>
    <s v="Life Sciences"/>
    <n v="1"/>
    <n v="200"/>
    <x v="1"/>
    <s v="Male"/>
    <n v="94"/>
    <n v="3"/>
    <x v="1"/>
    <x v="2"/>
    <x v="3"/>
    <s v="Married"/>
    <n v="2238"/>
    <n v="6961"/>
    <n v="2"/>
    <s v="Y"/>
    <s v="No"/>
    <n v="21"/>
    <n v="4"/>
    <n v="4"/>
    <n v="80"/>
    <n v="1"/>
    <n v="7"/>
    <n v="2"/>
    <n v="3"/>
    <x v="8"/>
    <n v="0"/>
    <n v="1"/>
    <n v="4"/>
    <s v="36-45"/>
    <s v="Low"/>
    <s v="3-5"/>
    <s v="Mid-Level"/>
    <s v="Excellent"/>
    <s v="Low"/>
    <x v="0"/>
  </r>
  <r>
    <n v="19"/>
    <x v="1"/>
    <s v="Travel_Rarely"/>
    <n v="1181"/>
    <x v="1"/>
    <n v="3"/>
    <n v="1"/>
    <s v="Medical"/>
    <n v="1"/>
    <n v="201"/>
    <x v="0"/>
    <s v="Female"/>
    <n v="79"/>
    <n v="3"/>
    <x v="1"/>
    <x v="2"/>
    <x v="1"/>
    <s v="Single"/>
    <n v="1483"/>
    <n v="16102"/>
    <n v="1"/>
    <s v="Y"/>
    <s v="No"/>
    <n v="14"/>
    <n v="3"/>
    <n v="4"/>
    <n v="80"/>
    <n v="0"/>
    <n v="1"/>
    <n v="3"/>
    <n v="3"/>
    <x v="6"/>
    <n v="0"/>
    <n v="0"/>
    <n v="0"/>
    <s v="18-25"/>
    <s v="Low"/>
    <s v="0-2"/>
    <s v="Junior"/>
    <s v="Standard"/>
    <s v="Low"/>
    <x v="0"/>
  </r>
  <r>
    <n v="40"/>
    <x v="1"/>
    <s v="Travel_Frequently"/>
    <n v="1395"/>
    <x v="1"/>
    <n v="26"/>
    <n v="3"/>
    <s v="Medical"/>
    <n v="1"/>
    <n v="202"/>
    <x v="0"/>
    <s v="Female"/>
    <n v="54"/>
    <n v="3"/>
    <x v="0"/>
    <x v="1"/>
    <x v="1"/>
    <s v="Divorced"/>
    <n v="5605"/>
    <n v="8504"/>
    <n v="1"/>
    <s v="Y"/>
    <s v="No"/>
    <n v="11"/>
    <n v="3"/>
    <n v="1"/>
    <n v="80"/>
    <n v="1"/>
    <n v="20"/>
    <n v="2"/>
    <n v="3"/>
    <x v="23"/>
    <n v="7"/>
    <n v="2"/>
    <n v="13"/>
    <s v="36-45"/>
    <s v="Medium"/>
    <s v="16+"/>
    <s v="Senior"/>
    <s v="Standard"/>
    <s v="Low"/>
    <x v="0"/>
  </r>
  <r>
    <n v="35"/>
    <x v="1"/>
    <s v="Travel_Rarely"/>
    <n v="662"/>
    <x v="0"/>
    <n v="1"/>
    <n v="5"/>
    <s v="Marketing"/>
    <n v="1"/>
    <n v="204"/>
    <x v="1"/>
    <s v="Male"/>
    <n v="94"/>
    <n v="3"/>
    <x v="2"/>
    <x v="0"/>
    <x v="1"/>
    <s v="Married"/>
    <n v="7295"/>
    <n v="11439"/>
    <n v="1"/>
    <s v="Y"/>
    <s v="No"/>
    <n v="13"/>
    <n v="3"/>
    <n v="1"/>
    <n v="80"/>
    <n v="2"/>
    <n v="10"/>
    <n v="3"/>
    <n v="3"/>
    <x v="1"/>
    <n v="8"/>
    <n v="0"/>
    <n v="6"/>
    <s v="26-35"/>
    <s v="High"/>
    <s v="6-10"/>
    <s v="Mid-Level"/>
    <s v="Standard"/>
    <s v="Low"/>
    <x v="0"/>
  </r>
  <r>
    <n v="53"/>
    <x v="1"/>
    <s v="Travel_Rarely"/>
    <n v="1436"/>
    <x v="0"/>
    <n v="6"/>
    <n v="2"/>
    <s v="Marketing"/>
    <n v="1"/>
    <n v="205"/>
    <x v="0"/>
    <s v="Male"/>
    <n v="34"/>
    <n v="3"/>
    <x v="0"/>
    <x v="6"/>
    <x v="2"/>
    <s v="Married"/>
    <n v="2306"/>
    <n v="16047"/>
    <n v="2"/>
    <s v="Y"/>
    <s v="Yes"/>
    <n v="20"/>
    <n v="4"/>
    <n v="4"/>
    <n v="80"/>
    <n v="1"/>
    <n v="13"/>
    <n v="3"/>
    <n v="1"/>
    <x v="5"/>
    <n v="7"/>
    <n v="4"/>
    <n v="5"/>
    <s v="46-55"/>
    <s v="Low"/>
    <s v="6-10"/>
    <s v="Mid-Level"/>
    <s v="Excellent"/>
    <s v="High"/>
    <x v="0"/>
  </r>
  <r>
    <n v="45"/>
    <x v="1"/>
    <s v="Travel_Rarely"/>
    <n v="194"/>
    <x v="1"/>
    <n v="9"/>
    <n v="3"/>
    <s v="Life Sciences"/>
    <n v="1"/>
    <n v="206"/>
    <x v="0"/>
    <s v="Male"/>
    <n v="60"/>
    <n v="3"/>
    <x v="0"/>
    <x v="2"/>
    <x v="1"/>
    <s v="Divorced"/>
    <n v="2348"/>
    <n v="10901"/>
    <n v="8"/>
    <s v="Y"/>
    <s v="No"/>
    <n v="18"/>
    <n v="3"/>
    <n v="3"/>
    <n v="80"/>
    <n v="1"/>
    <n v="20"/>
    <n v="2"/>
    <n v="1"/>
    <x v="18"/>
    <n v="9"/>
    <n v="0"/>
    <n v="15"/>
    <s v="36-45"/>
    <s v="Low"/>
    <s v="16+"/>
    <s v="Senior"/>
    <s v="Standard"/>
    <s v="Low"/>
    <x v="0"/>
  </r>
  <r>
    <n v="32"/>
    <x v="1"/>
    <s v="Travel_Frequently"/>
    <n v="967"/>
    <x v="0"/>
    <n v="8"/>
    <n v="3"/>
    <s v="Marketing"/>
    <n v="1"/>
    <n v="207"/>
    <x v="0"/>
    <s v="Female"/>
    <n v="43"/>
    <n v="3"/>
    <x v="2"/>
    <x v="0"/>
    <x v="0"/>
    <s v="Single"/>
    <n v="8998"/>
    <n v="15589"/>
    <n v="1"/>
    <s v="Y"/>
    <s v="No"/>
    <n v="14"/>
    <n v="3"/>
    <n v="4"/>
    <n v="80"/>
    <n v="0"/>
    <n v="9"/>
    <n v="2"/>
    <n v="3"/>
    <x v="7"/>
    <n v="8"/>
    <n v="3"/>
    <n v="7"/>
    <s v="26-35"/>
    <s v="High"/>
    <s v="6-10"/>
    <s v="Mid-Level"/>
    <s v="Standard"/>
    <s v="High"/>
    <x v="0"/>
  </r>
  <r>
    <n v="29"/>
    <x v="1"/>
    <s v="Non-Travel"/>
    <n v="1496"/>
    <x v="1"/>
    <n v="1"/>
    <n v="1"/>
    <s v="Technical Degree"/>
    <n v="1"/>
    <n v="208"/>
    <x v="2"/>
    <s v="Male"/>
    <n v="41"/>
    <n v="3"/>
    <x v="0"/>
    <x v="3"/>
    <x v="2"/>
    <s v="Married"/>
    <n v="4319"/>
    <n v="26283"/>
    <n v="1"/>
    <s v="Y"/>
    <s v="No"/>
    <n v="13"/>
    <n v="3"/>
    <n v="1"/>
    <n v="80"/>
    <n v="1"/>
    <n v="10"/>
    <n v="1"/>
    <n v="3"/>
    <x v="1"/>
    <n v="7"/>
    <n v="0"/>
    <n v="9"/>
    <s v="26-35"/>
    <s v="Medium"/>
    <s v="6-10"/>
    <s v="Mid-Level"/>
    <s v="Standard"/>
    <s v="High"/>
    <x v="0"/>
  </r>
  <r>
    <n v="51"/>
    <x v="1"/>
    <s v="Travel_Rarely"/>
    <n v="1169"/>
    <x v="1"/>
    <n v="7"/>
    <n v="4"/>
    <s v="Medical"/>
    <n v="1"/>
    <n v="211"/>
    <x v="0"/>
    <s v="Male"/>
    <n v="34"/>
    <n v="2"/>
    <x v="0"/>
    <x v="3"/>
    <x v="2"/>
    <s v="Married"/>
    <n v="6132"/>
    <n v="13983"/>
    <n v="2"/>
    <s v="Y"/>
    <s v="No"/>
    <n v="17"/>
    <n v="3"/>
    <n v="3"/>
    <n v="80"/>
    <n v="0"/>
    <n v="10"/>
    <n v="2"/>
    <n v="3"/>
    <x v="6"/>
    <n v="0"/>
    <n v="0"/>
    <n v="0"/>
    <s v="46-55"/>
    <s v="High"/>
    <s v="0-2"/>
    <s v="Mid-Level"/>
    <s v="Standard"/>
    <s v="High"/>
    <x v="0"/>
  </r>
  <r>
    <n v="58"/>
    <x v="1"/>
    <s v="Travel_Rarely"/>
    <n v="1145"/>
    <x v="1"/>
    <n v="9"/>
    <n v="3"/>
    <s v="Medical"/>
    <n v="1"/>
    <n v="214"/>
    <x v="0"/>
    <s v="Female"/>
    <n v="75"/>
    <n v="2"/>
    <x v="1"/>
    <x v="1"/>
    <x v="1"/>
    <s v="Married"/>
    <n v="3346"/>
    <n v="11873"/>
    <n v="4"/>
    <s v="Y"/>
    <s v="Yes"/>
    <n v="20"/>
    <n v="4"/>
    <n v="2"/>
    <n v="80"/>
    <n v="1"/>
    <n v="9"/>
    <n v="3"/>
    <n v="2"/>
    <x v="6"/>
    <n v="0"/>
    <n v="0"/>
    <n v="0"/>
    <s v="56+"/>
    <s v="Medium"/>
    <s v="0-2"/>
    <s v="Mid-Level"/>
    <s v="Excellent"/>
    <s v="Low"/>
    <x v="1"/>
  </r>
  <r>
    <n v="40"/>
    <x v="1"/>
    <s v="Travel_Rarely"/>
    <n v="630"/>
    <x v="0"/>
    <n v="4"/>
    <n v="4"/>
    <s v="Marketing"/>
    <n v="1"/>
    <n v="215"/>
    <x v="1"/>
    <s v="Male"/>
    <n v="67"/>
    <n v="2"/>
    <x v="2"/>
    <x v="0"/>
    <x v="0"/>
    <s v="Married"/>
    <n v="10855"/>
    <n v="8552"/>
    <n v="7"/>
    <s v="Y"/>
    <s v="No"/>
    <n v="11"/>
    <n v="3"/>
    <n v="1"/>
    <n v="80"/>
    <n v="1"/>
    <n v="15"/>
    <n v="2"/>
    <n v="2"/>
    <x v="12"/>
    <n v="11"/>
    <n v="2"/>
    <n v="11"/>
    <s v="36-45"/>
    <s v="Very High"/>
    <s v="11-15"/>
    <s v="Mid-Level"/>
    <s v="Standard"/>
    <s v="High"/>
    <x v="0"/>
  </r>
  <r>
    <n v="34"/>
    <x v="1"/>
    <s v="Travel_Frequently"/>
    <n v="303"/>
    <x v="0"/>
    <n v="2"/>
    <n v="4"/>
    <s v="Marketing"/>
    <n v="1"/>
    <n v="216"/>
    <x v="1"/>
    <s v="Female"/>
    <n v="75"/>
    <n v="3"/>
    <x v="1"/>
    <x v="6"/>
    <x v="2"/>
    <s v="Married"/>
    <n v="2231"/>
    <n v="11314"/>
    <n v="6"/>
    <s v="Y"/>
    <s v="No"/>
    <n v="18"/>
    <n v="3"/>
    <n v="4"/>
    <n v="80"/>
    <n v="1"/>
    <n v="6"/>
    <n v="3"/>
    <n v="3"/>
    <x v="9"/>
    <n v="3"/>
    <n v="1"/>
    <n v="2"/>
    <s v="26-35"/>
    <s v="Low"/>
    <s v="3-5"/>
    <s v="Mid-Level"/>
    <s v="Standard"/>
    <s v="High"/>
    <x v="0"/>
  </r>
  <r>
    <n v="22"/>
    <x v="1"/>
    <s v="Travel_Rarely"/>
    <n v="1256"/>
    <x v="1"/>
    <n v="19"/>
    <n v="1"/>
    <s v="Medical"/>
    <n v="1"/>
    <n v="217"/>
    <x v="1"/>
    <s v="Male"/>
    <n v="80"/>
    <n v="3"/>
    <x v="1"/>
    <x v="1"/>
    <x v="0"/>
    <s v="Married"/>
    <n v="2323"/>
    <n v="11992"/>
    <n v="1"/>
    <s v="Y"/>
    <s v="No"/>
    <n v="24"/>
    <n v="4"/>
    <n v="1"/>
    <n v="80"/>
    <n v="2"/>
    <n v="2"/>
    <n v="6"/>
    <n v="3"/>
    <x v="4"/>
    <n v="2"/>
    <n v="2"/>
    <n v="2"/>
    <s v="18-25"/>
    <s v="Low"/>
    <s v="0-2"/>
    <s v="Junior"/>
    <s v="Excellent"/>
    <s v="High"/>
    <x v="0"/>
  </r>
  <r>
    <n v="27"/>
    <x v="1"/>
    <s v="Non-Travel"/>
    <n v="691"/>
    <x v="1"/>
    <n v="9"/>
    <n v="3"/>
    <s v="Medical"/>
    <n v="1"/>
    <n v="218"/>
    <x v="2"/>
    <s v="Male"/>
    <n v="57"/>
    <n v="3"/>
    <x v="1"/>
    <x v="1"/>
    <x v="1"/>
    <s v="Divorced"/>
    <n v="2024"/>
    <n v="5970"/>
    <n v="6"/>
    <s v="Y"/>
    <s v="No"/>
    <n v="18"/>
    <n v="3"/>
    <n v="4"/>
    <n v="80"/>
    <n v="1"/>
    <n v="6"/>
    <n v="1"/>
    <n v="1"/>
    <x v="4"/>
    <n v="2"/>
    <n v="2"/>
    <n v="2"/>
    <s v="26-35"/>
    <s v="Low"/>
    <s v="0-2"/>
    <s v="Mid-Level"/>
    <s v="Standard"/>
    <s v="Low"/>
    <x v="0"/>
  </r>
  <r>
    <n v="28"/>
    <x v="1"/>
    <s v="Travel_Rarely"/>
    <n v="440"/>
    <x v="1"/>
    <n v="21"/>
    <n v="3"/>
    <s v="Medical"/>
    <n v="1"/>
    <n v="221"/>
    <x v="1"/>
    <s v="Male"/>
    <n v="42"/>
    <n v="3"/>
    <x v="1"/>
    <x v="1"/>
    <x v="0"/>
    <s v="Married"/>
    <n v="2713"/>
    <n v="6672"/>
    <n v="1"/>
    <s v="Y"/>
    <s v="No"/>
    <n v="11"/>
    <n v="3"/>
    <n v="3"/>
    <n v="80"/>
    <n v="1"/>
    <n v="5"/>
    <n v="2"/>
    <n v="1"/>
    <x v="8"/>
    <n v="2"/>
    <n v="0"/>
    <n v="2"/>
    <s v="26-35"/>
    <s v="Low"/>
    <s v="3-5"/>
    <s v="Junior"/>
    <s v="Standard"/>
    <s v="High"/>
    <x v="0"/>
  </r>
  <r>
    <n v="57"/>
    <x v="1"/>
    <s v="Travel_Rarely"/>
    <n v="334"/>
    <x v="1"/>
    <n v="24"/>
    <n v="2"/>
    <s v="Life Sciences"/>
    <n v="1"/>
    <n v="223"/>
    <x v="1"/>
    <s v="Male"/>
    <n v="83"/>
    <n v="4"/>
    <x v="2"/>
    <x v="4"/>
    <x v="0"/>
    <s v="Divorced"/>
    <n v="9439"/>
    <n v="23402"/>
    <n v="3"/>
    <s v="Y"/>
    <s v="Yes"/>
    <n v="16"/>
    <n v="3"/>
    <n v="2"/>
    <n v="80"/>
    <n v="1"/>
    <n v="12"/>
    <n v="2"/>
    <n v="1"/>
    <x v="8"/>
    <n v="3"/>
    <n v="1"/>
    <n v="4"/>
    <s v="56+"/>
    <s v="High"/>
    <s v="3-5"/>
    <s v="Mid-Level"/>
    <s v="Standard"/>
    <s v="High"/>
    <x v="0"/>
  </r>
  <r>
    <n v="27"/>
    <x v="1"/>
    <s v="Non-Travel"/>
    <n v="1450"/>
    <x v="1"/>
    <n v="3"/>
    <n v="3"/>
    <s v="Medical"/>
    <n v="1"/>
    <n v="224"/>
    <x v="1"/>
    <s v="Male"/>
    <n v="79"/>
    <n v="2"/>
    <x v="1"/>
    <x v="1"/>
    <x v="2"/>
    <s v="Divorced"/>
    <n v="2566"/>
    <n v="25326"/>
    <n v="1"/>
    <s v="Y"/>
    <s v="Yes"/>
    <n v="15"/>
    <n v="3"/>
    <n v="4"/>
    <n v="80"/>
    <n v="1"/>
    <n v="1"/>
    <n v="2"/>
    <n v="2"/>
    <x v="6"/>
    <n v="1"/>
    <n v="0"/>
    <n v="1"/>
    <s v="26-35"/>
    <s v="Low"/>
    <s v="0-2"/>
    <s v="Junior"/>
    <s v="Standard"/>
    <s v="High"/>
    <x v="0"/>
  </r>
  <r>
    <n v="50"/>
    <x v="1"/>
    <s v="Travel_Rarely"/>
    <n v="1452"/>
    <x v="1"/>
    <n v="11"/>
    <n v="3"/>
    <s v="Life Sciences"/>
    <n v="1"/>
    <n v="226"/>
    <x v="1"/>
    <s v="Female"/>
    <n v="53"/>
    <n v="3"/>
    <x v="4"/>
    <x v="5"/>
    <x v="1"/>
    <s v="Single"/>
    <n v="19926"/>
    <n v="17053"/>
    <n v="3"/>
    <s v="Y"/>
    <s v="No"/>
    <n v="15"/>
    <n v="3"/>
    <n v="2"/>
    <n v="80"/>
    <n v="0"/>
    <n v="21"/>
    <n v="5"/>
    <n v="3"/>
    <x v="8"/>
    <n v="4"/>
    <n v="4"/>
    <n v="4"/>
    <s v="46-55"/>
    <s v="Very High"/>
    <s v="3-5"/>
    <s v="Senior"/>
    <s v="Standard"/>
    <s v="Low"/>
    <x v="0"/>
  </r>
  <r>
    <n v="41"/>
    <x v="1"/>
    <s v="Travel_Rarely"/>
    <n v="465"/>
    <x v="1"/>
    <n v="14"/>
    <n v="3"/>
    <s v="Life Sciences"/>
    <n v="1"/>
    <n v="227"/>
    <x v="3"/>
    <s v="Male"/>
    <n v="56"/>
    <n v="3"/>
    <x v="1"/>
    <x v="1"/>
    <x v="2"/>
    <s v="Divorced"/>
    <n v="2451"/>
    <n v="4609"/>
    <n v="4"/>
    <s v="Y"/>
    <s v="No"/>
    <n v="12"/>
    <n v="3"/>
    <n v="1"/>
    <n v="80"/>
    <n v="1"/>
    <n v="13"/>
    <n v="2"/>
    <n v="3"/>
    <x v="7"/>
    <n v="8"/>
    <n v="1"/>
    <n v="8"/>
    <s v="36-45"/>
    <s v="Low"/>
    <s v="6-10"/>
    <s v="Mid-Level"/>
    <s v="Standard"/>
    <s v="High"/>
    <x v="0"/>
  </r>
  <r>
    <n v="30"/>
    <x v="1"/>
    <s v="Travel_Rarely"/>
    <n v="1339"/>
    <x v="0"/>
    <n v="5"/>
    <n v="3"/>
    <s v="Life Sciences"/>
    <n v="1"/>
    <n v="228"/>
    <x v="0"/>
    <s v="Female"/>
    <n v="41"/>
    <n v="3"/>
    <x v="2"/>
    <x v="0"/>
    <x v="0"/>
    <s v="Married"/>
    <n v="9419"/>
    <n v="8053"/>
    <n v="2"/>
    <s v="Y"/>
    <s v="No"/>
    <n v="12"/>
    <n v="3"/>
    <n v="3"/>
    <n v="80"/>
    <n v="1"/>
    <n v="12"/>
    <n v="2"/>
    <n v="3"/>
    <x v="1"/>
    <n v="9"/>
    <n v="7"/>
    <n v="4"/>
    <s v="26-35"/>
    <s v="High"/>
    <s v="6-10"/>
    <s v="Mid-Level"/>
    <s v="Standard"/>
    <s v="High"/>
    <x v="0"/>
  </r>
  <r>
    <n v="38"/>
    <x v="1"/>
    <s v="Travel_Rarely"/>
    <n v="702"/>
    <x v="0"/>
    <n v="1"/>
    <n v="4"/>
    <s v="Life Sciences"/>
    <n v="1"/>
    <n v="230"/>
    <x v="3"/>
    <s v="Female"/>
    <n v="59"/>
    <n v="2"/>
    <x v="0"/>
    <x v="0"/>
    <x v="0"/>
    <s v="Single"/>
    <n v="8686"/>
    <n v="12930"/>
    <n v="4"/>
    <s v="Y"/>
    <s v="No"/>
    <n v="22"/>
    <n v="4"/>
    <n v="3"/>
    <n v="80"/>
    <n v="0"/>
    <n v="12"/>
    <n v="2"/>
    <n v="4"/>
    <x v="3"/>
    <n v="3"/>
    <n v="0"/>
    <n v="7"/>
    <s v="36-45"/>
    <s v="High"/>
    <s v="6-10"/>
    <s v="Mid-Level"/>
    <s v="Excellent"/>
    <s v="High"/>
    <x v="0"/>
  </r>
  <r>
    <n v="32"/>
    <x v="1"/>
    <s v="Travel_Rarely"/>
    <n v="120"/>
    <x v="1"/>
    <n v="6"/>
    <n v="5"/>
    <s v="Life Sciences"/>
    <n v="1"/>
    <n v="231"/>
    <x v="1"/>
    <s v="Male"/>
    <n v="43"/>
    <n v="3"/>
    <x v="1"/>
    <x v="1"/>
    <x v="2"/>
    <s v="Single"/>
    <n v="3038"/>
    <n v="12430"/>
    <n v="3"/>
    <s v="Y"/>
    <s v="No"/>
    <n v="20"/>
    <n v="4"/>
    <n v="1"/>
    <n v="80"/>
    <n v="0"/>
    <n v="8"/>
    <n v="2"/>
    <n v="3"/>
    <x v="8"/>
    <n v="4"/>
    <n v="1"/>
    <n v="4"/>
    <s v="26-35"/>
    <s v="Medium"/>
    <s v="3-5"/>
    <s v="Mid-Level"/>
    <s v="Excellent"/>
    <s v="High"/>
    <x v="0"/>
  </r>
  <r>
    <n v="27"/>
    <x v="1"/>
    <s v="Travel_Rarely"/>
    <n v="1157"/>
    <x v="1"/>
    <n v="17"/>
    <n v="3"/>
    <s v="Technical Degree"/>
    <n v="1"/>
    <n v="233"/>
    <x v="1"/>
    <s v="Male"/>
    <n v="51"/>
    <n v="3"/>
    <x v="1"/>
    <x v="1"/>
    <x v="1"/>
    <s v="Married"/>
    <n v="3058"/>
    <n v="13364"/>
    <n v="0"/>
    <s v="Y"/>
    <s v="Yes"/>
    <n v="16"/>
    <n v="3"/>
    <n v="4"/>
    <n v="80"/>
    <n v="1"/>
    <n v="6"/>
    <n v="3"/>
    <n v="2"/>
    <x v="8"/>
    <n v="2"/>
    <n v="1"/>
    <n v="1"/>
    <s v="26-35"/>
    <s v="Medium"/>
    <s v="3-5"/>
    <s v="Mid-Level"/>
    <s v="Standard"/>
    <s v="Low"/>
    <x v="0"/>
  </r>
  <r>
    <n v="19"/>
    <x v="0"/>
    <s v="Travel_Frequently"/>
    <n v="602"/>
    <x v="0"/>
    <n v="1"/>
    <n v="1"/>
    <s v="Technical Degree"/>
    <n v="1"/>
    <n v="235"/>
    <x v="1"/>
    <s v="Female"/>
    <n v="100"/>
    <n v="1"/>
    <x v="1"/>
    <x v="6"/>
    <x v="3"/>
    <s v="Single"/>
    <n v="2325"/>
    <n v="20989"/>
    <n v="0"/>
    <s v="Y"/>
    <s v="No"/>
    <n v="21"/>
    <n v="4"/>
    <n v="1"/>
    <n v="80"/>
    <n v="0"/>
    <n v="1"/>
    <n v="5"/>
    <n v="4"/>
    <x v="2"/>
    <n v="0"/>
    <n v="0"/>
    <n v="0"/>
    <s v="18-25"/>
    <s v="Low"/>
    <s v="0-2"/>
    <s v="Junior"/>
    <s v="Excellent"/>
    <s v="Low"/>
    <x v="0"/>
  </r>
  <r>
    <n v="36"/>
    <x v="1"/>
    <s v="Travel_Frequently"/>
    <n v="1480"/>
    <x v="1"/>
    <n v="3"/>
    <n v="2"/>
    <s v="Medical"/>
    <n v="1"/>
    <n v="238"/>
    <x v="2"/>
    <s v="Male"/>
    <n v="30"/>
    <n v="3"/>
    <x v="1"/>
    <x v="2"/>
    <x v="1"/>
    <s v="Single"/>
    <n v="2088"/>
    <n v="15062"/>
    <n v="4"/>
    <s v="Y"/>
    <s v="No"/>
    <n v="12"/>
    <n v="3"/>
    <n v="3"/>
    <n v="80"/>
    <n v="0"/>
    <n v="13"/>
    <n v="3"/>
    <n v="2"/>
    <x v="3"/>
    <n v="7"/>
    <n v="7"/>
    <n v="2"/>
    <s v="36-45"/>
    <s v="Low"/>
    <s v="6-10"/>
    <s v="Mid-Level"/>
    <s v="Standard"/>
    <s v="Low"/>
    <x v="0"/>
  </r>
  <r>
    <n v="30"/>
    <x v="1"/>
    <s v="Non-Travel"/>
    <n v="111"/>
    <x v="1"/>
    <n v="9"/>
    <n v="3"/>
    <s v="Medical"/>
    <n v="1"/>
    <n v="239"/>
    <x v="1"/>
    <s v="Male"/>
    <n v="66"/>
    <n v="3"/>
    <x v="0"/>
    <x v="2"/>
    <x v="3"/>
    <s v="Divorced"/>
    <n v="3072"/>
    <n v="11012"/>
    <n v="1"/>
    <s v="Y"/>
    <s v="No"/>
    <n v="11"/>
    <n v="3"/>
    <n v="3"/>
    <n v="80"/>
    <n v="2"/>
    <n v="12"/>
    <n v="4"/>
    <n v="3"/>
    <x v="12"/>
    <n v="9"/>
    <n v="6"/>
    <n v="10"/>
    <s v="26-35"/>
    <s v="Medium"/>
    <s v="11-15"/>
    <s v="Mid-Level"/>
    <s v="Standard"/>
    <s v="Low"/>
    <x v="0"/>
  </r>
  <r>
    <n v="45"/>
    <x v="1"/>
    <s v="Travel_Rarely"/>
    <n v="1268"/>
    <x v="0"/>
    <n v="4"/>
    <n v="2"/>
    <s v="Life Sciences"/>
    <n v="1"/>
    <n v="240"/>
    <x v="1"/>
    <s v="Female"/>
    <n v="30"/>
    <n v="3"/>
    <x v="0"/>
    <x v="0"/>
    <x v="3"/>
    <s v="Divorced"/>
    <n v="5006"/>
    <n v="6319"/>
    <n v="4"/>
    <s v="Y"/>
    <s v="Yes"/>
    <n v="11"/>
    <n v="3"/>
    <n v="1"/>
    <n v="80"/>
    <n v="1"/>
    <n v="9"/>
    <n v="3"/>
    <n v="4"/>
    <x v="8"/>
    <n v="4"/>
    <n v="0"/>
    <n v="3"/>
    <s v="36-45"/>
    <s v="Medium"/>
    <s v="3-5"/>
    <s v="Mid-Level"/>
    <s v="Standard"/>
    <s v="Low"/>
    <x v="0"/>
  </r>
  <r>
    <n v="56"/>
    <x v="1"/>
    <s v="Travel_Rarely"/>
    <n v="713"/>
    <x v="1"/>
    <n v="8"/>
    <n v="3"/>
    <s v="Life Sciences"/>
    <n v="1"/>
    <n v="241"/>
    <x v="1"/>
    <s v="Female"/>
    <n v="67"/>
    <n v="3"/>
    <x v="1"/>
    <x v="1"/>
    <x v="3"/>
    <s v="Divorced"/>
    <n v="4257"/>
    <n v="13939"/>
    <n v="4"/>
    <s v="Y"/>
    <s v="Yes"/>
    <n v="18"/>
    <n v="3"/>
    <n v="3"/>
    <n v="80"/>
    <n v="1"/>
    <n v="19"/>
    <n v="3"/>
    <n v="3"/>
    <x v="4"/>
    <n v="2"/>
    <n v="2"/>
    <n v="2"/>
    <s v="56+"/>
    <s v="Medium"/>
    <s v="0-2"/>
    <s v="Senior"/>
    <s v="Standard"/>
    <s v="Low"/>
    <x v="1"/>
  </r>
  <r>
    <n v="33"/>
    <x v="1"/>
    <s v="Travel_Rarely"/>
    <n v="134"/>
    <x v="1"/>
    <n v="2"/>
    <n v="3"/>
    <s v="Life Sciences"/>
    <n v="1"/>
    <n v="242"/>
    <x v="1"/>
    <s v="Male"/>
    <n v="90"/>
    <n v="3"/>
    <x v="1"/>
    <x v="1"/>
    <x v="0"/>
    <s v="Single"/>
    <n v="2500"/>
    <n v="10515"/>
    <n v="0"/>
    <s v="Y"/>
    <s v="No"/>
    <n v="14"/>
    <n v="3"/>
    <n v="1"/>
    <n v="80"/>
    <n v="0"/>
    <n v="4"/>
    <n v="2"/>
    <n v="4"/>
    <x v="11"/>
    <n v="1"/>
    <n v="0"/>
    <n v="2"/>
    <s v="26-35"/>
    <s v="Low"/>
    <s v="3-5"/>
    <s v="Junior"/>
    <s v="Standard"/>
    <s v="High"/>
    <x v="0"/>
  </r>
  <r>
    <n v="19"/>
    <x v="0"/>
    <s v="Travel_Rarely"/>
    <n v="303"/>
    <x v="1"/>
    <n v="2"/>
    <n v="3"/>
    <s v="Life Sciences"/>
    <n v="1"/>
    <n v="243"/>
    <x v="0"/>
    <s v="Male"/>
    <n v="47"/>
    <n v="2"/>
    <x v="1"/>
    <x v="2"/>
    <x v="0"/>
    <s v="Single"/>
    <n v="1102"/>
    <n v="9241"/>
    <n v="1"/>
    <s v="Y"/>
    <s v="No"/>
    <n v="22"/>
    <n v="4"/>
    <n v="3"/>
    <n v="80"/>
    <n v="0"/>
    <n v="1"/>
    <n v="3"/>
    <n v="2"/>
    <x v="6"/>
    <n v="0"/>
    <n v="1"/>
    <n v="0"/>
    <s v="18-25"/>
    <s v="Low"/>
    <s v="0-2"/>
    <s v="Junior"/>
    <s v="Excellent"/>
    <s v="High"/>
    <x v="0"/>
  </r>
  <r>
    <n v="46"/>
    <x v="1"/>
    <s v="Travel_Rarely"/>
    <n v="526"/>
    <x v="0"/>
    <n v="1"/>
    <n v="2"/>
    <s v="Marketing"/>
    <n v="1"/>
    <n v="244"/>
    <x v="0"/>
    <s v="Female"/>
    <n v="92"/>
    <n v="3"/>
    <x v="2"/>
    <x v="0"/>
    <x v="3"/>
    <s v="Divorced"/>
    <n v="10453"/>
    <n v="2137"/>
    <n v="1"/>
    <s v="Y"/>
    <s v="No"/>
    <n v="25"/>
    <n v="4"/>
    <n v="3"/>
    <n v="80"/>
    <n v="3"/>
    <n v="24"/>
    <n v="2"/>
    <n v="3"/>
    <x v="25"/>
    <n v="13"/>
    <n v="15"/>
    <n v="7"/>
    <s v="46-55"/>
    <s v="Very High"/>
    <s v="16+"/>
    <s v="Senior"/>
    <s v="Excellent"/>
    <s v="Low"/>
    <x v="0"/>
  </r>
  <r>
    <n v="38"/>
    <x v="1"/>
    <s v="Travel_Rarely"/>
    <n v="1380"/>
    <x v="1"/>
    <n v="9"/>
    <n v="2"/>
    <s v="Life Sciences"/>
    <n v="1"/>
    <n v="245"/>
    <x v="1"/>
    <s v="Female"/>
    <n v="75"/>
    <n v="3"/>
    <x v="1"/>
    <x v="2"/>
    <x v="0"/>
    <s v="Single"/>
    <n v="2288"/>
    <n v="6319"/>
    <n v="1"/>
    <s v="Y"/>
    <s v="No"/>
    <n v="12"/>
    <n v="3"/>
    <n v="3"/>
    <n v="80"/>
    <n v="0"/>
    <n v="2"/>
    <n v="3"/>
    <n v="3"/>
    <x v="4"/>
    <n v="2"/>
    <n v="2"/>
    <n v="1"/>
    <s v="36-45"/>
    <s v="Low"/>
    <s v="0-2"/>
    <s v="Junior"/>
    <s v="Standard"/>
    <s v="High"/>
    <x v="0"/>
  </r>
  <r>
    <n v="31"/>
    <x v="1"/>
    <s v="Travel_Rarely"/>
    <n v="140"/>
    <x v="1"/>
    <n v="12"/>
    <n v="1"/>
    <s v="Medical"/>
    <n v="1"/>
    <n v="246"/>
    <x v="1"/>
    <s v="Female"/>
    <n v="95"/>
    <n v="3"/>
    <x v="1"/>
    <x v="1"/>
    <x v="0"/>
    <s v="Married"/>
    <n v="3929"/>
    <n v="6984"/>
    <n v="8"/>
    <s v="Y"/>
    <s v="Yes"/>
    <n v="23"/>
    <n v="4"/>
    <n v="3"/>
    <n v="80"/>
    <n v="1"/>
    <n v="7"/>
    <n v="0"/>
    <n v="3"/>
    <x v="9"/>
    <n v="2"/>
    <n v="0"/>
    <n v="2"/>
    <s v="26-35"/>
    <s v="Medium"/>
    <s v="3-5"/>
    <s v="Mid-Level"/>
    <s v="Excellent"/>
    <s v="High"/>
    <x v="0"/>
  </r>
  <r>
    <n v="34"/>
    <x v="1"/>
    <s v="Travel_Rarely"/>
    <n v="629"/>
    <x v="1"/>
    <n v="27"/>
    <n v="2"/>
    <s v="Medical"/>
    <n v="1"/>
    <n v="247"/>
    <x v="2"/>
    <s v="Female"/>
    <n v="95"/>
    <n v="3"/>
    <x v="1"/>
    <x v="1"/>
    <x v="1"/>
    <s v="Single"/>
    <n v="2311"/>
    <n v="5711"/>
    <n v="2"/>
    <s v="Y"/>
    <s v="No"/>
    <n v="15"/>
    <n v="3"/>
    <n v="4"/>
    <n v="80"/>
    <n v="0"/>
    <n v="9"/>
    <n v="3"/>
    <n v="3"/>
    <x v="11"/>
    <n v="2"/>
    <n v="1"/>
    <n v="2"/>
    <s v="26-35"/>
    <s v="Low"/>
    <s v="3-5"/>
    <s v="Mid-Level"/>
    <s v="Standard"/>
    <s v="Low"/>
    <x v="0"/>
  </r>
  <r>
    <n v="41"/>
    <x v="0"/>
    <s v="Travel_Rarely"/>
    <n v="1356"/>
    <x v="0"/>
    <n v="20"/>
    <n v="2"/>
    <s v="Marketing"/>
    <n v="1"/>
    <n v="248"/>
    <x v="0"/>
    <s v="Female"/>
    <n v="70"/>
    <n v="3"/>
    <x v="1"/>
    <x v="6"/>
    <x v="1"/>
    <s v="Single"/>
    <n v="3140"/>
    <n v="21728"/>
    <n v="1"/>
    <s v="Y"/>
    <s v="Yes"/>
    <n v="22"/>
    <n v="4"/>
    <n v="4"/>
    <n v="80"/>
    <n v="0"/>
    <n v="4"/>
    <n v="5"/>
    <n v="2"/>
    <x v="9"/>
    <n v="3"/>
    <n v="0"/>
    <n v="2"/>
    <s v="36-45"/>
    <s v="Medium"/>
    <s v="3-5"/>
    <s v="Junior"/>
    <s v="Excellent"/>
    <s v="Low"/>
    <x v="0"/>
  </r>
  <r>
    <n v="50"/>
    <x v="1"/>
    <s v="Travel_Rarely"/>
    <n v="328"/>
    <x v="1"/>
    <n v="1"/>
    <n v="3"/>
    <s v="Medical"/>
    <n v="1"/>
    <n v="249"/>
    <x v="1"/>
    <s v="Male"/>
    <n v="86"/>
    <n v="2"/>
    <x v="1"/>
    <x v="2"/>
    <x v="2"/>
    <s v="Married"/>
    <n v="3690"/>
    <n v="3425"/>
    <n v="2"/>
    <s v="Y"/>
    <s v="No"/>
    <n v="15"/>
    <n v="3"/>
    <n v="4"/>
    <n v="80"/>
    <n v="1"/>
    <n v="5"/>
    <n v="2"/>
    <n v="2"/>
    <x v="11"/>
    <n v="2"/>
    <n v="0"/>
    <n v="2"/>
    <s v="46-55"/>
    <s v="Medium"/>
    <s v="3-5"/>
    <s v="Junior"/>
    <s v="Standard"/>
    <s v="High"/>
    <x v="0"/>
  </r>
  <r>
    <n v="53"/>
    <x v="1"/>
    <s v="Travel_Rarely"/>
    <n v="1084"/>
    <x v="1"/>
    <n v="13"/>
    <n v="2"/>
    <s v="Medical"/>
    <n v="1"/>
    <n v="250"/>
    <x v="2"/>
    <s v="Female"/>
    <n v="57"/>
    <n v="4"/>
    <x v="0"/>
    <x v="3"/>
    <x v="3"/>
    <s v="Divorced"/>
    <n v="4450"/>
    <n v="26250"/>
    <n v="1"/>
    <s v="Y"/>
    <s v="No"/>
    <n v="11"/>
    <n v="3"/>
    <n v="3"/>
    <n v="80"/>
    <n v="2"/>
    <n v="5"/>
    <n v="3"/>
    <n v="3"/>
    <x v="9"/>
    <n v="2"/>
    <n v="1"/>
    <n v="3"/>
    <s v="46-55"/>
    <s v="Medium"/>
    <s v="3-5"/>
    <s v="Junior"/>
    <s v="Standard"/>
    <s v="Low"/>
    <x v="0"/>
  </r>
  <r>
    <n v="33"/>
    <x v="1"/>
    <s v="Travel_Rarely"/>
    <n v="931"/>
    <x v="1"/>
    <n v="14"/>
    <n v="3"/>
    <s v="Medical"/>
    <n v="1"/>
    <n v="252"/>
    <x v="2"/>
    <s v="Female"/>
    <n v="72"/>
    <n v="3"/>
    <x v="1"/>
    <x v="1"/>
    <x v="1"/>
    <s v="Married"/>
    <n v="2756"/>
    <n v="4673"/>
    <n v="1"/>
    <s v="Y"/>
    <s v="No"/>
    <n v="13"/>
    <n v="3"/>
    <n v="4"/>
    <n v="80"/>
    <n v="1"/>
    <n v="8"/>
    <n v="5"/>
    <n v="3"/>
    <x v="3"/>
    <n v="7"/>
    <n v="1"/>
    <n v="6"/>
    <s v="26-35"/>
    <s v="Low"/>
    <s v="6-10"/>
    <s v="Mid-Level"/>
    <s v="Standard"/>
    <s v="Low"/>
    <x v="0"/>
  </r>
  <r>
    <n v="40"/>
    <x v="1"/>
    <s v="Travel_Rarely"/>
    <n v="989"/>
    <x v="1"/>
    <n v="4"/>
    <n v="1"/>
    <s v="Medical"/>
    <n v="1"/>
    <n v="253"/>
    <x v="2"/>
    <s v="Female"/>
    <n v="46"/>
    <n v="3"/>
    <x v="4"/>
    <x v="5"/>
    <x v="2"/>
    <s v="Married"/>
    <n v="19033"/>
    <n v="6499"/>
    <n v="1"/>
    <s v="Y"/>
    <s v="No"/>
    <n v="14"/>
    <n v="3"/>
    <n v="2"/>
    <n v="80"/>
    <n v="1"/>
    <n v="21"/>
    <n v="2"/>
    <n v="3"/>
    <x v="23"/>
    <n v="8"/>
    <n v="9"/>
    <n v="9"/>
    <s v="36-45"/>
    <s v="Very High"/>
    <s v="16+"/>
    <s v="Senior"/>
    <s v="Standard"/>
    <s v="High"/>
    <x v="0"/>
  </r>
  <r>
    <n v="55"/>
    <x v="1"/>
    <s v="Travel_Rarely"/>
    <n v="692"/>
    <x v="1"/>
    <n v="14"/>
    <n v="4"/>
    <s v="Medical"/>
    <n v="1"/>
    <n v="254"/>
    <x v="1"/>
    <s v="Male"/>
    <n v="61"/>
    <n v="4"/>
    <x v="4"/>
    <x v="7"/>
    <x v="1"/>
    <s v="Single"/>
    <n v="18722"/>
    <n v="13339"/>
    <n v="8"/>
    <s v="Y"/>
    <s v="No"/>
    <n v="11"/>
    <n v="3"/>
    <n v="4"/>
    <n v="80"/>
    <n v="0"/>
    <n v="36"/>
    <n v="3"/>
    <n v="3"/>
    <x v="25"/>
    <n v="15"/>
    <n v="2"/>
    <n v="15"/>
    <s v="46-55"/>
    <s v="Very High"/>
    <s v="16+"/>
    <s v="Senior"/>
    <s v="Standard"/>
    <s v="Low"/>
    <x v="0"/>
  </r>
  <r>
    <n v="34"/>
    <x v="1"/>
    <s v="Travel_Frequently"/>
    <n v="1069"/>
    <x v="1"/>
    <n v="2"/>
    <n v="1"/>
    <s v="Life Sciences"/>
    <n v="1"/>
    <n v="256"/>
    <x v="2"/>
    <s v="Male"/>
    <n v="45"/>
    <n v="2"/>
    <x v="0"/>
    <x v="3"/>
    <x v="2"/>
    <s v="Married"/>
    <n v="9547"/>
    <n v="14074"/>
    <n v="1"/>
    <s v="Y"/>
    <s v="No"/>
    <n v="17"/>
    <n v="3"/>
    <n v="3"/>
    <n v="80"/>
    <n v="0"/>
    <n v="10"/>
    <n v="2"/>
    <n v="2"/>
    <x v="1"/>
    <n v="9"/>
    <n v="1"/>
    <n v="9"/>
    <s v="26-35"/>
    <s v="High"/>
    <s v="6-10"/>
    <s v="Mid-Level"/>
    <s v="Standard"/>
    <s v="High"/>
    <x v="0"/>
  </r>
  <r>
    <n v="51"/>
    <x v="1"/>
    <s v="Travel_Rarely"/>
    <n v="313"/>
    <x v="1"/>
    <n v="3"/>
    <n v="3"/>
    <s v="Medical"/>
    <n v="1"/>
    <n v="258"/>
    <x v="2"/>
    <s v="Female"/>
    <n v="98"/>
    <n v="3"/>
    <x v="3"/>
    <x v="4"/>
    <x v="1"/>
    <s v="Single"/>
    <n v="13734"/>
    <n v="7192"/>
    <n v="3"/>
    <s v="Y"/>
    <s v="No"/>
    <n v="18"/>
    <n v="3"/>
    <n v="3"/>
    <n v="80"/>
    <n v="0"/>
    <n v="21"/>
    <n v="6"/>
    <n v="3"/>
    <x v="5"/>
    <n v="7"/>
    <n v="1"/>
    <n v="0"/>
    <s v="46-55"/>
    <s v="Very High"/>
    <s v="6-10"/>
    <s v="Senior"/>
    <s v="Standard"/>
    <s v="Low"/>
    <x v="0"/>
  </r>
  <r>
    <n v="52"/>
    <x v="1"/>
    <s v="Travel_Rarely"/>
    <n v="699"/>
    <x v="1"/>
    <n v="1"/>
    <n v="4"/>
    <s v="Life Sciences"/>
    <n v="1"/>
    <n v="259"/>
    <x v="1"/>
    <s v="Male"/>
    <n v="65"/>
    <n v="2"/>
    <x v="4"/>
    <x v="5"/>
    <x v="2"/>
    <s v="Married"/>
    <n v="19999"/>
    <n v="5678"/>
    <n v="0"/>
    <s v="Y"/>
    <s v="No"/>
    <n v="14"/>
    <n v="3"/>
    <n v="1"/>
    <n v="80"/>
    <n v="1"/>
    <n v="34"/>
    <n v="5"/>
    <n v="3"/>
    <x v="26"/>
    <n v="18"/>
    <n v="11"/>
    <n v="9"/>
    <s v="46-55"/>
    <s v="Very High"/>
    <s v="16+"/>
    <s v="Senior"/>
    <s v="Standard"/>
    <s v="High"/>
    <x v="0"/>
  </r>
  <r>
    <n v="27"/>
    <x v="1"/>
    <s v="Travel_Rarely"/>
    <n v="894"/>
    <x v="1"/>
    <n v="9"/>
    <n v="3"/>
    <s v="Medical"/>
    <n v="1"/>
    <n v="260"/>
    <x v="2"/>
    <s v="Female"/>
    <n v="99"/>
    <n v="3"/>
    <x v="1"/>
    <x v="1"/>
    <x v="1"/>
    <s v="Single"/>
    <n v="2279"/>
    <n v="11781"/>
    <n v="1"/>
    <s v="Y"/>
    <s v="No"/>
    <n v="16"/>
    <n v="3"/>
    <n v="4"/>
    <n v="80"/>
    <n v="0"/>
    <n v="7"/>
    <n v="2"/>
    <n v="2"/>
    <x v="5"/>
    <n v="7"/>
    <n v="0"/>
    <n v="3"/>
    <s v="26-35"/>
    <s v="Low"/>
    <s v="6-10"/>
    <s v="Mid-Level"/>
    <s v="Standard"/>
    <s v="Low"/>
    <x v="0"/>
  </r>
  <r>
    <n v="35"/>
    <x v="0"/>
    <s v="Travel_Rarely"/>
    <n v="556"/>
    <x v="1"/>
    <n v="23"/>
    <n v="2"/>
    <s v="Life Sciences"/>
    <n v="1"/>
    <n v="261"/>
    <x v="0"/>
    <s v="Male"/>
    <n v="50"/>
    <n v="2"/>
    <x v="0"/>
    <x v="3"/>
    <x v="2"/>
    <s v="Married"/>
    <n v="5916"/>
    <n v="15497"/>
    <n v="3"/>
    <s v="Y"/>
    <s v="Yes"/>
    <n v="13"/>
    <n v="3"/>
    <n v="1"/>
    <n v="80"/>
    <n v="0"/>
    <n v="8"/>
    <n v="1"/>
    <n v="3"/>
    <x v="6"/>
    <n v="0"/>
    <n v="0"/>
    <n v="1"/>
    <s v="26-35"/>
    <s v="Medium"/>
    <s v="0-2"/>
    <s v="Mid-Level"/>
    <s v="Standard"/>
    <s v="High"/>
    <x v="0"/>
  </r>
  <r>
    <n v="43"/>
    <x v="1"/>
    <s v="Non-Travel"/>
    <n v="1344"/>
    <x v="1"/>
    <n v="7"/>
    <n v="3"/>
    <s v="Medical"/>
    <n v="1"/>
    <n v="262"/>
    <x v="2"/>
    <s v="Male"/>
    <n v="37"/>
    <n v="4"/>
    <x v="1"/>
    <x v="1"/>
    <x v="0"/>
    <s v="Divorced"/>
    <n v="2089"/>
    <n v="5228"/>
    <n v="4"/>
    <s v="Y"/>
    <s v="No"/>
    <n v="14"/>
    <n v="3"/>
    <n v="4"/>
    <n v="80"/>
    <n v="3"/>
    <n v="7"/>
    <n v="3"/>
    <n v="4"/>
    <x v="8"/>
    <n v="4"/>
    <n v="2"/>
    <n v="2"/>
    <s v="36-45"/>
    <s v="Low"/>
    <s v="3-5"/>
    <s v="Mid-Level"/>
    <s v="Standard"/>
    <s v="High"/>
    <x v="0"/>
  </r>
  <r>
    <n v="45"/>
    <x v="1"/>
    <s v="Non-Travel"/>
    <n v="1195"/>
    <x v="1"/>
    <n v="2"/>
    <n v="2"/>
    <s v="Medical"/>
    <n v="1"/>
    <n v="264"/>
    <x v="3"/>
    <s v="Male"/>
    <n v="65"/>
    <n v="2"/>
    <x v="3"/>
    <x v="5"/>
    <x v="0"/>
    <s v="Married"/>
    <n v="16792"/>
    <n v="20462"/>
    <n v="9"/>
    <s v="Y"/>
    <s v="No"/>
    <n v="23"/>
    <n v="4"/>
    <n v="4"/>
    <n v="80"/>
    <n v="1"/>
    <n v="22"/>
    <n v="1"/>
    <n v="3"/>
    <x v="23"/>
    <n v="8"/>
    <n v="11"/>
    <n v="8"/>
    <s v="36-45"/>
    <s v="Very High"/>
    <s v="16+"/>
    <s v="Senior"/>
    <s v="Excellent"/>
    <s v="High"/>
    <x v="0"/>
  </r>
  <r>
    <n v="37"/>
    <x v="1"/>
    <s v="Travel_Rarely"/>
    <n v="290"/>
    <x v="1"/>
    <n v="21"/>
    <n v="3"/>
    <s v="Life Sciences"/>
    <n v="1"/>
    <n v="267"/>
    <x v="0"/>
    <s v="Male"/>
    <n v="65"/>
    <n v="4"/>
    <x v="1"/>
    <x v="1"/>
    <x v="3"/>
    <s v="Married"/>
    <n v="3564"/>
    <n v="22977"/>
    <n v="1"/>
    <s v="Y"/>
    <s v="Yes"/>
    <n v="12"/>
    <n v="3"/>
    <n v="1"/>
    <n v="80"/>
    <n v="1"/>
    <n v="8"/>
    <n v="3"/>
    <n v="2"/>
    <x v="3"/>
    <n v="7"/>
    <n v="1"/>
    <n v="7"/>
    <s v="36-45"/>
    <s v="Medium"/>
    <s v="6-10"/>
    <s v="Mid-Level"/>
    <s v="Standard"/>
    <s v="Low"/>
    <x v="0"/>
  </r>
  <r>
    <n v="35"/>
    <x v="1"/>
    <s v="Travel_Frequently"/>
    <n v="138"/>
    <x v="1"/>
    <n v="2"/>
    <n v="3"/>
    <s v="Medical"/>
    <n v="1"/>
    <n v="269"/>
    <x v="0"/>
    <s v="Female"/>
    <n v="37"/>
    <n v="3"/>
    <x v="0"/>
    <x v="2"/>
    <x v="1"/>
    <s v="Single"/>
    <n v="4425"/>
    <n v="15986"/>
    <n v="5"/>
    <s v="Y"/>
    <s v="No"/>
    <n v="11"/>
    <n v="3"/>
    <n v="4"/>
    <n v="80"/>
    <n v="0"/>
    <n v="10"/>
    <n v="5"/>
    <n v="3"/>
    <x v="0"/>
    <n v="2"/>
    <n v="1"/>
    <n v="2"/>
    <s v="26-35"/>
    <s v="Medium"/>
    <s v="6-10"/>
    <s v="Mid-Level"/>
    <s v="Standard"/>
    <s v="Low"/>
    <x v="0"/>
  </r>
  <r>
    <n v="42"/>
    <x v="1"/>
    <s v="Non-Travel"/>
    <n v="926"/>
    <x v="1"/>
    <n v="21"/>
    <n v="2"/>
    <s v="Medical"/>
    <n v="1"/>
    <n v="270"/>
    <x v="1"/>
    <s v="Female"/>
    <n v="36"/>
    <n v="3"/>
    <x v="0"/>
    <x v="3"/>
    <x v="2"/>
    <s v="Divorced"/>
    <n v="5265"/>
    <n v="16439"/>
    <n v="2"/>
    <s v="Y"/>
    <s v="No"/>
    <n v="16"/>
    <n v="3"/>
    <n v="2"/>
    <n v="80"/>
    <n v="1"/>
    <n v="11"/>
    <n v="5"/>
    <n v="3"/>
    <x v="8"/>
    <n v="3"/>
    <n v="0"/>
    <n v="2"/>
    <s v="36-45"/>
    <s v="Medium"/>
    <s v="3-5"/>
    <s v="Mid-Level"/>
    <s v="Standard"/>
    <s v="High"/>
    <x v="0"/>
  </r>
  <r>
    <n v="38"/>
    <x v="1"/>
    <s v="Travel_Rarely"/>
    <n v="1261"/>
    <x v="1"/>
    <n v="2"/>
    <n v="4"/>
    <s v="Life Sciences"/>
    <n v="1"/>
    <n v="271"/>
    <x v="2"/>
    <s v="Male"/>
    <n v="88"/>
    <n v="3"/>
    <x v="0"/>
    <x v="3"/>
    <x v="2"/>
    <s v="Married"/>
    <n v="6553"/>
    <n v="7259"/>
    <n v="9"/>
    <s v="Y"/>
    <s v="No"/>
    <n v="14"/>
    <n v="3"/>
    <n v="2"/>
    <n v="80"/>
    <n v="0"/>
    <n v="14"/>
    <n v="3"/>
    <n v="3"/>
    <x v="6"/>
    <n v="0"/>
    <n v="0"/>
    <n v="0"/>
    <s v="36-45"/>
    <s v="High"/>
    <s v="0-2"/>
    <s v="Mid-Level"/>
    <s v="Standard"/>
    <s v="High"/>
    <x v="0"/>
  </r>
  <r>
    <n v="38"/>
    <x v="1"/>
    <s v="Travel_Rarely"/>
    <n v="1084"/>
    <x v="1"/>
    <n v="29"/>
    <n v="3"/>
    <s v="Technical Degree"/>
    <n v="1"/>
    <n v="273"/>
    <x v="2"/>
    <s v="Male"/>
    <n v="54"/>
    <n v="3"/>
    <x v="0"/>
    <x v="3"/>
    <x v="0"/>
    <s v="Married"/>
    <n v="6261"/>
    <n v="4185"/>
    <n v="3"/>
    <s v="Y"/>
    <s v="No"/>
    <n v="18"/>
    <n v="3"/>
    <n v="1"/>
    <n v="80"/>
    <n v="1"/>
    <n v="9"/>
    <n v="3"/>
    <n v="1"/>
    <x v="5"/>
    <n v="7"/>
    <n v="1"/>
    <n v="7"/>
    <s v="36-45"/>
    <s v="High"/>
    <s v="6-10"/>
    <s v="Mid-Level"/>
    <s v="Standard"/>
    <s v="High"/>
    <x v="0"/>
  </r>
  <r>
    <n v="27"/>
    <x v="1"/>
    <s v="Travel_Frequently"/>
    <n v="472"/>
    <x v="1"/>
    <n v="1"/>
    <n v="1"/>
    <s v="Technical Degree"/>
    <n v="1"/>
    <n v="274"/>
    <x v="1"/>
    <s v="Male"/>
    <n v="60"/>
    <n v="2"/>
    <x v="0"/>
    <x v="3"/>
    <x v="3"/>
    <s v="Married"/>
    <n v="4298"/>
    <n v="9679"/>
    <n v="5"/>
    <s v="Y"/>
    <s v="No"/>
    <n v="19"/>
    <n v="3"/>
    <n v="3"/>
    <n v="80"/>
    <n v="1"/>
    <n v="6"/>
    <n v="1"/>
    <n v="3"/>
    <x v="4"/>
    <n v="2"/>
    <n v="2"/>
    <n v="0"/>
    <s v="26-35"/>
    <s v="Medium"/>
    <s v="0-2"/>
    <s v="Mid-Level"/>
    <s v="Standard"/>
    <s v="Low"/>
    <x v="0"/>
  </r>
  <r>
    <n v="49"/>
    <x v="1"/>
    <s v="Non-Travel"/>
    <n v="1002"/>
    <x v="1"/>
    <n v="18"/>
    <n v="4"/>
    <s v="Life Sciences"/>
    <n v="1"/>
    <n v="275"/>
    <x v="2"/>
    <s v="Male"/>
    <n v="92"/>
    <n v="3"/>
    <x v="0"/>
    <x v="3"/>
    <x v="0"/>
    <s v="Divorced"/>
    <n v="6804"/>
    <n v="23793"/>
    <n v="1"/>
    <s v="Y"/>
    <s v="Yes"/>
    <n v="15"/>
    <n v="3"/>
    <n v="1"/>
    <n v="80"/>
    <n v="2"/>
    <n v="7"/>
    <n v="0"/>
    <n v="3"/>
    <x v="5"/>
    <n v="7"/>
    <n v="1"/>
    <n v="7"/>
    <s v="46-55"/>
    <s v="High"/>
    <s v="6-10"/>
    <s v="Mid-Level"/>
    <s v="Standard"/>
    <s v="High"/>
    <x v="0"/>
  </r>
  <r>
    <n v="34"/>
    <x v="1"/>
    <s v="Travel_Frequently"/>
    <n v="878"/>
    <x v="1"/>
    <n v="10"/>
    <n v="4"/>
    <s v="Medical"/>
    <n v="1"/>
    <n v="277"/>
    <x v="2"/>
    <s v="Male"/>
    <n v="43"/>
    <n v="3"/>
    <x v="1"/>
    <x v="1"/>
    <x v="2"/>
    <s v="Divorced"/>
    <n v="3815"/>
    <n v="5972"/>
    <n v="1"/>
    <s v="Y"/>
    <s v="Yes"/>
    <n v="17"/>
    <n v="3"/>
    <n v="4"/>
    <n v="80"/>
    <n v="1"/>
    <n v="5"/>
    <n v="4"/>
    <n v="4"/>
    <x v="8"/>
    <n v="3"/>
    <n v="2"/>
    <n v="0"/>
    <s v="26-35"/>
    <s v="Medium"/>
    <s v="3-5"/>
    <s v="Junior"/>
    <s v="Standard"/>
    <s v="High"/>
    <x v="0"/>
  </r>
  <r>
    <n v="40"/>
    <x v="1"/>
    <s v="Travel_Rarely"/>
    <n v="905"/>
    <x v="1"/>
    <n v="19"/>
    <n v="2"/>
    <s v="Medical"/>
    <n v="1"/>
    <n v="281"/>
    <x v="1"/>
    <s v="Male"/>
    <n v="99"/>
    <n v="3"/>
    <x v="0"/>
    <x v="2"/>
    <x v="0"/>
    <s v="Married"/>
    <n v="2741"/>
    <n v="16523"/>
    <n v="8"/>
    <s v="Y"/>
    <s v="Yes"/>
    <n v="15"/>
    <n v="3"/>
    <n v="3"/>
    <n v="80"/>
    <n v="1"/>
    <n v="15"/>
    <n v="2"/>
    <n v="4"/>
    <x v="5"/>
    <n v="2"/>
    <n v="3"/>
    <n v="7"/>
    <s v="36-45"/>
    <s v="Low"/>
    <s v="6-10"/>
    <s v="Mid-Level"/>
    <s v="Standard"/>
    <s v="High"/>
    <x v="0"/>
  </r>
  <r>
    <n v="38"/>
    <x v="0"/>
    <s v="Travel_Rarely"/>
    <n v="1180"/>
    <x v="1"/>
    <n v="29"/>
    <n v="1"/>
    <s v="Medical"/>
    <n v="1"/>
    <n v="282"/>
    <x v="0"/>
    <s v="Male"/>
    <n v="70"/>
    <n v="3"/>
    <x v="0"/>
    <x v="4"/>
    <x v="3"/>
    <s v="Married"/>
    <n v="6673"/>
    <n v="11354"/>
    <n v="7"/>
    <s v="Y"/>
    <s v="Yes"/>
    <n v="19"/>
    <n v="3"/>
    <n v="2"/>
    <n v="80"/>
    <n v="0"/>
    <n v="17"/>
    <n v="2"/>
    <n v="3"/>
    <x v="6"/>
    <n v="0"/>
    <n v="0"/>
    <n v="0"/>
    <s v="36-45"/>
    <s v="High"/>
    <s v="0-2"/>
    <s v="Senior"/>
    <s v="Standard"/>
    <s v="Low"/>
    <x v="1"/>
  </r>
  <r>
    <n v="29"/>
    <x v="0"/>
    <s v="Travel_Rarely"/>
    <n v="121"/>
    <x v="0"/>
    <n v="27"/>
    <n v="3"/>
    <s v="Marketing"/>
    <n v="1"/>
    <n v="283"/>
    <x v="0"/>
    <s v="Female"/>
    <n v="35"/>
    <n v="3"/>
    <x v="2"/>
    <x v="0"/>
    <x v="0"/>
    <s v="Married"/>
    <n v="7639"/>
    <n v="24525"/>
    <n v="1"/>
    <s v="Y"/>
    <s v="No"/>
    <n v="22"/>
    <n v="4"/>
    <n v="4"/>
    <n v="80"/>
    <n v="3"/>
    <n v="10"/>
    <n v="3"/>
    <n v="2"/>
    <x v="1"/>
    <n v="4"/>
    <n v="1"/>
    <n v="9"/>
    <s v="26-35"/>
    <s v="High"/>
    <s v="6-10"/>
    <s v="Mid-Level"/>
    <s v="Excellent"/>
    <s v="High"/>
    <x v="0"/>
  </r>
  <r>
    <n v="22"/>
    <x v="1"/>
    <s v="Travel_Rarely"/>
    <n v="1136"/>
    <x v="1"/>
    <n v="5"/>
    <n v="3"/>
    <s v="Life Sciences"/>
    <n v="1"/>
    <n v="284"/>
    <x v="2"/>
    <s v="Male"/>
    <n v="60"/>
    <n v="4"/>
    <x v="1"/>
    <x v="1"/>
    <x v="1"/>
    <s v="Divorced"/>
    <n v="2328"/>
    <n v="12392"/>
    <n v="1"/>
    <s v="Y"/>
    <s v="Yes"/>
    <n v="16"/>
    <n v="3"/>
    <n v="1"/>
    <n v="80"/>
    <n v="1"/>
    <n v="4"/>
    <n v="2"/>
    <n v="2"/>
    <x v="9"/>
    <n v="2"/>
    <n v="2"/>
    <n v="2"/>
    <s v="18-25"/>
    <s v="Low"/>
    <s v="3-5"/>
    <s v="Junior"/>
    <s v="Standard"/>
    <s v="Low"/>
    <x v="0"/>
  </r>
  <r>
    <n v="36"/>
    <x v="1"/>
    <s v="Travel_Frequently"/>
    <n v="635"/>
    <x v="1"/>
    <n v="18"/>
    <n v="1"/>
    <s v="Medical"/>
    <n v="1"/>
    <n v="286"/>
    <x v="0"/>
    <s v="Female"/>
    <n v="73"/>
    <n v="3"/>
    <x v="1"/>
    <x v="2"/>
    <x v="0"/>
    <s v="Single"/>
    <n v="2153"/>
    <n v="7703"/>
    <n v="1"/>
    <s v="Y"/>
    <s v="No"/>
    <n v="13"/>
    <n v="3"/>
    <n v="1"/>
    <n v="80"/>
    <n v="0"/>
    <n v="8"/>
    <n v="2"/>
    <n v="3"/>
    <x v="3"/>
    <n v="1"/>
    <n v="1"/>
    <n v="7"/>
    <s v="36-45"/>
    <s v="Low"/>
    <s v="6-10"/>
    <s v="Mid-Level"/>
    <s v="Standard"/>
    <s v="High"/>
    <x v="0"/>
  </r>
  <r>
    <n v="40"/>
    <x v="1"/>
    <s v="Non-Travel"/>
    <n v="1151"/>
    <x v="1"/>
    <n v="9"/>
    <n v="5"/>
    <s v="Life Sciences"/>
    <n v="1"/>
    <n v="287"/>
    <x v="2"/>
    <s v="Male"/>
    <n v="63"/>
    <n v="2"/>
    <x v="0"/>
    <x v="4"/>
    <x v="0"/>
    <s v="Married"/>
    <n v="4876"/>
    <n v="14242"/>
    <n v="9"/>
    <s v="Y"/>
    <s v="No"/>
    <n v="14"/>
    <n v="3"/>
    <n v="4"/>
    <n v="80"/>
    <n v="1"/>
    <n v="5"/>
    <n v="5"/>
    <n v="1"/>
    <x v="11"/>
    <n v="2"/>
    <n v="0"/>
    <n v="2"/>
    <s v="36-45"/>
    <s v="Medium"/>
    <s v="3-5"/>
    <s v="Junior"/>
    <s v="Standard"/>
    <s v="High"/>
    <x v="0"/>
  </r>
  <r>
    <n v="46"/>
    <x v="1"/>
    <s v="Travel_Rarely"/>
    <n v="644"/>
    <x v="1"/>
    <n v="1"/>
    <n v="4"/>
    <s v="Medical"/>
    <n v="1"/>
    <n v="288"/>
    <x v="2"/>
    <s v="Male"/>
    <n v="97"/>
    <n v="3"/>
    <x v="2"/>
    <x v="4"/>
    <x v="3"/>
    <s v="Divorced"/>
    <n v="9396"/>
    <n v="12368"/>
    <n v="7"/>
    <s v="Y"/>
    <s v="No"/>
    <n v="16"/>
    <n v="3"/>
    <n v="3"/>
    <n v="80"/>
    <n v="1"/>
    <n v="17"/>
    <n v="3"/>
    <n v="3"/>
    <x v="9"/>
    <n v="2"/>
    <n v="0"/>
    <n v="3"/>
    <s v="46-55"/>
    <s v="High"/>
    <s v="3-5"/>
    <s v="Senior"/>
    <s v="Standard"/>
    <s v="Low"/>
    <x v="0"/>
  </r>
  <r>
    <n v="32"/>
    <x v="0"/>
    <s v="Travel_Rarely"/>
    <n v="1045"/>
    <x v="0"/>
    <n v="4"/>
    <n v="4"/>
    <s v="Medical"/>
    <n v="1"/>
    <n v="291"/>
    <x v="2"/>
    <s v="Male"/>
    <n v="32"/>
    <n v="1"/>
    <x v="2"/>
    <x v="0"/>
    <x v="0"/>
    <s v="Married"/>
    <n v="10400"/>
    <n v="25812"/>
    <n v="1"/>
    <s v="Y"/>
    <s v="No"/>
    <n v="11"/>
    <n v="3"/>
    <n v="3"/>
    <n v="80"/>
    <n v="0"/>
    <n v="14"/>
    <n v="2"/>
    <n v="2"/>
    <x v="13"/>
    <n v="8"/>
    <n v="9"/>
    <n v="8"/>
    <s v="26-35"/>
    <s v="Very High"/>
    <s v="11-15"/>
    <s v="Mid-Level"/>
    <s v="Standard"/>
    <s v="High"/>
    <x v="0"/>
  </r>
  <r>
    <n v="30"/>
    <x v="1"/>
    <s v="Non-Travel"/>
    <n v="829"/>
    <x v="1"/>
    <n v="1"/>
    <n v="1"/>
    <s v="Life Sciences"/>
    <n v="1"/>
    <n v="292"/>
    <x v="1"/>
    <s v="Male"/>
    <n v="88"/>
    <n v="2"/>
    <x v="2"/>
    <x v="3"/>
    <x v="2"/>
    <s v="Single"/>
    <n v="8474"/>
    <n v="20925"/>
    <n v="1"/>
    <s v="Y"/>
    <s v="No"/>
    <n v="22"/>
    <n v="4"/>
    <n v="3"/>
    <n v="80"/>
    <n v="0"/>
    <n v="12"/>
    <n v="2"/>
    <n v="3"/>
    <x v="19"/>
    <n v="8"/>
    <n v="5"/>
    <n v="8"/>
    <s v="26-35"/>
    <s v="High"/>
    <s v="11-15"/>
    <s v="Mid-Level"/>
    <s v="Excellent"/>
    <s v="High"/>
    <x v="0"/>
  </r>
  <r>
    <n v="27"/>
    <x v="1"/>
    <s v="Travel_Frequently"/>
    <n v="1242"/>
    <x v="0"/>
    <n v="20"/>
    <n v="3"/>
    <s v="Life Sciences"/>
    <n v="1"/>
    <n v="293"/>
    <x v="2"/>
    <s v="Female"/>
    <n v="90"/>
    <n v="3"/>
    <x v="0"/>
    <x v="0"/>
    <x v="2"/>
    <s v="Single"/>
    <n v="9981"/>
    <n v="12916"/>
    <n v="1"/>
    <s v="Y"/>
    <s v="No"/>
    <n v="14"/>
    <n v="3"/>
    <n v="4"/>
    <n v="80"/>
    <n v="0"/>
    <n v="7"/>
    <n v="2"/>
    <n v="3"/>
    <x v="5"/>
    <n v="7"/>
    <n v="0"/>
    <n v="7"/>
    <s v="26-35"/>
    <s v="High"/>
    <s v="6-10"/>
    <s v="Mid-Level"/>
    <s v="Standard"/>
    <s v="High"/>
    <x v="0"/>
  </r>
  <r>
    <n v="51"/>
    <x v="1"/>
    <s v="Travel_Rarely"/>
    <n v="1469"/>
    <x v="1"/>
    <n v="8"/>
    <n v="4"/>
    <s v="Life Sciences"/>
    <n v="1"/>
    <n v="296"/>
    <x v="0"/>
    <s v="Male"/>
    <n v="81"/>
    <n v="2"/>
    <x v="2"/>
    <x v="7"/>
    <x v="1"/>
    <s v="Married"/>
    <n v="12490"/>
    <n v="15736"/>
    <n v="5"/>
    <s v="Y"/>
    <s v="No"/>
    <n v="16"/>
    <n v="3"/>
    <n v="4"/>
    <n v="80"/>
    <n v="2"/>
    <n v="16"/>
    <n v="5"/>
    <n v="1"/>
    <x v="1"/>
    <n v="9"/>
    <n v="4"/>
    <n v="7"/>
    <s v="46-55"/>
    <s v="Very High"/>
    <s v="6-10"/>
    <s v="Senior"/>
    <s v="Standard"/>
    <s v="Low"/>
    <x v="0"/>
  </r>
  <r>
    <n v="30"/>
    <x v="0"/>
    <s v="Travel_Rarely"/>
    <n v="1005"/>
    <x v="1"/>
    <n v="3"/>
    <n v="3"/>
    <s v="Technical Degree"/>
    <n v="1"/>
    <n v="297"/>
    <x v="2"/>
    <s v="Female"/>
    <n v="88"/>
    <n v="3"/>
    <x v="1"/>
    <x v="1"/>
    <x v="3"/>
    <s v="Single"/>
    <n v="2657"/>
    <n v="8556"/>
    <n v="5"/>
    <s v="Y"/>
    <s v="Yes"/>
    <n v="11"/>
    <n v="3"/>
    <n v="3"/>
    <n v="80"/>
    <n v="0"/>
    <n v="8"/>
    <n v="5"/>
    <n v="3"/>
    <x v="8"/>
    <n v="2"/>
    <n v="0"/>
    <n v="4"/>
    <s v="26-35"/>
    <s v="Low"/>
    <s v="3-5"/>
    <s v="Mid-Level"/>
    <s v="Standard"/>
    <s v="Low"/>
    <x v="0"/>
  </r>
  <r>
    <n v="41"/>
    <x v="1"/>
    <s v="Travel_Rarely"/>
    <n v="896"/>
    <x v="0"/>
    <n v="6"/>
    <n v="3"/>
    <s v="Life Sciences"/>
    <n v="1"/>
    <n v="298"/>
    <x v="2"/>
    <s v="Female"/>
    <n v="75"/>
    <n v="3"/>
    <x v="2"/>
    <x v="5"/>
    <x v="0"/>
    <s v="Single"/>
    <n v="13591"/>
    <n v="14674"/>
    <n v="3"/>
    <s v="Y"/>
    <s v="Yes"/>
    <n v="18"/>
    <n v="3"/>
    <n v="3"/>
    <n v="80"/>
    <n v="0"/>
    <n v="16"/>
    <n v="3"/>
    <n v="3"/>
    <x v="6"/>
    <n v="0"/>
    <n v="0"/>
    <n v="0"/>
    <s v="36-45"/>
    <s v="Very High"/>
    <s v="0-2"/>
    <s v="Senior"/>
    <s v="Standard"/>
    <s v="High"/>
    <x v="0"/>
  </r>
  <r>
    <n v="30"/>
    <x v="0"/>
    <s v="Travel_Frequently"/>
    <n v="334"/>
    <x v="0"/>
    <n v="26"/>
    <n v="4"/>
    <s v="Marketing"/>
    <n v="1"/>
    <n v="299"/>
    <x v="1"/>
    <s v="Female"/>
    <n v="52"/>
    <n v="2"/>
    <x v="0"/>
    <x v="0"/>
    <x v="3"/>
    <s v="Single"/>
    <n v="6696"/>
    <n v="22967"/>
    <n v="5"/>
    <s v="Y"/>
    <s v="No"/>
    <n v="15"/>
    <n v="3"/>
    <n v="3"/>
    <n v="80"/>
    <n v="0"/>
    <n v="9"/>
    <n v="5"/>
    <n v="2"/>
    <x v="0"/>
    <n v="3"/>
    <n v="0"/>
    <n v="1"/>
    <s v="26-35"/>
    <s v="High"/>
    <s v="6-10"/>
    <s v="Mid-Level"/>
    <s v="Standard"/>
    <s v="Low"/>
    <x v="0"/>
  </r>
  <r>
    <n v="29"/>
    <x v="0"/>
    <s v="Travel_Rarely"/>
    <n v="992"/>
    <x v="1"/>
    <n v="1"/>
    <n v="3"/>
    <s v="Technical Degree"/>
    <n v="1"/>
    <n v="300"/>
    <x v="1"/>
    <s v="Male"/>
    <n v="85"/>
    <n v="3"/>
    <x v="1"/>
    <x v="1"/>
    <x v="2"/>
    <s v="Single"/>
    <n v="2058"/>
    <n v="19757"/>
    <n v="0"/>
    <s v="Y"/>
    <s v="No"/>
    <n v="14"/>
    <n v="3"/>
    <n v="4"/>
    <n v="80"/>
    <n v="0"/>
    <n v="7"/>
    <n v="1"/>
    <n v="2"/>
    <x v="0"/>
    <n v="2"/>
    <n v="1"/>
    <n v="5"/>
    <s v="26-35"/>
    <s v="Low"/>
    <s v="6-10"/>
    <s v="Mid-Level"/>
    <s v="Standard"/>
    <s v="High"/>
    <x v="0"/>
  </r>
  <r>
    <n v="45"/>
    <x v="1"/>
    <s v="Non-Travel"/>
    <n v="1052"/>
    <x v="0"/>
    <n v="6"/>
    <n v="3"/>
    <s v="Medical"/>
    <n v="1"/>
    <n v="302"/>
    <x v="2"/>
    <s v="Female"/>
    <n v="57"/>
    <n v="2"/>
    <x v="2"/>
    <x v="0"/>
    <x v="0"/>
    <s v="Single"/>
    <n v="8865"/>
    <n v="16840"/>
    <n v="6"/>
    <s v="Y"/>
    <s v="No"/>
    <n v="12"/>
    <n v="3"/>
    <n v="4"/>
    <n v="80"/>
    <n v="0"/>
    <n v="23"/>
    <n v="2"/>
    <n v="3"/>
    <x v="27"/>
    <n v="7"/>
    <n v="12"/>
    <n v="8"/>
    <s v="36-45"/>
    <s v="High"/>
    <s v="16+"/>
    <s v="Senior"/>
    <s v="Standard"/>
    <s v="High"/>
    <x v="0"/>
  </r>
  <r>
    <n v="54"/>
    <x v="1"/>
    <s v="Travel_Rarely"/>
    <n v="1147"/>
    <x v="0"/>
    <n v="3"/>
    <n v="3"/>
    <s v="Marketing"/>
    <n v="1"/>
    <n v="303"/>
    <x v="2"/>
    <s v="Female"/>
    <n v="52"/>
    <n v="3"/>
    <x v="0"/>
    <x v="0"/>
    <x v="3"/>
    <s v="Married"/>
    <n v="5940"/>
    <n v="17011"/>
    <n v="2"/>
    <s v="Y"/>
    <s v="No"/>
    <n v="14"/>
    <n v="3"/>
    <n v="4"/>
    <n v="80"/>
    <n v="1"/>
    <n v="16"/>
    <n v="4"/>
    <n v="3"/>
    <x v="0"/>
    <n v="2"/>
    <n v="0"/>
    <n v="5"/>
    <s v="46-55"/>
    <s v="Medium"/>
    <s v="6-10"/>
    <s v="Senior"/>
    <s v="Standard"/>
    <s v="Low"/>
    <x v="0"/>
  </r>
  <r>
    <n v="36"/>
    <x v="1"/>
    <s v="Travel_Rarely"/>
    <n v="1396"/>
    <x v="1"/>
    <n v="5"/>
    <n v="2"/>
    <s v="Life Sciences"/>
    <n v="1"/>
    <n v="304"/>
    <x v="2"/>
    <s v="Male"/>
    <n v="62"/>
    <n v="3"/>
    <x v="0"/>
    <x v="2"/>
    <x v="1"/>
    <s v="Single"/>
    <n v="5914"/>
    <n v="9945"/>
    <n v="8"/>
    <s v="Y"/>
    <s v="No"/>
    <n v="16"/>
    <n v="3"/>
    <n v="4"/>
    <n v="80"/>
    <n v="0"/>
    <n v="16"/>
    <n v="3"/>
    <n v="4"/>
    <x v="20"/>
    <n v="11"/>
    <n v="3"/>
    <n v="7"/>
    <s v="36-45"/>
    <s v="Medium"/>
    <s v="11-15"/>
    <s v="Senior"/>
    <s v="Standard"/>
    <s v="Low"/>
    <x v="0"/>
  </r>
  <r>
    <n v="33"/>
    <x v="1"/>
    <s v="Travel_Rarely"/>
    <n v="147"/>
    <x v="1"/>
    <n v="4"/>
    <n v="4"/>
    <s v="Medical"/>
    <n v="1"/>
    <n v="305"/>
    <x v="1"/>
    <s v="Female"/>
    <n v="47"/>
    <n v="2"/>
    <x v="1"/>
    <x v="1"/>
    <x v="1"/>
    <s v="Married"/>
    <n v="2622"/>
    <n v="13248"/>
    <n v="6"/>
    <s v="Y"/>
    <s v="No"/>
    <n v="21"/>
    <n v="4"/>
    <n v="4"/>
    <n v="80"/>
    <n v="0"/>
    <n v="7"/>
    <n v="3"/>
    <n v="3"/>
    <x v="11"/>
    <n v="2"/>
    <n v="1"/>
    <n v="1"/>
    <s v="26-35"/>
    <s v="Low"/>
    <s v="3-5"/>
    <s v="Mid-Level"/>
    <s v="Excellent"/>
    <s v="Low"/>
    <x v="0"/>
  </r>
  <r>
    <n v="37"/>
    <x v="1"/>
    <s v="Travel_Frequently"/>
    <n v="663"/>
    <x v="1"/>
    <n v="11"/>
    <n v="3"/>
    <s v="Other"/>
    <n v="1"/>
    <n v="306"/>
    <x v="0"/>
    <s v="Male"/>
    <n v="47"/>
    <n v="3"/>
    <x v="2"/>
    <x v="7"/>
    <x v="0"/>
    <s v="Divorced"/>
    <n v="12185"/>
    <n v="10056"/>
    <n v="1"/>
    <s v="Y"/>
    <s v="Yes"/>
    <n v="14"/>
    <n v="3"/>
    <n v="3"/>
    <n v="80"/>
    <n v="3"/>
    <n v="10"/>
    <n v="1"/>
    <n v="3"/>
    <x v="1"/>
    <n v="8"/>
    <n v="0"/>
    <n v="7"/>
    <s v="36-45"/>
    <s v="Very High"/>
    <s v="6-10"/>
    <s v="Mid-Level"/>
    <s v="Standard"/>
    <s v="High"/>
    <x v="0"/>
  </r>
  <r>
    <n v="38"/>
    <x v="1"/>
    <s v="Travel_Rarely"/>
    <n v="119"/>
    <x v="0"/>
    <n v="3"/>
    <n v="3"/>
    <s v="Life Sciences"/>
    <n v="1"/>
    <n v="307"/>
    <x v="3"/>
    <s v="Male"/>
    <n v="76"/>
    <n v="3"/>
    <x v="2"/>
    <x v="0"/>
    <x v="2"/>
    <s v="Divorced"/>
    <n v="10609"/>
    <n v="9647"/>
    <n v="0"/>
    <s v="Y"/>
    <s v="No"/>
    <n v="12"/>
    <n v="3"/>
    <n v="3"/>
    <n v="80"/>
    <n v="2"/>
    <n v="17"/>
    <n v="6"/>
    <n v="2"/>
    <x v="22"/>
    <n v="10"/>
    <n v="5"/>
    <n v="13"/>
    <s v="36-45"/>
    <s v="Very High"/>
    <s v="16+"/>
    <s v="Senior"/>
    <s v="Standard"/>
    <s v="High"/>
    <x v="0"/>
  </r>
  <r>
    <n v="31"/>
    <x v="1"/>
    <s v="Non-Travel"/>
    <n v="979"/>
    <x v="1"/>
    <n v="1"/>
    <n v="4"/>
    <s v="Medical"/>
    <n v="1"/>
    <n v="308"/>
    <x v="1"/>
    <s v="Male"/>
    <n v="90"/>
    <n v="1"/>
    <x v="0"/>
    <x v="3"/>
    <x v="2"/>
    <s v="Married"/>
    <n v="4345"/>
    <n v="4381"/>
    <n v="0"/>
    <s v="Y"/>
    <s v="No"/>
    <n v="12"/>
    <n v="3"/>
    <n v="4"/>
    <n v="80"/>
    <n v="1"/>
    <n v="6"/>
    <n v="2"/>
    <n v="3"/>
    <x v="8"/>
    <n v="4"/>
    <n v="1"/>
    <n v="4"/>
    <s v="26-35"/>
    <s v="Medium"/>
    <s v="3-5"/>
    <s v="Mid-Level"/>
    <s v="Standard"/>
    <s v="High"/>
    <x v="0"/>
  </r>
  <r>
    <n v="59"/>
    <x v="1"/>
    <s v="Travel_Rarely"/>
    <n v="142"/>
    <x v="1"/>
    <n v="3"/>
    <n v="3"/>
    <s v="Life Sciences"/>
    <n v="1"/>
    <n v="309"/>
    <x v="1"/>
    <s v="Male"/>
    <n v="70"/>
    <n v="2"/>
    <x v="1"/>
    <x v="1"/>
    <x v="0"/>
    <s v="Married"/>
    <n v="2177"/>
    <n v="8456"/>
    <n v="3"/>
    <s v="Y"/>
    <s v="No"/>
    <n v="17"/>
    <n v="3"/>
    <n v="1"/>
    <n v="80"/>
    <n v="1"/>
    <n v="7"/>
    <n v="6"/>
    <n v="3"/>
    <x v="6"/>
    <n v="0"/>
    <n v="0"/>
    <n v="0"/>
    <s v="56+"/>
    <s v="Low"/>
    <s v="0-2"/>
    <s v="Mid-Level"/>
    <s v="Standard"/>
    <s v="High"/>
    <x v="0"/>
  </r>
  <r>
    <n v="37"/>
    <x v="1"/>
    <s v="Travel_Frequently"/>
    <n v="319"/>
    <x v="0"/>
    <n v="4"/>
    <n v="4"/>
    <s v="Marketing"/>
    <n v="1"/>
    <n v="311"/>
    <x v="3"/>
    <s v="Male"/>
    <n v="41"/>
    <n v="3"/>
    <x v="1"/>
    <x v="6"/>
    <x v="0"/>
    <s v="Divorced"/>
    <n v="2793"/>
    <n v="2539"/>
    <n v="4"/>
    <s v="Y"/>
    <s v="No"/>
    <n v="17"/>
    <n v="3"/>
    <n v="3"/>
    <n v="80"/>
    <n v="1"/>
    <n v="13"/>
    <n v="2"/>
    <n v="3"/>
    <x v="7"/>
    <n v="8"/>
    <n v="5"/>
    <n v="8"/>
    <s v="36-45"/>
    <s v="Low"/>
    <s v="6-10"/>
    <s v="Mid-Level"/>
    <s v="Standard"/>
    <s v="High"/>
    <x v="0"/>
  </r>
  <r>
    <n v="29"/>
    <x v="1"/>
    <s v="Travel_Frequently"/>
    <n v="1413"/>
    <x v="0"/>
    <n v="1"/>
    <n v="1"/>
    <s v="Medical"/>
    <n v="1"/>
    <n v="312"/>
    <x v="0"/>
    <s v="Female"/>
    <n v="42"/>
    <n v="3"/>
    <x v="2"/>
    <x v="0"/>
    <x v="0"/>
    <s v="Married"/>
    <n v="7918"/>
    <n v="6599"/>
    <n v="1"/>
    <s v="Y"/>
    <s v="No"/>
    <n v="14"/>
    <n v="3"/>
    <n v="4"/>
    <n v="80"/>
    <n v="1"/>
    <n v="11"/>
    <n v="5"/>
    <n v="3"/>
    <x v="19"/>
    <n v="10"/>
    <n v="4"/>
    <n v="1"/>
    <s v="26-35"/>
    <s v="High"/>
    <s v="11-15"/>
    <s v="Mid-Level"/>
    <s v="Standard"/>
    <s v="High"/>
    <x v="0"/>
  </r>
  <r>
    <n v="35"/>
    <x v="1"/>
    <s v="Travel_Frequently"/>
    <n v="944"/>
    <x v="0"/>
    <n v="1"/>
    <n v="3"/>
    <s v="Marketing"/>
    <n v="1"/>
    <n v="314"/>
    <x v="1"/>
    <s v="Female"/>
    <n v="92"/>
    <n v="3"/>
    <x v="2"/>
    <x v="0"/>
    <x v="2"/>
    <s v="Single"/>
    <n v="8789"/>
    <n v="9096"/>
    <n v="1"/>
    <s v="Y"/>
    <s v="No"/>
    <n v="14"/>
    <n v="3"/>
    <n v="1"/>
    <n v="80"/>
    <n v="0"/>
    <n v="10"/>
    <n v="3"/>
    <n v="4"/>
    <x v="1"/>
    <n v="7"/>
    <n v="0"/>
    <n v="8"/>
    <s v="26-35"/>
    <s v="High"/>
    <s v="6-10"/>
    <s v="Mid-Level"/>
    <s v="Standard"/>
    <s v="High"/>
    <x v="0"/>
  </r>
  <r>
    <n v="29"/>
    <x v="0"/>
    <s v="Travel_Rarely"/>
    <n v="896"/>
    <x v="1"/>
    <n v="18"/>
    <n v="1"/>
    <s v="Medical"/>
    <n v="1"/>
    <n v="315"/>
    <x v="1"/>
    <s v="Male"/>
    <n v="86"/>
    <n v="2"/>
    <x v="1"/>
    <x v="1"/>
    <x v="0"/>
    <s v="Single"/>
    <n v="2389"/>
    <n v="14961"/>
    <n v="1"/>
    <s v="Y"/>
    <s v="Yes"/>
    <n v="13"/>
    <n v="3"/>
    <n v="3"/>
    <n v="80"/>
    <n v="0"/>
    <n v="4"/>
    <n v="3"/>
    <n v="2"/>
    <x v="9"/>
    <n v="3"/>
    <n v="0"/>
    <n v="1"/>
    <s v="26-35"/>
    <s v="Low"/>
    <s v="3-5"/>
    <s v="Junior"/>
    <s v="Standard"/>
    <s v="High"/>
    <x v="0"/>
  </r>
  <r>
    <n v="52"/>
    <x v="1"/>
    <s v="Travel_Rarely"/>
    <n v="1323"/>
    <x v="1"/>
    <n v="2"/>
    <n v="3"/>
    <s v="Life Sciences"/>
    <n v="1"/>
    <n v="316"/>
    <x v="1"/>
    <s v="Female"/>
    <n v="89"/>
    <n v="2"/>
    <x v="1"/>
    <x v="2"/>
    <x v="0"/>
    <s v="Single"/>
    <n v="3212"/>
    <n v="3300"/>
    <n v="7"/>
    <s v="Y"/>
    <s v="No"/>
    <n v="15"/>
    <n v="3"/>
    <n v="2"/>
    <n v="80"/>
    <n v="0"/>
    <n v="6"/>
    <n v="3"/>
    <n v="2"/>
    <x v="4"/>
    <n v="2"/>
    <n v="2"/>
    <n v="2"/>
    <s v="46-55"/>
    <s v="Medium"/>
    <s v="0-2"/>
    <s v="Mid-Level"/>
    <s v="Standard"/>
    <s v="High"/>
    <x v="0"/>
  </r>
  <r>
    <n v="42"/>
    <x v="1"/>
    <s v="Travel_Rarely"/>
    <n v="532"/>
    <x v="1"/>
    <n v="4"/>
    <n v="2"/>
    <s v="Technical Degree"/>
    <n v="1"/>
    <n v="319"/>
    <x v="1"/>
    <s v="Male"/>
    <n v="58"/>
    <n v="3"/>
    <x v="4"/>
    <x v="5"/>
    <x v="0"/>
    <s v="Married"/>
    <n v="19232"/>
    <n v="4933"/>
    <n v="1"/>
    <s v="Y"/>
    <s v="No"/>
    <n v="11"/>
    <n v="3"/>
    <n v="4"/>
    <n v="80"/>
    <n v="0"/>
    <n v="22"/>
    <n v="3"/>
    <n v="3"/>
    <x v="14"/>
    <n v="17"/>
    <n v="11"/>
    <n v="15"/>
    <s v="36-45"/>
    <s v="Very High"/>
    <s v="16+"/>
    <s v="Senior"/>
    <s v="Standard"/>
    <s v="High"/>
    <x v="0"/>
  </r>
  <r>
    <n v="59"/>
    <x v="1"/>
    <s v="Travel_Rarely"/>
    <n v="818"/>
    <x v="2"/>
    <n v="6"/>
    <n v="2"/>
    <s v="Medical"/>
    <n v="1"/>
    <n v="321"/>
    <x v="0"/>
    <s v="Male"/>
    <n v="52"/>
    <n v="3"/>
    <x v="1"/>
    <x v="8"/>
    <x v="2"/>
    <s v="Married"/>
    <n v="2267"/>
    <n v="25657"/>
    <n v="8"/>
    <s v="Y"/>
    <s v="No"/>
    <n v="17"/>
    <n v="3"/>
    <n v="4"/>
    <n v="80"/>
    <n v="0"/>
    <n v="7"/>
    <n v="2"/>
    <n v="2"/>
    <x v="4"/>
    <n v="2"/>
    <n v="2"/>
    <n v="2"/>
    <s v="56+"/>
    <s v="Low"/>
    <s v="0-2"/>
    <s v="Mid-Level"/>
    <s v="Standard"/>
    <s v="High"/>
    <x v="0"/>
  </r>
  <r>
    <n v="50"/>
    <x v="1"/>
    <s v="Travel_Rarely"/>
    <n v="854"/>
    <x v="0"/>
    <n v="1"/>
    <n v="4"/>
    <s v="Medical"/>
    <n v="1"/>
    <n v="323"/>
    <x v="2"/>
    <s v="Female"/>
    <n v="68"/>
    <n v="3"/>
    <x v="4"/>
    <x v="5"/>
    <x v="0"/>
    <s v="Divorced"/>
    <n v="19517"/>
    <n v="24118"/>
    <n v="3"/>
    <s v="Y"/>
    <s v="No"/>
    <n v="11"/>
    <n v="3"/>
    <n v="3"/>
    <n v="80"/>
    <n v="1"/>
    <n v="32"/>
    <n v="3"/>
    <n v="2"/>
    <x v="5"/>
    <n v="0"/>
    <n v="0"/>
    <n v="6"/>
    <s v="46-55"/>
    <s v="Very High"/>
    <s v="6-10"/>
    <s v="Senior"/>
    <s v="Standard"/>
    <s v="High"/>
    <x v="0"/>
  </r>
  <r>
    <n v="33"/>
    <x v="0"/>
    <s v="Travel_Rarely"/>
    <n v="813"/>
    <x v="1"/>
    <n v="14"/>
    <n v="3"/>
    <s v="Medical"/>
    <n v="1"/>
    <n v="325"/>
    <x v="1"/>
    <s v="Male"/>
    <n v="58"/>
    <n v="3"/>
    <x v="1"/>
    <x v="2"/>
    <x v="0"/>
    <s v="Married"/>
    <n v="2436"/>
    <n v="22149"/>
    <n v="5"/>
    <s v="Y"/>
    <s v="Yes"/>
    <n v="13"/>
    <n v="3"/>
    <n v="3"/>
    <n v="80"/>
    <n v="1"/>
    <n v="8"/>
    <n v="2"/>
    <n v="1"/>
    <x v="8"/>
    <n v="4"/>
    <n v="0"/>
    <n v="4"/>
    <s v="26-35"/>
    <s v="Low"/>
    <s v="3-5"/>
    <s v="Mid-Level"/>
    <s v="Standard"/>
    <s v="High"/>
    <x v="0"/>
  </r>
  <r>
    <n v="43"/>
    <x v="1"/>
    <s v="Travel_Rarely"/>
    <n v="1034"/>
    <x v="0"/>
    <n v="16"/>
    <n v="3"/>
    <s v="Marketing"/>
    <n v="1"/>
    <n v="327"/>
    <x v="2"/>
    <s v="Female"/>
    <n v="80"/>
    <n v="3"/>
    <x v="3"/>
    <x v="5"/>
    <x v="0"/>
    <s v="Married"/>
    <n v="16064"/>
    <n v="7744"/>
    <n v="5"/>
    <s v="Y"/>
    <s v="Yes"/>
    <n v="22"/>
    <n v="4"/>
    <n v="3"/>
    <n v="80"/>
    <n v="1"/>
    <n v="22"/>
    <n v="3"/>
    <n v="3"/>
    <x v="18"/>
    <n v="13"/>
    <n v="1"/>
    <n v="9"/>
    <s v="36-45"/>
    <s v="Very High"/>
    <s v="16+"/>
    <s v="Senior"/>
    <s v="Excellent"/>
    <s v="High"/>
    <x v="0"/>
  </r>
  <r>
    <n v="33"/>
    <x v="0"/>
    <s v="Travel_Rarely"/>
    <n v="465"/>
    <x v="1"/>
    <n v="2"/>
    <n v="2"/>
    <s v="Life Sciences"/>
    <n v="1"/>
    <n v="328"/>
    <x v="3"/>
    <s v="Female"/>
    <n v="39"/>
    <n v="3"/>
    <x v="1"/>
    <x v="2"/>
    <x v="3"/>
    <s v="Married"/>
    <n v="2707"/>
    <n v="21509"/>
    <n v="7"/>
    <s v="Y"/>
    <s v="No"/>
    <n v="20"/>
    <n v="4"/>
    <n v="1"/>
    <n v="80"/>
    <n v="0"/>
    <n v="13"/>
    <n v="3"/>
    <n v="4"/>
    <x v="7"/>
    <n v="7"/>
    <n v="1"/>
    <n v="7"/>
    <s v="26-35"/>
    <s v="Low"/>
    <s v="6-10"/>
    <s v="Mid-Level"/>
    <s v="Excellent"/>
    <s v="Low"/>
    <x v="0"/>
  </r>
  <r>
    <n v="52"/>
    <x v="1"/>
    <s v="Non-Travel"/>
    <n v="771"/>
    <x v="0"/>
    <n v="2"/>
    <n v="4"/>
    <s v="Life Sciences"/>
    <n v="1"/>
    <n v="329"/>
    <x v="3"/>
    <s v="Male"/>
    <n v="79"/>
    <n v="2"/>
    <x v="4"/>
    <x v="5"/>
    <x v="2"/>
    <s v="Single"/>
    <n v="19068"/>
    <n v="21030"/>
    <n v="1"/>
    <s v="Y"/>
    <s v="Yes"/>
    <n v="18"/>
    <n v="3"/>
    <n v="4"/>
    <n v="80"/>
    <n v="0"/>
    <n v="33"/>
    <n v="2"/>
    <n v="4"/>
    <x v="26"/>
    <n v="7"/>
    <n v="15"/>
    <n v="12"/>
    <s v="46-55"/>
    <s v="Very High"/>
    <s v="16+"/>
    <s v="Senior"/>
    <s v="Standard"/>
    <s v="High"/>
    <x v="0"/>
  </r>
  <r>
    <n v="32"/>
    <x v="1"/>
    <s v="Travel_Rarely"/>
    <n v="1401"/>
    <x v="0"/>
    <n v="4"/>
    <n v="2"/>
    <s v="Life Sciences"/>
    <n v="1"/>
    <n v="330"/>
    <x v="1"/>
    <s v="Female"/>
    <n v="56"/>
    <n v="3"/>
    <x v="1"/>
    <x v="6"/>
    <x v="1"/>
    <s v="Married"/>
    <n v="3931"/>
    <n v="20990"/>
    <n v="2"/>
    <s v="Y"/>
    <s v="No"/>
    <n v="11"/>
    <n v="3"/>
    <n v="1"/>
    <n v="80"/>
    <n v="1"/>
    <n v="6"/>
    <n v="5"/>
    <n v="3"/>
    <x v="9"/>
    <n v="3"/>
    <n v="1"/>
    <n v="2"/>
    <s v="26-35"/>
    <s v="Medium"/>
    <s v="3-5"/>
    <s v="Mid-Level"/>
    <s v="Standard"/>
    <s v="Low"/>
    <x v="0"/>
  </r>
  <r>
    <n v="32"/>
    <x v="0"/>
    <s v="Travel_Rarely"/>
    <n v="515"/>
    <x v="1"/>
    <n v="1"/>
    <n v="3"/>
    <s v="Life Sciences"/>
    <n v="1"/>
    <n v="331"/>
    <x v="2"/>
    <s v="Male"/>
    <n v="62"/>
    <n v="2"/>
    <x v="1"/>
    <x v="2"/>
    <x v="2"/>
    <s v="Single"/>
    <n v="3730"/>
    <n v="9571"/>
    <n v="0"/>
    <s v="Y"/>
    <s v="Yes"/>
    <n v="14"/>
    <n v="3"/>
    <n v="4"/>
    <n v="80"/>
    <n v="0"/>
    <n v="4"/>
    <n v="2"/>
    <n v="1"/>
    <x v="11"/>
    <n v="2"/>
    <n v="1"/>
    <n v="2"/>
    <s v="26-35"/>
    <s v="Medium"/>
    <s v="3-5"/>
    <s v="Junior"/>
    <s v="Standard"/>
    <s v="High"/>
    <x v="0"/>
  </r>
  <r>
    <n v="39"/>
    <x v="1"/>
    <s v="Travel_Rarely"/>
    <n v="1431"/>
    <x v="1"/>
    <n v="1"/>
    <n v="4"/>
    <s v="Medical"/>
    <n v="1"/>
    <n v="332"/>
    <x v="1"/>
    <s v="Female"/>
    <n v="96"/>
    <n v="3"/>
    <x v="1"/>
    <x v="2"/>
    <x v="2"/>
    <s v="Divorced"/>
    <n v="2232"/>
    <n v="15417"/>
    <n v="7"/>
    <s v="Y"/>
    <s v="No"/>
    <n v="14"/>
    <n v="3"/>
    <n v="3"/>
    <n v="80"/>
    <n v="3"/>
    <n v="7"/>
    <n v="1"/>
    <n v="3"/>
    <x v="11"/>
    <n v="2"/>
    <n v="1"/>
    <n v="2"/>
    <s v="36-45"/>
    <s v="Low"/>
    <s v="3-5"/>
    <s v="Mid-Level"/>
    <s v="Standard"/>
    <s v="High"/>
    <x v="0"/>
  </r>
  <r>
    <n v="32"/>
    <x v="1"/>
    <s v="Non-Travel"/>
    <n v="976"/>
    <x v="0"/>
    <n v="26"/>
    <n v="4"/>
    <s v="Marketing"/>
    <n v="1"/>
    <n v="333"/>
    <x v="1"/>
    <s v="Male"/>
    <n v="100"/>
    <n v="3"/>
    <x v="0"/>
    <x v="0"/>
    <x v="0"/>
    <s v="Married"/>
    <n v="4465"/>
    <n v="12069"/>
    <n v="0"/>
    <s v="Y"/>
    <s v="No"/>
    <n v="18"/>
    <n v="3"/>
    <n v="1"/>
    <n v="80"/>
    <n v="0"/>
    <n v="4"/>
    <n v="2"/>
    <n v="3"/>
    <x v="11"/>
    <n v="2"/>
    <n v="2"/>
    <n v="2"/>
    <s v="26-35"/>
    <s v="Medium"/>
    <s v="3-5"/>
    <s v="Junior"/>
    <s v="Standard"/>
    <s v="High"/>
    <x v="0"/>
  </r>
  <r>
    <n v="41"/>
    <x v="1"/>
    <s v="Travel_Rarely"/>
    <n v="1411"/>
    <x v="1"/>
    <n v="19"/>
    <n v="2"/>
    <s v="Life Sciences"/>
    <n v="1"/>
    <n v="334"/>
    <x v="1"/>
    <s v="Male"/>
    <n v="36"/>
    <n v="3"/>
    <x v="0"/>
    <x v="1"/>
    <x v="3"/>
    <s v="Divorced"/>
    <n v="3072"/>
    <n v="19877"/>
    <n v="2"/>
    <s v="Y"/>
    <s v="No"/>
    <n v="16"/>
    <n v="3"/>
    <n v="1"/>
    <n v="80"/>
    <n v="2"/>
    <n v="17"/>
    <n v="2"/>
    <n v="2"/>
    <x v="6"/>
    <n v="0"/>
    <n v="0"/>
    <n v="0"/>
    <s v="36-45"/>
    <s v="Medium"/>
    <s v="0-2"/>
    <s v="Senior"/>
    <s v="Standard"/>
    <s v="Low"/>
    <x v="0"/>
  </r>
  <r>
    <n v="40"/>
    <x v="1"/>
    <s v="Travel_Rarely"/>
    <n v="1300"/>
    <x v="1"/>
    <n v="24"/>
    <n v="2"/>
    <s v="Technical Degree"/>
    <n v="1"/>
    <n v="335"/>
    <x v="3"/>
    <s v="Male"/>
    <n v="62"/>
    <n v="3"/>
    <x v="0"/>
    <x v="1"/>
    <x v="0"/>
    <s v="Divorced"/>
    <n v="3319"/>
    <n v="24447"/>
    <n v="1"/>
    <s v="Y"/>
    <s v="No"/>
    <n v="17"/>
    <n v="3"/>
    <n v="1"/>
    <n v="80"/>
    <n v="2"/>
    <n v="9"/>
    <n v="3"/>
    <n v="3"/>
    <x v="7"/>
    <n v="8"/>
    <n v="4"/>
    <n v="7"/>
    <s v="36-45"/>
    <s v="Medium"/>
    <s v="6-10"/>
    <s v="Mid-Level"/>
    <s v="Standard"/>
    <s v="High"/>
    <x v="0"/>
  </r>
  <r>
    <n v="45"/>
    <x v="1"/>
    <s v="Travel_Rarely"/>
    <n v="252"/>
    <x v="1"/>
    <n v="1"/>
    <n v="3"/>
    <s v="Other"/>
    <n v="1"/>
    <n v="336"/>
    <x v="1"/>
    <s v="Male"/>
    <n v="70"/>
    <n v="4"/>
    <x v="4"/>
    <x v="5"/>
    <x v="0"/>
    <s v="Married"/>
    <n v="19202"/>
    <n v="15970"/>
    <n v="0"/>
    <s v="Y"/>
    <s v="No"/>
    <n v="11"/>
    <n v="3"/>
    <n v="3"/>
    <n v="80"/>
    <n v="1"/>
    <n v="25"/>
    <n v="2"/>
    <n v="3"/>
    <x v="25"/>
    <n v="0"/>
    <n v="1"/>
    <n v="7"/>
    <s v="36-45"/>
    <s v="Very High"/>
    <s v="16+"/>
    <s v="Senior"/>
    <s v="Standard"/>
    <s v="High"/>
    <x v="0"/>
  </r>
  <r>
    <n v="31"/>
    <x v="1"/>
    <s v="Travel_Frequently"/>
    <n v="1327"/>
    <x v="1"/>
    <n v="3"/>
    <n v="4"/>
    <s v="Medical"/>
    <n v="1"/>
    <n v="337"/>
    <x v="0"/>
    <s v="Male"/>
    <n v="73"/>
    <n v="3"/>
    <x v="2"/>
    <x v="7"/>
    <x v="2"/>
    <s v="Divorced"/>
    <n v="13675"/>
    <n v="13523"/>
    <n v="9"/>
    <s v="Y"/>
    <s v="No"/>
    <n v="12"/>
    <n v="3"/>
    <n v="1"/>
    <n v="80"/>
    <n v="1"/>
    <n v="9"/>
    <n v="3"/>
    <n v="3"/>
    <x v="4"/>
    <n v="2"/>
    <n v="2"/>
    <n v="2"/>
    <s v="26-35"/>
    <s v="Very High"/>
    <s v="0-2"/>
    <s v="Mid-Level"/>
    <s v="Standard"/>
    <s v="High"/>
    <x v="0"/>
  </r>
  <r>
    <n v="33"/>
    <x v="1"/>
    <s v="Travel_Rarely"/>
    <n v="832"/>
    <x v="1"/>
    <n v="5"/>
    <n v="4"/>
    <s v="Life Sciences"/>
    <n v="1"/>
    <n v="338"/>
    <x v="1"/>
    <s v="Female"/>
    <n v="63"/>
    <n v="2"/>
    <x v="1"/>
    <x v="1"/>
    <x v="0"/>
    <s v="Married"/>
    <n v="2911"/>
    <n v="14776"/>
    <n v="1"/>
    <s v="Y"/>
    <s v="No"/>
    <n v="13"/>
    <n v="3"/>
    <n v="3"/>
    <n v="80"/>
    <n v="1"/>
    <n v="2"/>
    <n v="2"/>
    <n v="2"/>
    <x v="4"/>
    <n v="2"/>
    <n v="0"/>
    <n v="2"/>
    <s v="26-35"/>
    <s v="Low"/>
    <s v="0-2"/>
    <s v="Junior"/>
    <s v="Standard"/>
    <s v="High"/>
    <x v="0"/>
  </r>
  <r>
    <n v="34"/>
    <x v="1"/>
    <s v="Travel_Rarely"/>
    <n v="470"/>
    <x v="1"/>
    <n v="2"/>
    <n v="4"/>
    <s v="Life Sciences"/>
    <n v="1"/>
    <n v="339"/>
    <x v="2"/>
    <s v="Male"/>
    <n v="84"/>
    <n v="2"/>
    <x v="0"/>
    <x v="3"/>
    <x v="3"/>
    <s v="Married"/>
    <n v="5957"/>
    <n v="23687"/>
    <n v="6"/>
    <s v="Y"/>
    <s v="No"/>
    <n v="13"/>
    <n v="3"/>
    <n v="2"/>
    <n v="80"/>
    <n v="1"/>
    <n v="13"/>
    <n v="3"/>
    <n v="3"/>
    <x v="19"/>
    <n v="9"/>
    <n v="5"/>
    <n v="9"/>
    <s v="26-35"/>
    <s v="Medium"/>
    <s v="11-15"/>
    <s v="Mid-Level"/>
    <s v="Standard"/>
    <s v="Low"/>
    <x v="0"/>
  </r>
  <r>
    <n v="37"/>
    <x v="1"/>
    <s v="Travel_Rarely"/>
    <n v="1017"/>
    <x v="1"/>
    <n v="1"/>
    <n v="2"/>
    <s v="Medical"/>
    <n v="1"/>
    <n v="340"/>
    <x v="1"/>
    <s v="Female"/>
    <n v="83"/>
    <n v="2"/>
    <x v="1"/>
    <x v="1"/>
    <x v="3"/>
    <s v="Married"/>
    <n v="3920"/>
    <n v="18697"/>
    <n v="2"/>
    <s v="Y"/>
    <s v="No"/>
    <n v="14"/>
    <n v="3"/>
    <n v="1"/>
    <n v="80"/>
    <n v="1"/>
    <n v="17"/>
    <n v="2"/>
    <n v="2"/>
    <x v="11"/>
    <n v="1"/>
    <n v="0"/>
    <n v="2"/>
    <s v="36-45"/>
    <s v="Medium"/>
    <s v="3-5"/>
    <s v="Senior"/>
    <s v="Standard"/>
    <s v="Low"/>
    <x v="0"/>
  </r>
  <r>
    <n v="45"/>
    <x v="1"/>
    <s v="Travel_Frequently"/>
    <n v="1199"/>
    <x v="1"/>
    <n v="7"/>
    <n v="4"/>
    <s v="Life Sciences"/>
    <n v="1"/>
    <n v="341"/>
    <x v="3"/>
    <s v="Male"/>
    <n v="77"/>
    <n v="4"/>
    <x v="0"/>
    <x v="3"/>
    <x v="2"/>
    <s v="Married"/>
    <n v="6434"/>
    <n v="5118"/>
    <n v="4"/>
    <s v="Y"/>
    <s v="No"/>
    <n v="17"/>
    <n v="3"/>
    <n v="4"/>
    <n v="80"/>
    <n v="1"/>
    <n v="9"/>
    <n v="1"/>
    <n v="3"/>
    <x v="11"/>
    <n v="2"/>
    <n v="0"/>
    <n v="2"/>
    <s v="36-45"/>
    <s v="High"/>
    <s v="3-5"/>
    <s v="Mid-Level"/>
    <s v="Standard"/>
    <s v="High"/>
    <x v="0"/>
  </r>
  <r>
    <n v="37"/>
    <x v="0"/>
    <s v="Travel_Frequently"/>
    <n v="504"/>
    <x v="1"/>
    <n v="10"/>
    <n v="3"/>
    <s v="Medical"/>
    <n v="1"/>
    <n v="342"/>
    <x v="3"/>
    <s v="Male"/>
    <n v="61"/>
    <n v="3"/>
    <x v="2"/>
    <x v="3"/>
    <x v="2"/>
    <s v="Divorced"/>
    <n v="10048"/>
    <n v="22573"/>
    <n v="6"/>
    <s v="Y"/>
    <s v="No"/>
    <n v="11"/>
    <n v="3"/>
    <n v="2"/>
    <n v="80"/>
    <n v="2"/>
    <n v="17"/>
    <n v="5"/>
    <n v="3"/>
    <x v="6"/>
    <n v="0"/>
    <n v="0"/>
    <n v="0"/>
    <s v="36-45"/>
    <s v="Very High"/>
    <s v="0-2"/>
    <s v="Senior"/>
    <s v="Standard"/>
    <s v="High"/>
    <x v="0"/>
  </r>
  <r>
    <n v="39"/>
    <x v="1"/>
    <s v="Travel_Frequently"/>
    <n v="505"/>
    <x v="1"/>
    <n v="2"/>
    <n v="4"/>
    <s v="Technical Degree"/>
    <n v="1"/>
    <n v="343"/>
    <x v="1"/>
    <s v="Female"/>
    <n v="64"/>
    <n v="3"/>
    <x v="2"/>
    <x v="4"/>
    <x v="2"/>
    <s v="Single"/>
    <n v="10938"/>
    <n v="6420"/>
    <n v="0"/>
    <s v="Y"/>
    <s v="No"/>
    <n v="25"/>
    <n v="4"/>
    <n v="4"/>
    <n v="80"/>
    <n v="0"/>
    <n v="20"/>
    <n v="1"/>
    <n v="3"/>
    <x v="27"/>
    <n v="6"/>
    <n v="11"/>
    <n v="8"/>
    <s v="36-45"/>
    <s v="Very High"/>
    <s v="16+"/>
    <s v="Senior"/>
    <s v="Excellent"/>
    <s v="High"/>
    <x v="0"/>
  </r>
  <r>
    <n v="29"/>
    <x v="1"/>
    <s v="Travel_Rarely"/>
    <n v="665"/>
    <x v="1"/>
    <n v="15"/>
    <n v="3"/>
    <s v="Life Sciences"/>
    <n v="1"/>
    <n v="346"/>
    <x v="1"/>
    <s v="Male"/>
    <n v="60"/>
    <n v="3"/>
    <x v="1"/>
    <x v="1"/>
    <x v="0"/>
    <s v="Single"/>
    <n v="2340"/>
    <n v="22673"/>
    <n v="1"/>
    <s v="Y"/>
    <s v="No"/>
    <n v="19"/>
    <n v="3"/>
    <n v="1"/>
    <n v="80"/>
    <n v="0"/>
    <n v="6"/>
    <n v="1"/>
    <n v="3"/>
    <x v="0"/>
    <n v="5"/>
    <n v="1"/>
    <n v="5"/>
    <s v="26-35"/>
    <s v="Low"/>
    <s v="6-10"/>
    <s v="Mid-Level"/>
    <s v="Standard"/>
    <s v="High"/>
    <x v="0"/>
  </r>
  <r>
    <n v="42"/>
    <x v="1"/>
    <s v="Travel_Rarely"/>
    <n v="916"/>
    <x v="1"/>
    <n v="17"/>
    <n v="2"/>
    <s v="Life Sciences"/>
    <n v="1"/>
    <n v="347"/>
    <x v="2"/>
    <s v="Female"/>
    <n v="82"/>
    <n v="4"/>
    <x v="0"/>
    <x v="1"/>
    <x v="3"/>
    <s v="Single"/>
    <n v="6545"/>
    <n v="23016"/>
    <n v="3"/>
    <s v="Y"/>
    <s v="Yes"/>
    <n v="13"/>
    <n v="3"/>
    <n v="3"/>
    <n v="80"/>
    <n v="0"/>
    <n v="10"/>
    <n v="1"/>
    <n v="3"/>
    <x v="11"/>
    <n v="2"/>
    <n v="0"/>
    <n v="2"/>
    <s v="36-45"/>
    <s v="High"/>
    <s v="3-5"/>
    <s v="Mid-Level"/>
    <s v="Standard"/>
    <s v="Low"/>
    <x v="0"/>
  </r>
  <r>
    <n v="29"/>
    <x v="1"/>
    <s v="Travel_Rarely"/>
    <n v="1247"/>
    <x v="0"/>
    <n v="20"/>
    <n v="2"/>
    <s v="Marketing"/>
    <n v="1"/>
    <n v="349"/>
    <x v="2"/>
    <s v="Male"/>
    <n v="45"/>
    <n v="3"/>
    <x v="0"/>
    <x v="0"/>
    <x v="0"/>
    <s v="Divorced"/>
    <n v="6931"/>
    <n v="10732"/>
    <n v="2"/>
    <s v="Y"/>
    <s v="No"/>
    <n v="14"/>
    <n v="3"/>
    <n v="4"/>
    <n v="80"/>
    <n v="1"/>
    <n v="10"/>
    <n v="2"/>
    <n v="3"/>
    <x v="11"/>
    <n v="2"/>
    <n v="0"/>
    <n v="2"/>
    <s v="26-35"/>
    <s v="High"/>
    <s v="3-5"/>
    <s v="Mid-Level"/>
    <s v="Standard"/>
    <s v="High"/>
    <x v="0"/>
  </r>
  <r>
    <n v="25"/>
    <x v="1"/>
    <s v="Travel_Rarely"/>
    <n v="685"/>
    <x v="1"/>
    <n v="1"/>
    <n v="3"/>
    <s v="Life Sciences"/>
    <n v="1"/>
    <n v="350"/>
    <x v="3"/>
    <s v="Female"/>
    <n v="62"/>
    <n v="3"/>
    <x v="0"/>
    <x v="3"/>
    <x v="2"/>
    <s v="Married"/>
    <n v="4898"/>
    <n v="7505"/>
    <n v="0"/>
    <s v="Y"/>
    <s v="No"/>
    <n v="12"/>
    <n v="3"/>
    <n v="4"/>
    <n v="80"/>
    <n v="2"/>
    <n v="5"/>
    <n v="3"/>
    <n v="3"/>
    <x v="9"/>
    <n v="2"/>
    <n v="1"/>
    <n v="2"/>
    <s v="18-25"/>
    <s v="Medium"/>
    <s v="3-5"/>
    <s v="Junior"/>
    <s v="Standard"/>
    <s v="High"/>
    <x v="0"/>
  </r>
  <r>
    <n v="42"/>
    <x v="1"/>
    <s v="Travel_Rarely"/>
    <n v="269"/>
    <x v="1"/>
    <n v="2"/>
    <n v="3"/>
    <s v="Medical"/>
    <n v="1"/>
    <n v="351"/>
    <x v="2"/>
    <s v="Female"/>
    <n v="56"/>
    <n v="2"/>
    <x v="1"/>
    <x v="2"/>
    <x v="3"/>
    <s v="Divorced"/>
    <n v="2593"/>
    <n v="8007"/>
    <n v="0"/>
    <s v="Y"/>
    <s v="Yes"/>
    <n v="11"/>
    <n v="3"/>
    <n v="3"/>
    <n v="80"/>
    <n v="1"/>
    <n v="10"/>
    <n v="4"/>
    <n v="3"/>
    <x v="7"/>
    <n v="6"/>
    <n v="7"/>
    <n v="8"/>
    <s v="36-45"/>
    <s v="Low"/>
    <s v="6-10"/>
    <s v="Mid-Level"/>
    <s v="Standard"/>
    <s v="Low"/>
    <x v="0"/>
  </r>
  <r>
    <n v="40"/>
    <x v="1"/>
    <s v="Travel_Rarely"/>
    <n v="1416"/>
    <x v="1"/>
    <n v="2"/>
    <n v="2"/>
    <s v="Medical"/>
    <n v="1"/>
    <n v="352"/>
    <x v="3"/>
    <s v="Male"/>
    <n v="49"/>
    <n v="3"/>
    <x v="4"/>
    <x v="7"/>
    <x v="2"/>
    <s v="Divorced"/>
    <n v="19436"/>
    <n v="5949"/>
    <n v="0"/>
    <s v="Y"/>
    <s v="No"/>
    <n v="19"/>
    <n v="3"/>
    <n v="4"/>
    <n v="80"/>
    <n v="1"/>
    <n v="22"/>
    <n v="5"/>
    <n v="3"/>
    <x v="17"/>
    <n v="7"/>
    <n v="3"/>
    <n v="9"/>
    <s v="36-45"/>
    <s v="Very High"/>
    <s v="16+"/>
    <s v="Senior"/>
    <s v="Standard"/>
    <s v="High"/>
    <x v="0"/>
  </r>
  <r>
    <n v="51"/>
    <x v="1"/>
    <s v="Travel_Rarely"/>
    <n v="833"/>
    <x v="1"/>
    <n v="1"/>
    <n v="3"/>
    <s v="Life Sciences"/>
    <n v="1"/>
    <n v="353"/>
    <x v="1"/>
    <s v="Male"/>
    <n v="96"/>
    <n v="3"/>
    <x v="1"/>
    <x v="1"/>
    <x v="0"/>
    <s v="Married"/>
    <n v="2723"/>
    <n v="23231"/>
    <n v="1"/>
    <s v="Y"/>
    <s v="No"/>
    <n v="11"/>
    <n v="3"/>
    <n v="2"/>
    <n v="80"/>
    <n v="0"/>
    <n v="1"/>
    <n v="0"/>
    <n v="2"/>
    <x v="6"/>
    <n v="0"/>
    <n v="0"/>
    <n v="0"/>
    <s v="46-55"/>
    <s v="Low"/>
    <s v="0-2"/>
    <s v="Junior"/>
    <s v="Standard"/>
    <s v="High"/>
    <x v="0"/>
  </r>
  <r>
    <n v="31"/>
    <x v="0"/>
    <s v="Travel_Frequently"/>
    <n v="307"/>
    <x v="1"/>
    <n v="29"/>
    <n v="2"/>
    <s v="Medical"/>
    <n v="1"/>
    <n v="355"/>
    <x v="1"/>
    <s v="Male"/>
    <n v="71"/>
    <n v="2"/>
    <x v="1"/>
    <x v="2"/>
    <x v="1"/>
    <s v="Single"/>
    <n v="3479"/>
    <n v="11652"/>
    <n v="0"/>
    <s v="Y"/>
    <s v="No"/>
    <n v="11"/>
    <n v="3"/>
    <n v="2"/>
    <n v="80"/>
    <n v="0"/>
    <n v="6"/>
    <n v="2"/>
    <n v="4"/>
    <x v="8"/>
    <n v="4"/>
    <n v="1"/>
    <n v="4"/>
    <s v="26-35"/>
    <s v="Medium"/>
    <s v="3-5"/>
    <s v="Mid-Level"/>
    <s v="Standard"/>
    <s v="Low"/>
    <x v="0"/>
  </r>
  <r>
    <n v="32"/>
    <x v="1"/>
    <s v="Travel_Frequently"/>
    <n v="1311"/>
    <x v="1"/>
    <n v="7"/>
    <n v="3"/>
    <s v="Life Sciences"/>
    <n v="1"/>
    <n v="359"/>
    <x v="0"/>
    <s v="Male"/>
    <n v="100"/>
    <n v="4"/>
    <x v="1"/>
    <x v="2"/>
    <x v="1"/>
    <s v="Married"/>
    <n v="2794"/>
    <n v="26062"/>
    <n v="1"/>
    <s v="Y"/>
    <s v="No"/>
    <n v="20"/>
    <n v="4"/>
    <n v="3"/>
    <n v="80"/>
    <n v="0"/>
    <n v="5"/>
    <n v="3"/>
    <n v="1"/>
    <x v="8"/>
    <n v="1"/>
    <n v="0"/>
    <n v="3"/>
    <s v="26-35"/>
    <s v="Low"/>
    <s v="3-5"/>
    <s v="Junior"/>
    <s v="Excellent"/>
    <s v="Low"/>
    <x v="0"/>
  </r>
  <r>
    <n v="38"/>
    <x v="1"/>
    <s v="Non-Travel"/>
    <n v="1327"/>
    <x v="0"/>
    <n v="2"/>
    <n v="2"/>
    <s v="Life Sciences"/>
    <n v="1"/>
    <n v="361"/>
    <x v="2"/>
    <s v="Male"/>
    <n v="39"/>
    <n v="2"/>
    <x v="0"/>
    <x v="0"/>
    <x v="0"/>
    <s v="Married"/>
    <n v="5249"/>
    <n v="19682"/>
    <n v="3"/>
    <s v="Y"/>
    <s v="No"/>
    <n v="18"/>
    <n v="3"/>
    <n v="4"/>
    <n v="80"/>
    <n v="1"/>
    <n v="13"/>
    <n v="0"/>
    <n v="3"/>
    <x v="3"/>
    <n v="7"/>
    <n v="7"/>
    <n v="5"/>
    <s v="36-45"/>
    <s v="Medium"/>
    <s v="6-10"/>
    <s v="Mid-Level"/>
    <s v="Standard"/>
    <s v="High"/>
    <x v="0"/>
  </r>
  <r>
    <n v="32"/>
    <x v="1"/>
    <s v="Travel_Rarely"/>
    <n v="128"/>
    <x v="1"/>
    <n v="2"/>
    <n v="1"/>
    <s v="Technical Degree"/>
    <n v="1"/>
    <n v="362"/>
    <x v="2"/>
    <s v="Male"/>
    <n v="84"/>
    <n v="2"/>
    <x v="0"/>
    <x v="2"/>
    <x v="3"/>
    <s v="Single"/>
    <n v="2176"/>
    <n v="19737"/>
    <n v="4"/>
    <s v="Y"/>
    <s v="No"/>
    <n v="13"/>
    <n v="3"/>
    <n v="4"/>
    <n v="80"/>
    <n v="0"/>
    <n v="9"/>
    <n v="5"/>
    <n v="3"/>
    <x v="0"/>
    <n v="2"/>
    <n v="0"/>
    <n v="4"/>
    <s v="26-35"/>
    <s v="Low"/>
    <s v="6-10"/>
    <s v="Mid-Level"/>
    <s v="Standard"/>
    <s v="Low"/>
    <x v="0"/>
  </r>
  <r>
    <n v="46"/>
    <x v="1"/>
    <s v="Travel_Rarely"/>
    <n v="488"/>
    <x v="0"/>
    <n v="2"/>
    <n v="3"/>
    <s v="Technical Degree"/>
    <n v="1"/>
    <n v="363"/>
    <x v="1"/>
    <s v="Female"/>
    <n v="75"/>
    <n v="1"/>
    <x v="3"/>
    <x v="5"/>
    <x v="1"/>
    <s v="Married"/>
    <n v="16872"/>
    <n v="14977"/>
    <n v="3"/>
    <s v="Y"/>
    <s v="Yes"/>
    <n v="12"/>
    <n v="3"/>
    <n v="2"/>
    <n v="80"/>
    <n v="1"/>
    <n v="28"/>
    <n v="2"/>
    <n v="2"/>
    <x v="5"/>
    <n v="7"/>
    <n v="7"/>
    <n v="7"/>
    <s v="46-55"/>
    <s v="Very High"/>
    <s v="6-10"/>
    <s v="Senior"/>
    <s v="Standard"/>
    <s v="Low"/>
    <x v="0"/>
  </r>
  <r>
    <n v="28"/>
    <x v="0"/>
    <s v="Travel_Rarely"/>
    <n v="529"/>
    <x v="1"/>
    <n v="2"/>
    <n v="4"/>
    <s v="Life Sciences"/>
    <n v="1"/>
    <n v="364"/>
    <x v="3"/>
    <s v="Male"/>
    <n v="79"/>
    <n v="3"/>
    <x v="1"/>
    <x v="2"/>
    <x v="2"/>
    <s v="Single"/>
    <n v="3485"/>
    <n v="14935"/>
    <n v="2"/>
    <s v="Y"/>
    <s v="No"/>
    <n v="11"/>
    <n v="3"/>
    <n v="3"/>
    <n v="80"/>
    <n v="0"/>
    <n v="5"/>
    <n v="5"/>
    <n v="1"/>
    <x v="2"/>
    <n v="0"/>
    <n v="0"/>
    <n v="0"/>
    <s v="26-35"/>
    <s v="Medium"/>
    <s v="0-2"/>
    <s v="Junior"/>
    <s v="Standard"/>
    <s v="High"/>
    <x v="0"/>
  </r>
  <r>
    <n v="29"/>
    <x v="1"/>
    <s v="Travel_Rarely"/>
    <n v="1210"/>
    <x v="0"/>
    <n v="2"/>
    <n v="3"/>
    <s v="Medical"/>
    <n v="1"/>
    <n v="366"/>
    <x v="3"/>
    <s v="Male"/>
    <n v="78"/>
    <n v="2"/>
    <x v="0"/>
    <x v="0"/>
    <x v="1"/>
    <s v="Married"/>
    <n v="6644"/>
    <n v="3687"/>
    <n v="2"/>
    <s v="Y"/>
    <s v="No"/>
    <n v="19"/>
    <n v="3"/>
    <n v="2"/>
    <n v="80"/>
    <n v="2"/>
    <n v="10"/>
    <n v="2"/>
    <n v="3"/>
    <x v="2"/>
    <n v="0"/>
    <n v="0"/>
    <n v="0"/>
    <s v="26-35"/>
    <s v="High"/>
    <s v="0-2"/>
    <s v="Mid-Level"/>
    <s v="Standard"/>
    <s v="Low"/>
    <x v="0"/>
  </r>
  <r>
    <n v="31"/>
    <x v="1"/>
    <s v="Travel_Rarely"/>
    <n v="1463"/>
    <x v="1"/>
    <n v="23"/>
    <n v="3"/>
    <s v="Medical"/>
    <n v="1"/>
    <n v="367"/>
    <x v="0"/>
    <s v="Male"/>
    <n v="64"/>
    <n v="2"/>
    <x v="0"/>
    <x v="4"/>
    <x v="0"/>
    <s v="Married"/>
    <n v="5582"/>
    <n v="14408"/>
    <n v="0"/>
    <s v="Y"/>
    <s v="No"/>
    <n v="21"/>
    <n v="4"/>
    <n v="2"/>
    <n v="80"/>
    <n v="1"/>
    <n v="10"/>
    <n v="2"/>
    <n v="3"/>
    <x v="7"/>
    <n v="0"/>
    <n v="7"/>
    <n v="8"/>
    <s v="26-35"/>
    <s v="Medium"/>
    <s v="6-10"/>
    <s v="Mid-Level"/>
    <s v="Excellent"/>
    <s v="High"/>
    <x v="0"/>
  </r>
  <r>
    <n v="25"/>
    <x v="1"/>
    <s v="Non-Travel"/>
    <n v="675"/>
    <x v="1"/>
    <n v="5"/>
    <n v="2"/>
    <s v="Life Sciences"/>
    <n v="1"/>
    <n v="369"/>
    <x v="0"/>
    <s v="Male"/>
    <n v="85"/>
    <n v="4"/>
    <x v="0"/>
    <x v="4"/>
    <x v="3"/>
    <s v="Divorced"/>
    <n v="4000"/>
    <n v="18384"/>
    <n v="1"/>
    <s v="Y"/>
    <s v="No"/>
    <n v="12"/>
    <n v="3"/>
    <n v="4"/>
    <n v="80"/>
    <n v="2"/>
    <n v="6"/>
    <n v="2"/>
    <n v="3"/>
    <x v="0"/>
    <n v="3"/>
    <n v="1"/>
    <n v="5"/>
    <s v="18-25"/>
    <s v="Medium"/>
    <s v="6-10"/>
    <s v="Mid-Level"/>
    <s v="Standard"/>
    <s v="Low"/>
    <x v="0"/>
  </r>
  <r>
    <n v="45"/>
    <x v="1"/>
    <s v="Travel_Rarely"/>
    <n v="1385"/>
    <x v="1"/>
    <n v="20"/>
    <n v="2"/>
    <s v="Medical"/>
    <n v="1"/>
    <n v="372"/>
    <x v="1"/>
    <s v="Male"/>
    <n v="79"/>
    <n v="3"/>
    <x v="3"/>
    <x v="4"/>
    <x v="0"/>
    <s v="Married"/>
    <n v="13496"/>
    <n v="7501"/>
    <n v="0"/>
    <s v="Y"/>
    <s v="Yes"/>
    <n v="14"/>
    <n v="3"/>
    <n v="2"/>
    <n v="80"/>
    <n v="0"/>
    <n v="21"/>
    <n v="2"/>
    <n v="3"/>
    <x v="23"/>
    <n v="7"/>
    <n v="4"/>
    <n v="10"/>
    <s v="36-45"/>
    <s v="Very High"/>
    <s v="16+"/>
    <s v="Senior"/>
    <s v="Standard"/>
    <s v="High"/>
    <x v="0"/>
  </r>
  <r>
    <n v="36"/>
    <x v="1"/>
    <s v="Travel_Rarely"/>
    <n v="1403"/>
    <x v="1"/>
    <n v="6"/>
    <n v="3"/>
    <s v="Life Sciences"/>
    <n v="1"/>
    <n v="373"/>
    <x v="2"/>
    <s v="Male"/>
    <n v="47"/>
    <n v="3"/>
    <x v="1"/>
    <x v="2"/>
    <x v="0"/>
    <s v="Married"/>
    <n v="3210"/>
    <n v="20251"/>
    <n v="0"/>
    <s v="Y"/>
    <s v="No"/>
    <n v="11"/>
    <n v="3"/>
    <n v="3"/>
    <n v="80"/>
    <n v="1"/>
    <n v="16"/>
    <n v="4"/>
    <n v="3"/>
    <x v="15"/>
    <n v="13"/>
    <n v="10"/>
    <n v="11"/>
    <s v="36-45"/>
    <s v="Medium"/>
    <s v="11-15"/>
    <s v="Senior"/>
    <s v="Standard"/>
    <s v="High"/>
    <x v="0"/>
  </r>
  <r>
    <n v="55"/>
    <x v="1"/>
    <s v="Travel_Rarely"/>
    <n v="452"/>
    <x v="1"/>
    <n v="1"/>
    <n v="3"/>
    <s v="Medical"/>
    <n v="1"/>
    <n v="374"/>
    <x v="2"/>
    <s v="Male"/>
    <n v="81"/>
    <n v="3"/>
    <x v="4"/>
    <x v="5"/>
    <x v="3"/>
    <s v="Single"/>
    <n v="19045"/>
    <n v="18938"/>
    <n v="0"/>
    <s v="Y"/>
    <s v="Yes"/>
    <n v="14"/>
    <n v="3"/>
    <n v="3"/>
    <n v="80"/>
    <n v="0"/>
    <n v="37"/>
    <n v="2"/>
    <n v="3"/>
    <x v="28"/>
    <n v="10"/>
    <n v="4"/>
    <n v="13"/>
    <s v="46-55"/>
    <s v="Very High"/>
    <s v="16+"/>
    <s v="Senior"/>
    <s v="Standard"/>
    <s v="Low"/>
    <x v="0"/>
  </r>
  <r>
    <n v="47"/>
    <x v="0"/>
    <s v="Non-Travel"/>
    <n v="666"/>
    <x v="1"/>
    <n v="29"/>
    <n v="4"/>
    <s v="Life Sciences"/>
    <n v="1"/>
    <n v="376"/>
    <x v="3"/>
    <s v="Male"/>
    <n v="88"/>
    <n v="3"/>
    <x v="2"/>
    <x v="5"/>
    <x v="1"/>
    <s v="Married"/>
    <n v="11849"/>
    <n v="10268"/>
    <n v="1"/>
    <s v="Y"/>
    <s v="Yes"/>
    <n v="12"/>
    <n v="3"/>
    <n v="4"/>
    <n v="80"/>
    <n v="1"/>
    <n v="10"/>
    <n v="2"/>
    <n v="2"/>
    <x v="1"/>
    <n v="7"/>
    <n v="9"/>
    <n v="9"/>
    <s v="46-55"/>
    <s v="Very High"/>
    <s v="6-10"/>
    <s v="Mid-Level"/>
    <s v="Standard"/>
    <s v="Low"/>
    <x v="0"/>
  </r>
  <r>
    <n v="28"/>
    <x v="1"/>
    <s v="Travel_Rarely"/>
    <n v="1158"/>
    <x v="1"/>
    <n v="9"/>
    <n v="3"/>
    <s v="Medical"/>
    <n v="1"/>
    <n v="377"/>
    <x v="2"/>
    <s v="Male"/>
    <n v="94"/>
    <n v="3"/>
    <x v="1"/>
    <x v="1"/>
    <x v="0"/>
    <s v="Married"/>
    <n v="2070"/>
    <n v="2613"/>
    <n v="1"/>
    <s v="Y"/>
    <s v="No"/>
    <n v="23"/>
    <n v="4"/>
    <n v="4"/>
    <n v="80"/>
    <n v="1"/>
    <n v="5"/>
    <n v="3"/>
    <n v="2"/>
    <x v="8"/>
    <n v="2"/>
    <n v="0"/>
    <n v="4"/>
    <s v="26-35"/>
    <s v="Low"/>
    <s v="3-5"/>
    <s v="Junior"/>
    <s v="Excellent"/>
    <s v="High"/>
    <x v="0"/>
  </r>
  <r>
    <n v="37"/>
    <x v="1"/>
    <s v="Travel_Rarely"/>
    <n v="228"/>
    <x v="0"/>
    <n v="6"/>
    <n v="4"/>
    <s v="Medical"/>
    <n v="1"/>
    <n v="378"/>
    <x v="1"/>
    <s v="Male"/>
    <n v="98"/>
    <n v="3"/>
    <x v="0"/>
    <x v="0"/>
    <x v="0"/>
    <s v="Married"/>
    <n v="6502"/>
    <n v="22825"/>
    <n v="4"/>
    <s v="Y"/>
    <s v="No"/>
    <n v="14"/>
    <n v="3"/>
    <n v="2"/>
    <n v="80"/>
    <n v="1"/>
    <n v="7"/>
    <n v="5"/>
    <n v="4"/>
    <x v="8"/>
    <n v="4"/>
    <n v="0"/>
    <n v="1"/>
    <s v="36-45"/>
    <s v="High"/>
    <s v="3-5"/>
    <s v="Mid-Level"/>
    <s v="Standard"/>
    <s v="High"/>
    <x v="0"/>
  </r>
  <r>
    <n v="21"/>
    <x v="1"/>
    <s v="Travel_Rarely"/>
    <n v="996"/>
    <x v="1"/>
    <n v="3"/>
    <n v="2"/>
    <s v="Medical"/>
    <n v="1"/>
    <n v="379"/>
    <x v="2"/>
    <s v="Male"/>
    <n v="100"/>
    <n v="2"/>
    <x v="1"/>
    <x v="1"/>
    <x v="2"/>
    <s v="Single"/>
    <n v="3230"/>
    <n v="10531"/>
    <n v="1"/>
    <s v="Y"/>
    <s v="No"/>
    <n v="17"/>
    <n v="3"/>
    <n v="1"/>
    <n v="80"/>
    <n v="0"/>
    <n v="3"/>
    <n v="4"/>
    <n v="4"/>
    <x v="11"/>
    <n v="2"/>
    <n v="1"/>
    <n v="0"/>
    <s v="18-25"/>
    <s v="Medium"/>
    <s v="3-5"/>
    <s v="Junior"/>
    <s v="Standard"/>
    <s v="High"/>
    <x v="0"/>
  </r>
  <r>
    <n v="37"/>
    <x v="1"/>
    <s v="Non-Travel"/>
    <n v="728"/>
    <x v="1"/>
    <n v="1"/>
    <n v="4"/>
    <s v="Medical"/>
    <n v="1"/>
    <n v="380"/>
    <x v="3"/>
    <s v="Female"/>
    <n v="80"/>
    <n v="3"/>
    <x v="2"/>
    <x v="7"/>
    <x v="0"/>
    <s v="Divorced"/>
    <n v="13603"/>
    <n v="11677"/>
    <n v="2"/>
    <s v="Y"/>
    <s v="Yes"/>
    <n v="18"/>
    <n v="3"/>
    <n v="1"/>
    <n v="80"/>
    <n v="2"/>
    <n v="15"/>
    <n v="2"/>
    <n v="3"/>
    <x v="8"/>
    <n v="2"/>
    <n v="0"/>
    <n v="2"/>
    <s v="36-45"/>
    <s v="Very High"/>
    <s v="3-5"/>
    <s v="Mid-Level"/>
    <s v="Standard"/>
    <s v="High"/>
    <x v="0"/>
  </r>
  <r>
    <n v="35"/>
    <x v="1"/>
    <s v="Travel_Rarely"/>
    <n v="1315"/>
    <x v="1"/>
    <n v="22"/>
    <n v="3"/>
    <s v="Life Sciences"/>
    <n v="1"/>
    <n v="381"/>
    <x v="0"/>
    <s v="Female"/>
    <n v="71"/>
    <n v="4"/>
    <x v="2"/>
    <x v="5"/>
    <x v="1"/>
    <s v="Divorced"/>
    <n v="11996"/>
    <n v="19100"/>
    <n v="7"/>
    <s v="Y"/>
    <s v="No"/>
    <n v="18"/>
    <n v="3"/>
    <n v="2"/>
    <n v="80"/>
    <n v="1"/>
    <n v="10"/>
    <n v="6"/>
    <n v="2"/>
    <x v="5"/>
    <n v="7"/>
    <n v="6"/>
    <n v="2"/>
    <s v="26-35"/>
    <s v="Very High"/>
    <s v="6-10"/>
    <s v="Mid-Level"/>
    <s v="Standard"/>
    <s v="Low"/>
    <x v="0"/>
  </r>
  <r>
    <n v="38"/>
    <x v="1"/>
    <s v="Travel_Rarely"/>
    <n v="322"/>
    <x v="0"/>
    <n v="7"/>
    <n v="2"/>
    <s v="Medical"/>
    <n v="1"/>
    <n v="382"/>
    <x v="3"/>
    <s v="Female"/>
    <n v="44"/>
    <n v="4"/>
    <x v="0"/>
    <x v="0"/>
    <x v="3"/>
    <s v="Divorced"/>
    <n v="5605"/>
    <n v="19191"/>
    <n v="1"/>
    <s v="Y"/>
    <s v="Yes"/>
    <n v="24"/>
    <n v="4"/>
    <n v="3"/>
    <n v="80"/>
    <n v="1"/>
    <n v="8"/>
    <n v="3"/>
    <n v="3"/>
    <x v="3"/>
    <n v="0"/>
    <n v="7"/>
    <n v="7"/>
    <s v="36-45"/>
    <s v="Medium"/>
    <s v="6-10"/>
    <s v="Mid-Level"/>
    <s v="Excellent"/>
    <s v="Low"/>
    <x v="0"/>
  </r>
  <r>
    <n v="26"/>
    <x v="1"/>
    <s v="Travel_Frequently"/>
    <n v="1479"/>
    <x v="1"/>
    <n v="1"/>
    <n v="3"/>
    <s v="Life Sciences"/>
    <n v="1"/>
    <n v="384"/>
    <x v="1"/>
    <s v="Female"/>
    <n v="84"/>
    <n v="3"/>
    <x v="0"/>
    <x v="3"/>
    <x v="1"/>
    <s v="Divorced"/>
    <n v="6397"/>
    <n v="26767"/>
    <n v="1"/>
    <s v="Y"/>
    <s v="No"/>
    <n v="20"/>
    <n v="4"/>
    <n v="1"/>
    <n v="80"/>
    <n v="1"/>
    <n v="6"/>
    <n v="6"/>
    <n v="1"/>
    <x v="0"/>
    <n v="5"/>
    <n v="1"/>
    <n v="4"/>
    <s v="26-35"/>
    <s v="High"/>
    <s v="6-10"/>
    <s v="Mid-Level"/>
    <s v="Excellent"/>
    <s v="Low"/>
    <x v="0"/>
  </r>
  <r>
    <n v="50"/>
    <x v="1"/>
    <s v="Travel_Rarely"/>
    <n v="797"/>
    <x v="1"/>
    <n v="4"/>
    <n v="1"/>
    <s v="Life Sciences"/>
    <n v="1"/>
    <n v="385"/>
    <x v="3"/>
    <s v="Male"/>
    <n v="96"/>
    <n v="3"/>
    <x v="4"/>
    <x v="7"/>
    <x v="1"/>
    <s v="Divorced"/>
    <n v="19144"/>
    <n v="15815"/>
    <n v="3"/>
    <s v="Y"/>
    <s v="No"/>
    <n v="14"/>
    <n v="3"/>
    <n v="1"/>
    <n v="80"/>
    <n v="2"/>
    <n v="28"/>
    <n v="4"/>
    <n v="2"/>
    <x v="1"/>
    <n v="4"/>
    <n v="1"/>
    <n v="6"/>
    <s v="46-55"/>
    <s v="Very High"/>
    <s v="6-10"/>
    <s v="Senior"/>
    <s v="Standard"/>
    <s v="Low"/>
    <x v="0"/>
  </r>
  <r>
    <n v="53"/>
    <x v="1"/>
    <s v="Travel_Rarely"/>
    <n v="1070"/>
    <x v="1"/>
    <n v="3"/>
    <n v="4"/>
    <s v="Medical"/>
    <n v="1"/>
    <n v="386"/>
    <x v="1"/>
    <s v="Male"/>
    <n v="45"/>
    <n v="3"/>
    <x v="3"/>
    <x v="7"/>
    <x v="2"/>
    <s v="Married"/>
    <n v="17584"/>
    <n v="21016"/>
    <n v="3"/>
    <s v="Y"/>
    <s v="Yes"/>
    <n v="16"/>
    <n v="3"/>
    <n v="4"/>
    <n v="80"/>
    <n v="3"/>
    <n v="21"/>
    <n v="5"/>
    <n v="2"/>
    <x v="8"/>
    <n v="3"/>
    <n v="1"/>
    <n v="3"/>
    <s v="46-55"/>
    <s v="Very High"/>
    <s v="3-5"/>
    <s v="Senior"/>
    <s v="Standard"/>
    <s v="High"/>
    <x v="0"/>
  </r>
  <r>
    <n v="42"/>
    <x v="1"/>
    <s v="Travel_Rarely"/>
    <n v="635"/>
    <x v="0"/>
    <n v="1"/>
    <n v="1"/>
    <s v="Life Sciences"/>
    <n v="1"/>
    <n v="387"/>
    <x v="0"/>
    <s v="Male"/>
    <n v="99"/>
    <n v="3"/>
    <x v="0"/>
    <x v="0"/>
    <x v="2"/>
    <s v="Married"/>
    <n v="4907"/>
    <n v="24532"/>
    <n v="1"/>
    <s v="Y"/>
    <s v="No"/>
    <n v="25"/>
    <n v="4"/>
    <n v="3"/>
    <n v="80"/>
    <n v="0"/>
    <n v="20"/>
    <n v="3"/>
    <n v="3"/>
    <x v="23"/>
    <n v="16"/>
    <n v="11"/>
    <n v="6"/>
    <s v="36-45"/>
    <s v="Medium"/>
    <s v="16+"/>
    <s v="Senior"/>
    <s v="Excellent"/>
    <s v="High"/>
    <x v="0"/>
  </r>
  <r>
    <n v="29"/>
    <x v="1"/>
    <s v="Travel_Frequently"/>
    <n v="442"/>
    <x v="0"/>
    <n v="2"/>
    <n v="2"/>
    <s v="Life Sciences"/>
    <n v="1"/>
    <n v="388"/>
    <x v="0"/>
    <s v="Male"/>
    <n v="44"/>
    <n v="3"/>
    <x v="0"/>
    <x v="0"/>
    <x v="0"/>
    <s v="Single"/>
    <n v="4554"/>
    <n v="20260"/>
    <n v="1"/>
    <s v="Y"/>
    <s v="No"/>
    <n v="18"/>
    <n v="3"/>
    <n v="1"/>
    <n v="80"/>
    <n v="0"/>
    <n v="10"/>
    <n v="3"/>
    <n v="2"/>
    <x v="1"/>
    <n v="7"/>
    <n v="0"/>
    <n v="9"/>
    <s v="26-35"/>
    <s v="Medium"/>
    <s v="6-10"/>
    <s v="Mid-Level"/>
    <s v="Standard"/>
    <s v="High"/>
    <x v="0"/>
  </r>
  <r>
    <n v="55"/>
    <x v="1"/>
    <s v="Travel_Rarely"/>
    <n v="147"/>
    <x v="1"/>
    <n v="20"/>
    <n v="2"/>
    <s v="Technical Degree"/>
    <n v="1"/>
    <n v="389"/>
    <x v="0"/>
    <s v="Male"/>
    <n v="37"/>
    <n v="3"/>
    <x v="0"/>
    <x v="2"/>
    <x v="0"/>
    <s v="Married"/>
    <n v="5415"/>
    <n v="15972"/>
    <n v="3"/>
    <s v="Y"/>
    <s v="Yes"/>
    <n v="19"/>
    <n v="3"/>
    <n v="4"/>
    <n v="80"/>
    <n v="1"/>
    <n v="12"/>
    <n v="4"/>
    <n v="3"/>
    <x v="1"/>
    <n v="7"/>
    <n v="0"/>
    <n v="8"/>
    <s v="46-55"/>
    <s v="Medium"/>
    <s v="6-10"/>
    <s v="Mid-Level"/>
    <s v="Standard"/>
    <s v="High"/>
    <x v="0"/>
  </r>
  <r>
    <n v="26"/>
    <x v="1"/>
    <s v="Travel_Frequently"/>
    <n v="496"/>
    <x v="1"/>
    <n v="11"/>
    <n v="2"/>
    <s v="Medical"/>
    <n v="1"/>
    <n v="390"/>
    <x v="3"/>
    <s v="Male"/>
    <n v="60"/>
    <n v="3"/>
    <x v="0"/>
    <x v="4"/>
    <x v="3"/>
    <s v="Married"/>
    <n v="4741"/>
    <n v="22722"/>
    <n v="1"/>
    <s v="Y"/>
    <s v="Yes"/>
    <n v="13"/>
    <n v="3"/>
    <n v="3"/>
    <n v="80"/>
    <n v="1"/>
    <n v="5"/>
    <n v="3"/>
    <n v="3"/>
    <x v="8"/>
    <n v="3"/>
    <n v="3"/>
    <n v="3"/>
    <s v="26-35"/>
    <s v="Medium"/>
    <s v="3-5"/>
    <s v="Junior"/>
    <s v="Standard"/>
    <s v="Low"/>
    <x v="0"/>
  </r>
  <r>
    <n v="37"/>
    <x v="1"/>
    <s v="Travel_Rarely"/>
    <n v="1372"/>
    <x v="1"/>
    <n v="1"/>
    <n v="3"/>
    <s v="Life Sciences"/>
    <n v="1"/>
    <n v="391"/>
    <x v="2"/>
    <s v="Female"/>
    <n v="42"/>
    <n v="3"/>
    <x v="1"/>
    <x v="1"/>
    <x v="0"/>
    <s v="Single"/>
    <n v="2115"/>
    <n v="15881"/>
    <n v="1"/>
    <s v="Y"/>
    <s v="No"/>
    <n v="12"/>
    <n v="3"/>
    <n v="2"/>
    <n v="80"/>
    <n v="0"/>
    <n v="17"/>
    <n v="3"/>
    <n v="3"/>
    <x v="18"/>
    <n v="12"/>
    <n v="5"/>
    <n v="7"/>
    <s v="36-45"/>
    <s v="Low"/>
    <s v="16+"/>
    <s v="Senior"/>
    <s v="Standard"/>
    <s v="High"/>
    <x v="0"/>
  </r>
  <r>
    <n v="44"/>
    <x v="0"/>
    <s v="Travel_Frequently"/>
    <n v="920"/>
    <x v="1"/>
    <n v="24"/>
    <n v="3"/>
    <s v="Life Sciences"/>
    <n v="1"/>
    <n v="392"/>
    <x v="2"/>
    <s v="Male"/>
    <n v="43"/>
    <n v="3"/>
    <x v="1"/>
    <x v="2"/>
    <x v="2"/>
    <s v="Divorced"/>
    <n v="3161"/>
    <n v="19920"/>
    <n v="3"/>
    <s v="Y"/>
    <s v="Yes"/>
    <n v="22"/>
    <n v="4"/>
    <n v="4"/>
    <n v="80"/>
    <n v="1"/>
    <n v="19"/>
    <n v="0"/>
    <n v="1"/>
    <x v="6"/>
    <n v="0"/>
    <n v="0"/>
    <n v="0"/>
    <s v="36-45"/>
    <s v="Medium"/>
    <s v="0-2"/>
    <s v="Senior"/>
    <s v="Excellent"/>
    <s v="High"/>
    <x v="0"/>
  </r>
  <r>
    <n v="38"/>
    <x v="1"/>
    <s v="Travel_Rarely"/>
    <n v="688"/>
    <x v="1"/>
    <n v="23"/>
    <n v="4"/>
    <s v="Life Sciences"/>
    <n v="1"/>
    <n v="393"/>
    <x v="2"/>
    <s v="Male"/>
    <n v="82"/>
    <n v="3"/>
    <x v="0"/>
    <x v="4"/>
    <x v="0"/>
    <s v="Divorced"/>
    <n v="5745"/>
    <n v="18899"/>
    <n v="9"/>
    <s v="Y"/>
    <s v="No"/>
    <n v="14"/>
    <n v="3"/>
    <n v="2"/>
    <n v="80"/>
    <n v="1"/>
    <n v="10"/>
    <n v="2"/>
    <n v="3"/>
    <x v="4"/>
    <n v="2"/>
    <n v="1"/>
    <n v="2"/>
    <s v="36-45"/>
    <s v="Medium"/>
    <s v="0-2"/>
    <s v="Mid-Level"/>
    <s v="Standard"/>
    <s v="High"/>
    <x v="0"/>
  </r>
  <r>
    <n v="26"/>
    <x v="0"/>
    <s v="Travel_Rarely"/>
    <n v="1449"/>
    <x v="1"/>
    <n v="16"/>
    <n v="4"/>
    <s v="Medical"/>
    <n v="1"/>
    <n v="394"/>
    <x v="3"/>
    <s v="Male"/>
    <n v="45"/>
    <n v="3"/>
    <x v="1"/>
    <x v="2"/>
    <x v="1"/>
    <s v="Divorced"/>
    <n v="2373"/>
    <n v="14180"/>
    <n v="2"/>
    <s v="Y"/>
    <s v="Yes"/>
    <n v="13"/>
    <n v="3"/>
    <n v="4"/>
    <n v="80"/>
    <n v="1"/>
    <n v="5"/>
    <n v="2"/>
    <n v="3"/>
    <x v="11"/>
    <n v="2"/>
    <n v="0"/>
    <n v="2"/>
    <s v="26-35"/>
    <s v="Low"/>
    <s v="3-5"/>
    <s v="Junior"/>
    <s v="Standard"/>
    <s v="Low"/>
    <x v="0"/>
  </r>
  <r>
    <n v="28"/>
    <x v="1"/>
    <s v="Travel_Rarely"/>
    <n v="1117"/>
    <x v="1"/>
    <n v="8"/>
    <n v="2"/>
    <s v="Life Sciences"/>
    <n v="1"/>
    <n v="395"/>
    <x v="2"/>
    <s v="Female"/>
    <n v="66"/>
    <n v="3"/>
    <x v="1"/>
    <x v="1"/>
    <x v="0"/>
    <s v="Single"/>
    <n v="3310"/>
    <n v="4488"/>
    <n v="1"/>
    <s v="Y"/>
    <s v="No"/>
    <n v="21"/>
    <n v="4"/>
    <n v="4"/>
    <n v="80"/>
    <n v="0"/>
    <n v="5"/>
    <n v="3"/>
    <n v="3"/>
    <x v="8"/>
    <n v="3"/>
    <n v="0"/>
    <n v="2"/>
    <s v="26-35"/>
    <s v="Medium"/>
    <s v="3-5"/>
    <s v="Junior"/>
    <s v="Excellent"/>
    <s v="High"/>
    <x v="0"/>
  </r>
  <r>
    <n v="49"/>
    <x v="1"/>
    <s v="Travel_Frequently"/>
    <n v="636"/>
    <x v="1"/>
    <n v="10"/>
    <n v="4"/>
    <s v="Life Sciences"/>
    <n v="1"/>
    <n v="396"/>
    <x v="1"/>
    <s v="Female"/>
    <n v="35"/>
    <n v="3"/>
    <x v="4"/>
    <x v="7"/>
    <x v="3"/>
    <s v="Single"/>
    <n v="18665"/>
    <n v="25594"/>
    <n v="9"/>
    <s v="Y"/>
    <s v="Yes"/>
    <n v="11"/>
    <n v="3"/>
    <n v="4"/>
    <n v="80"/>
    <n v="0"/>
    <n v="22"/>
    <n v="4"/>
    <n v="3"/>
    <x v="11"/>
    <n v="2"/>
    <n v="1"/>
    <n v="2"/>
    <s v="46-55"/>
    <s v="Very High"/>
    <s v="3-5"/>
    <s v="Senior"/>
    <s v="Standard"/>
    <s v="Low"/>
    <x v="0"/>
  </r>
  <r>
    <n v="36"/>
    <x v="1"/>
    <s v="Travel_Rarely"/>
    <n v="506"/>
    <x v="1"/>
    <n v="3"/>
    <n v="3"/>
    <s v="Technical Degree"/>
    <n v="1"/>
    <n v="397"/>
    <x v="1"/>
    <s v="Male"/>
    <n v="30"/>
    <n v="3"/>
    <x v="0"/>
    <x v="1"/>
    <x v="1"/>
    <s v="Single"/>
    <n v="4485"/>
    <n v="26285"/>
    <n v="4"/>
    <s v="Y"/>
    <s v="No"/>
    <n v="12"/>
    <n v="3"/>
    <n v="4"/>
    <n v="80"/>
    <n v="0"/>
    <n v="10"/>
    <n v="2"/>
    <n v="3"/>
    <x v="3"/>
    <n v="0"/>
    <n v="7"/>
    <n v="7"/>
    <s v="36-45"/>
    <s v="Medium"/>
    <s v="6-10"/>
    <s v="Mid-Level"/>
    <s v="Standard"/>
    <s v="Low"/>
    <x v="0"/>
  </r>
  <r>
    <n v="31"/>
    <x v="1"/>
    <s v="Travel_Frequently"/>
    <n v="444"/>
    <x v="0"/>
    <n v="5"/>
    <n v="3"/>
    <s v="Marketing"/>
    <n v="1"/>
    <n v="399"/>
    <x v="2"/>
    <s v="Female"/>
    <n v="84"/>
    <n v="3"/>
    <x v="1"/>
    <x v="6"/>
    <x v="1"/>
    <s v="Divorced"/>
    <n v="2789"/>
    <n v="3909"/>
    <n v="1"/>
    <s v="Y"/>
    <s v="No"/>
    <n v="11"/>
    <n v="3"/>
    <n v="3"/>
    <n v="80"/>
    <n v="1"/>
    <n v="2"/>
    <n v="5"/>
    <n v="2"/>
    <x v="4"/>
    <n v="2"/>
    <n v="2"/>
    <n v="2"/>
    <s v="26-35"/>
    <s v="Low"/>
    <s v="0-2"/>
    <s v="Junior"/>
    <s v="Standard"/>
    <s v="Low"/>
    <x v="0"/>
  </r>
  <r>
    <n v="26"/>
    <x v="0"/>
    <s v="Travel_Rarely"/>
    <n v="950"/>
    <x v="0"/>
    <n v="4"/>
    <n v="4"/>
    <s v="Marketing"/>
    <n v="1"/>
    <n v="401"/>
    <x v="2"/>
    <s v="Male"/>
    <n v="48"/>
    <n v="2"/>
    <x v="0"/>
    <x v="0"/>
    <x v="0"/>
    <s v="Single"/>
    <n v="5828"/>
    <n v="8450"/>
    <n v="1"/>
    <s v="Y"/>
    <s v="Yes"/>
    <n v="12"/>
    <n v="3"/>
    <n v="2"/>
    <n v="80"/>
    <n v="0"/>
    <n v="8"/>
    <n v="0"/>
    <n v="3"/>
    <x v="3"/>
    <n v="7"/>
    <n v="7"/>
    <n v="4"/>
    <s v="26-35"/>
    <s v="Medium"/>
    <s v="6-10"/>
    <s v="Mid-Level"/>
    <s v="Standard"/>
    <s v="High"/>
    <x v="0"/>
  </r>
  <r>
    <n v="37"/>
    <x v="1"/>
    <s v="Travel_Frequently"/>
    <n v="889"/>
    <x v="1"/>
    <n v="9"/>
    <n v="3"/>
    <s v="Medical"/>
    <n v="1"/>
    <n v="403"/>
    <x v="0"/>
    <s v="Male"/>
    <n v="53"/>
    <n v="3"/>
    <x v="1"/>
    <x v="1"/>
    <x v="0"/>
    <s v="Married"/>
    <n v="2326"/>
    <n v="11411"/>
    <n v="1"/>
    <s v="Y"/>
    <s v="Yes"/>
    <n v="12"/>
    <n v="3"/>
    <n v="3"/>
    <n v="80"/>
    <n v="3"/>
    <n v="4"/>
    <n v="3"/>
    <n v="2"/>
    <x v="9"/>
    <n v="2"/>
    <n v="1"/>
    <n v="2"/>
    <s v="36-45"/>
    <s v="Low"/>
    <s v="3-5"/>
    <s v="Junior"/>
    <s v="Standard"/>
    <s v="High"/>
    <x v="0"/>
  </r>
  <r>
    <n v="42"/>
    <x v="1"/>
    <s v="Travel_Frequently"/>
    <n v="555"/>
    <x v="0"/>
    <n v="26"/>
    <n v="3"/>
    <s v="Marketing"/>
    <n v="1"/>
    <n v="404"/>
    <x v="1"/>
    <s v="Female"/>
    <n v="77"/>
    <n v="3"/>
    <x v="3"/>
    <x v="0"/>
    <x v="1"/>
    <s v="Married"/>
    <n v="13525"/>
    <n v="14864"/>
    <n v="5"/>
    <s v="Y"/>
    <s v="No"/>
    <n v="14"/>
    <n v="3"/>
    <n v="4"/>
    <n v="80"/>
    <n v="1"/>
    <n v="23"/>
    <n v="2"/>
    <n v="4"/>
    <x v="23"/>
    <n v="4"/>
    <n v="4"/>
    <n v="8"/>
    <s v="36-45"/>
    <s v="Very High"/>
    <s v="16+"/>
    <s v="Senior"/>
    <s v="Standard"/>
    <s v="Low"/>
    <x v="0"/>
  </r>
  <r>
    <n v="18"/>
    <x v="0"/>
    <s v="Travel_Rarely"/>
    <n v="230"/>
    <x v="1"/>
    <n v="3"/>
    <n v="3"/>
    <s v="Life Sciences"/>
    <n v="1"/>
    <n v="405"/>
    <x v="1"/>
    <s v="Male"/>
    <n v="54"/>
    <n v="3"/>
    <x v="1"/>
    <x v="2"/>
    <x v="2"/>
    <s v="Single"/>
    <n v="1420"/>
    <n v="25233"/>
    <n v="1"/>
    <s v="Y"/>
    <s v="No"/>
    <n v="13"/>
    <n v="3"/>
    <n v="3"/>
    <n v="80"/>
    <n v="0"/>
    <n v="0"/>
    <n v="2"/>
    <n v="3"/>
    <x v="2"/>
    <n v="0"/>
    <n v="0"/>
    <n v="0"/>
    <s v="18-25"/>
    <s v="Low"/>
    <s v="0-2"/>
    <s v="Junior"/>
    <s v="Standard"/>
    <s v="High"/>
    <x v="0"/>
  </r>
  <r>
    <n v="35"/>
    <x v="1"/>
    <s v="Travel_Rarely"/>
    <n v="1232"/>
    <x v="0"/>
    <n v="16"/>
    <n v="3"/>
    <s v="Marketing"/>
    <n v="1"/>
    <n v="406"/>
    <x v="1"/>
    <s v="Male"/>
    <n v="96"/>
    <n v="3"/>
    <x v="2"/>
    <x v="0"/>
    <x v="1"/>
    <s v="Married"/>
    <n v="8020"/>
    <n v="5100"/>
    <n v="0"/>
    <s v="Y"/>
    <s v="No"/>
    <n v="15"/>
    <n v="3"/>
    <n v="3"/>
    <n v="80"/>
    <n v="2"/>
    <n v="12"/>
    <n v="3"/>
    <n v="2"/>
    <x v="19"/>
    <n v="9"/>
    <n v="6"/>
    <n v="9"/>
    <s v="26-35"/>
    <s v="High"/>
    <s v="11-15"/>
    <s v="Mid-Level"/>
    <s v="Standard"/>
    <s v="Low"/>
    <x v="0"/>
  </r>
  <r>
    <n v="36"/>
    <x v="1"/>
    <s v="Travel_Frequently"/>
    <n v="566"/>
    <x v="1"/>
    <n v="18"/>
    <n v="4"/>
    <s v="Life Sciences"/>
    <n v="1"/>
    <n v="407"/>
    <x v="1"/>
    <s v="Male"/>
    <n v="81"/>
    <n v="4"/>
    <x v="1"/>
    <x v="2"/>
    <x v="0"/>
    <s v="Married"/>
    <n v="3688"/>
    <n v="7122"/>
    <n v="4"/>
    <s v="Y"/>
    <s v="No"/>
    <n v="18"/>
    <n v="3"/>
    <n v="4"/>
    <n v="80"/>
    <n v="2"/>
    <n v="4"/>
    <n v="2"/>
    <n v="3"/>
    <x v="6"/>
    <n v="0"/>
    <n v="0"/>
    <n v="0"/>
    <s v="36-45"/>
    <s v="Medium"/>
    <s v="0-2"/>
    <s v="Junior"/>
    <s v="Standard"/>
    <s v="High"/>
    <x v="0"/>
  </r>
  <r>
    <n v="51"/>
    <x v="1"/>
    <s v="Travel_Rarely"/>
    <n v="1302"/>
    <x v="1"/>
    <n v="2"/>
    <n v="3"/>
    <s v="Medical"/>
    <n v="1"/>
    <n v="408"/>
    <x v="2"/>
    <s v="Male"/>
    <n v="84"/>
    <n v="1"/>
    <x v="0"/>
    <x v="3"/>
    <x v="1"/>
    <s v="Divorced"/>
    <n v="5482"/>
    <n v="16321"/>
    <n v="5"/>
    <s v="Y"/>
    <s v="No"/>
    <n v="18"/>
    <n v="3"/>
    <n v="4"/>
    <n v="80"/>
    <n v="1"/>
    <n v="13"/>
    <n v="3"/>
    <n v="3"/>
    <x v="9"/>
    <n v="1"/>
    <n v="1"/>
    <n v="2"/>
    <s v="46-55"/>
    <s v="Medium"/>
    <s v="3-5"/>
    <s v="Mid-Level"/>
    <s v="Standard"/>
    <s v="Low"/>
    <x v="0"/>
  </r>
  <r>
    <n v="41"/>
    <x v="1"/>
    <s v="Travel_Rarely"/>
    <n v="334"/>
    <x v="0"/>
    <n v="2"/>
    <n v="4"/>
    <s v="Life Sciences"/>
    <n v="1"/>
    <n v="410"/>
    <x v="2"/>
    <s v="Male"/>
    <n v="88"/>
    <n v="3"/>
    <x v="3"/>
    <x v="5"/>
    <x v="1"/>
    <s v="Single"/>
    <n v="16015"/>
    <n v="15896"/>
    <n v="1"/>
    <s v="Y"/>
    <s v="No"/>
    <n v="19"/>
    <n v="3"/>
    <n v="2"/>
    <n v="80"/>
    <n v="0"/>
    <n v="22"/>
    <n v="2"/>
    <n v="3"/>
    <x v="14"/>
    <n v="10"/>
    <n v="0"/>
    <n v="4"/>
    <s v="36-45"/>
    <s v="Very High"/>
    <s v="16+"/>
    <s v="Senior"/>
    <s v="Standard"/>
    <s v="Low"/>
    <x v="0"/>
  </r>
  <r>
    <n v="18"/>
    <x v="1"/>
    <s v="Travel_Rarely"/>
    <n v="812"/>
    <x v="0"/>
    <n v="10"/>
    <n v="3"/>
    <s v="Medical"/>
    <n v="1"/>
    <n v="411"/>
    <x v="2"/>
    <s v="Female"/>
    <n v="69"/>
    <n v="2"/>
    <x v="1"/>
    <x v="6"/>
    <x v="2"/>
    <s v="Single"/>
    <n v="1200"/>
    <n v="9724"/>
    <n v="1"/>
    <s v="Y"/>
    <s v="No"/>
    <n v="12"/>
    <n v="3"/>
    <n v="1"/>
    <n v="80"/>
    <n v="0"/>
    <n v="0"/>
    <n v="2"/>
    <n v="3"/>
    <x v="2"/>
    <n v="0"/>
    <n v="0"/>
    <n v="0"/>
    <s v="18-25"/>
    <s v="Low"/>
    <s v="0-2"/>
    <s v="Junior"/>
    <s v="Standard"/>
    <s v="High"/>
    <x v="0"/>
  </r>
  <r>
    <n v="28"/>
    <x v="1"/>
    <s v="Travel_Rarely"/>
    <n v="1476"/>
    <x v="1"/>
    <n v="16"/>
    <n v="2"/>
    <s v="Medical"/>
    <n v="1"/>
    <n v="412"/>
    <x v="0"/>
    <s v="Male"/>
    <n v="68"/>
    <n v="4"/>
    <x v="0"/>
    <x v="4"/>
    <x v="3"/>
    <s v="Single"/>
    <n v="5661"/>
    <n v="4824"/>
    <n v="0"/>
    <s v="Y"/>
    <s v="No"/>
    <n v="19"/>
    <n v="3"/>
    <n v="3"/>
    <n v="80"/>
    <n v="0"/>
    <n v="9"/>
    <n v="2"/>
    <n v="3"/>
    <x v="3"/>
    <n v="3"/>
    <n v="0"/>
    <n v="7"/>
    <s v="26-35"/>
    <s v="Medium"/>
    <s v="6-10"/>
    <s v="Mid-Level"/>
    <s v="Standard"/>
    <s v="Low"/>
    <x v="0"/>
  </r>
  <r>
    <n v="31"/>
    <x v="1"/>
    <s v="Travel_Rarely"/>
    <n v="218"/>
    <x v="0"/>
    <n v="7"/>
    <n v="3"/>
    <s v="Technical Degree"/>
    <n v="1"/>
    <n v="416"/>
    <x v="0"/>
    <s v="Male"/>
    <n v="100"/>
    <n v="4"/>
    <x v="0"/>
    <x v="0"/>
    <x v="0"/>
    <s v="Married"/>
    <n v="6929"/>
    <n v="12241"/>
    <n v="4"/>
    <s v="Y"/>
    <s v="No"/>
    <n v="11"/>
    <n v="3"/>
    <n v="2"/>
    <n v="80"/>
    <n v="1"/>
    <n v="10"/>
    <n v="3"/>
    <n v="2"/>
    <x v="3"/>
    <n v="7"/>
    <n v="7"/>
    <n v="7"/>
    <s v="26-35"/>
    <s v="High"/>
    <s v="6-10"/>
    <s v="Mid-Level"/>
    <s v="Standard"/>
    <s v="High"/>
    <x v="0"/>
  </r>
  <r>
    <n v="39"/>
    <x v="1"/>
    <s v="Travel_Rarely"/>
    <n v="1132"/>
    <x v="1"/>
    <n v="1"/>
    <n v="3"/>
    <s v="Medical"/>
    <n v="1"/>
    <n v="417"/>
    <x v="1"/>
    <s v="Male"/>
    <n v="48"/>
    <n v="4"/>
    <x v="2"/>
    <x v="4"/>
    <x v="0"/>
    <s v="Divorced"/>
    <n v="9613"/>
    <n v="10942"/>
    <n v="0"/>
    <s v="Y"/>
    <s v="No"/>
    <n v="17"/>
    <n v="3"/>
    <n v="1"/>
    <n v="80"/>
    <n v="3"/>
    <n v="19"/>
    <n v="5"/>
    <n v="2"/>
    <x v="29"/>
    <n v="10"/>
    <n v="3"/>
    <n v="7"/>
    <s v="36-45"/>
    <s v="High"/>
    <s v="16+"/>
    <s v="Senior"/>
    <s v="Standard"/>
    <s v="High"/>
    <x v="0"/>
  </r>
  <r>
    <n v="36"/>
    <x v="1"/>
    <s v="Non-Travel"/>
    <n v="1105"/>
    <x v="1"/>
    <n v="24"/>
    <n v="4"/>
    <s v="Life Sciences"/>
    <n v="1"/>
    <n v="419"/>
    <x v="0"/>
    <s v="Female"/>
    <n v="47"/>
    <n v="3"/>
    <x v="0"/>
    <x v="2"/>
    <x v="1"/>
    <s v="Married"/>
    <n v="5674"/>
    <n v="6927"/>
    <n v="7"/>
    <s v="Y"/>
    <s v="No"/>
    <n v="15"/>
    <n v="3"/>
    <n v="3"/>
    <n v="80"/>
    <n v="1"/>
    <n v="11"/>
    <n v="3"/>
    <n v="3"/>
    <x v="7"/>
    <n v="8"/>
    <n v="0"/>
    <n v="8"/>
    <s v="36-45"/>
    <s v="Medium"/>
    <s v="6-10"/>
    <s v="Mid-Level"/>
    <s v="Standard"/>
    <s v="Low"/>
    <x v="0"/>
  </r>
  <r>
    <n v="32"/>
    <x v="1"/>
    <s v="Travel_Rarely"/>
    <n v="906"/>
    <x v="0"/>
    <n v="7"/>
    <n v="3"/>
    <s v="Life Sciences"/>
    <n v="1"/>
    <n v="420"/>
    <x v="2"/>
    <s v="Male"/>
    <n v="91"/>
    <n v="2"/>
    <x v="0"/>
    <x v="0"/>
    <x v="2"/>
    <s v="Married"/>
    <n v="5484"/>
    <n v="16985"/>
    <n v="1"/>
    <s v="Y"/>
    <s v="No"/>
    <n v="14"/>
    <n v="3"/>
    <n v="3"/>
    <n v="80"/>
    <n v="1"/>
    <n v="13"/>
    <n v="3"/>
    <n v="2"/>
    <x v="20"/>
    <n v="8"/>
    <n v="4"/>
    <n v="8"/>
    <s v="26-35"/>
    <s v="Medium"/>
    <s v="11-15"/>
    <s v="Mid-Level"/>
    <s v="Standard"/>
    <s v="High"/>
    <x v="0"/>
  </r>
  <r>
    <n v="38"/>
    <x v="1"/>
    <s v="Travel_Rarely"/>
    <n v="849"/>
    <x v="1"/>
    <n v="25"/>
    <n v="2"/>
    <s v="Life Sciences"/>
    <n v="1"/>
    <n v="421"/>
    <x v="3"/>
    <s v="Female"/>
    <n v="81"/>
    <n v="2"/>
    <x v="2"/>
    <x v="7"/>
    <x v="1"/>
    <s v="Married"/>
    <n v="12061"/>
    <n v="26707"/>
    <n v="3"/>
    <s v="Y"/>
    <s v="No"/>
    <n v="17"/>
    <n v="3"/>
    <n v="3"/>
    <n v="80"/>
    <n v="1"/>
    <n v="19"/>
    <n v="2"/>
    <n v="3"/>
    <x v="1"/>
    <n v="8"/>
    <n v="0"/>
    <n v="1"/>
    <s v="36-45"/>
    <s v="Very High"/>
    <s v="6-10"/>
    <s v="Senior"/>
    <s v="Standard"/>
    <s v="Low"/>
    <x v="0"/>
  </r>
  <r>
    <n v="58"/>
    <x v="1"/>
    <s v="Non-Travel"/>
    <n v="390"/>
    <x v="1"/>
    <n v="1"/>
    <n v="4"/>
    <s v="Life Sciences"/>
    <n v="1"/>
    <n v="422"/>
    <x v="2"/>
    <s v="Male"/>
    <n v="32"/>
    <n v="1"/>
    <x v="0"/>
    <x v="4"/>
    <x v="2"/>
    <s v="Divorced"/>
    <n v="5660"/>
    <n v="17056"/>
    <n v="2"/>
    <s v="Y"/>
    <s v="Yes"/>
    <n v="13"/>
    <n v="3"/>
    <n v="4"/>
    <n v="80"/>
    <n v="1"/>
    <n v="12"/>
    <n v="2"/>
    <n v="3"/>
    <x v="8"/>
    <n v="3"/>
    <n v="1"/>
    <n v="2"/>
    <s v="56+"/>
    <s v="Medium"/>
    <s v="3-5"/>
    <s v="Mid-Level"/>
    <s v="Standard"/>
    <s v="High"/>
    <x v="0"/>
  </r>
  <r>
    <n v="31"/>
    <x v="1"/>
    <s v="Travel_Rarely"/>
    <n v="691"/>
    <x v="1"/>
    <n v="5"/>
    <n v="4"/>
    <s v="Technical Degree"/>
    <n v="1"/>
    <n v="423"/>
    <x v="1"/>
    <s v="Male"/>
    <n v="86"/>
    <n v="3"/>
    <x v="1"/>
    <x v="1"/>
    <x v="0"/>
    <s v="Married"/>
    <n v="4821"/>
    <n v="10077"/>
    <n v="0"/>
    <s v="Y"/>
    <s v="Yes"/>
    <n v="12"/>
    <n v="3"/>
    <n v="3"/>
    <n v="80"/>
    <n v="1"/>
    <n v="6"/>
    <n v="4"/>
    <n v="3"/>
    <x v="8"/>
    <n v="2"/>
    <n v="0"/>
    <n v="3"/>
    <s v="26-35"/>
    <s v="Medium"/>
    <s v="3-5"/>
    <s v="Mid-Level"/>
    <s v="Standard"/>
    <s v="High"/>
    <x v="0"/>
  </r>
  <r>
    <n v="31"/>
    <x v="1"/>
    <s v="Travel_Rarely"/>
    <n v="106"/>
    <x v="2"/>
    <n v="2"/>
    <n v="3"/>
    <s v="Human Resources"/>
    <n v="1"/>
    <n v="424"/>
    <x v="3"/>
    <s v="Male"/>
    <n v="62"/>
    <n v="2"/>
    <x v="0"/>
    <x v="8"/>
    <x v="3"/>
    <s v="Married"/>
    <n v="6410"/>
    <n v="17822"/>
    <n v="3"/>
    <s v="Y"/>
    <s v="No"/>
    <n v="12"/>
    <n v="3"/>
    <n v="4"/>
    <n v="80"/>
    <n v="0"/>
    <n v="9"/>
    <n v="1"/>
    <n v="3"/>
    <x v="4"/>
    <n v="2"/>
    <n v="1"/>
    <n v="0"/>
    <s v="26-35"/>
    <s v="High"/>
    <s v="0-2"/>
    <s v="Mid-Level"/>
    <s v="Standard"/>
    <s v="Low"/>
    <x v="0"/>
  </r>
  <r>
    <n v="45"/>
    <x v="1"/>
    <s v="Travel_Frequently"/>
    <n v="1249"/>
    <x v="1"/>
    <n v="7"/>
    <n v="3"/>
    <s v="Life Sciences"/>
    <n v="1"/>
    <n v="425"/>
    <x v="3"/>
    <s v="Male"/>
    <n v="97"/>
    <n v="3"/>
    <x v="2"/>
    <x v="2"/>
    <x v="3"/>
    <s v="Divorced"/>
    <n v="5210"/>
    <n v="20308"/>
    <n v="1"/>
    <s v="Y"/>
    <s v="No"/>
    <n v="18"/>
    <n v="3"/>
    <n v="1"/>
    <n v="80"/>
    <n v="1"/>
    <n v="24"/>
    <n v="2"/>
    <n v="3"/>
    <x v="25"/>
    <n v="9"/>
    <n v="9"/>
    <n v="11"/>
    <s v="36-45"/>
    <s v="Medium"/>
    <s v="16+"/>
    <s v="Senior"/>
    <s v="Standard"/>
    <s v="Low"/>
    <x v="0"/>
  </r>
  <r>
    <n v="31"/>
    <x v="1"/>
    <s v="Travel_Rarely"/>
    <n v="192"/>
    <x v="1"/>
    <n v="2"/>
    <n v="4"/>
    <s v="Life Sciences"/>
    <n v="1"/>
    <n v="426"/>
    <x v="1"/>
    <s v="Male"/>
    <n v="32"/>
    <n v="3"/>
    <x v="1"/>
    <x v="1"/>
    <x v="0"/>
    <s v="Divorced"/>
    <n v="2695"/>
    <n v="7747"/>
    <n v="0"/>
    <s v="Y"/>
    <s v="Yes"/>
    <n v="18"/>
    <n v="3"/>
    <n v="2"/>
    <n v="80"/>
    <n v="1"/>
    <n v="3"/>
    <n v="2"/>
    <n v="1"/>
    <x v="4"/>
    <n v="2"/>
    <n v="2"/>
    <n v="2"/>
    <s v="26-35"/>
    <s v="Low"/>
    <s v="0-2"/>
    <s v="Junior"/>
    <s v="Standard"/>
    <s v="High"/>
    <x v="0"/>
  </r>
  <r>
    <n v="33"/>
    <x v="1"/>
    <s v="Travel_Frequently"/>
    <n v="553"/>
    <x v="1"/>
    <n v="5"/>
    <n v="4"/>
    <s v="Life Sciences"/>
    <n v="1"/>
    <n v="428"/>
    <x v="2"/>
    <s v="Female"/>
    <n v="74"/>
    <n v="3"/>
    <x v="2"/>
    <x v="5"/>
    <x v="1"/>
    <s v="Married"/>
    <n v="11878"/>
    <n v="23364"/>
    <n v="6"/>
    <s v="Y"/>
    <s v="No"/>
    <n v="11"/>
    <n v="3"/>
    <n v="2"/>
    <n v="80"/>
    <n v="2"/>
    <n v="12"/>
    <n v="2"/>
    <n v="3"/>
    <x v="1"/>
    <n v="6"/>
    <n v="8"/>
    <n v="8"/>
    <s v="26-35"/>
    <s v="Very High"/>
    <s v="6-10"/>
    <s v="Mid-Level"/>
    <s v="Standard"/>
    <s v="Low"/>
    <x v="0"/>
  </r>
  <r>
    <n v="39"/>
    <x v="1"/>
    <s v="Travel_Rarely"/>
    <n v="117"/>
    <x v="1"/>
    <n v="10"/>
    <n v="1"/>
    <s v="Medical"/>
    <n v="1"/>
    <n v="429"/>
    <x v="1"/>
    <s v="Male"/>
    <n v="99"/>
    <n v="3"/>
    <x v="3"/>
    <x v="5"/>
    <x v="3"/>
    <s v="Married"/>
    <n v="17068"/>
    <n v="5355"/>
    <n v="1"/>
    <s v="Y"/>
    <s v="Yes"/>
    <n v="14"/>
    <n v="3"/>
    <n v="4"/>
    <n v="80"/>
    <n v="0"/>
    <n v="21"/>
    <n v="3"/>
    <n v="3"/>
    <x v="17"/>
    <n v="9"/>
    <n v="11"/>
    <n v="10"/>
    <s v="36-45"/>
    <s v="Very High"/>
    <s v="16+"/>
    <s v="Senior"/>
    <s v="Standard"/>
    <s v="Low"/>
    <x v="0"/>
  </r>
  <r>
    <n v="43"/>
    <x v="1"/>
    <s v="Travel_Frequently"/>
    <n v="185"/>
    <x v="1"/>
    <n v="10"/>
    <n v="4"/>
    <s v="Life Sciences"/>
    <n v="1"/>
    <n v="430"/>
    <x v="1"/>
    <s v="Female"/>
    <n v="33"/>
    <n v="3"/>
    <x v="1"/>
    <x v="2"/>
    <x v="0"/>
    <s v="Single"/>
    <n v="2455"/>
    <n v="10675"/>
    <n v="0"/>
    <s v="Y"/>
    <s v="No"/>
    <n v="19"/>
    <n v="3"/>
    <n v="1"/>
    <n v="80"/>
    <n v="0"/>
    <n v="9"/>
    <n v="5"/>
    <n v="3"/>
    <x v="3"/>
    <n v="7"/>
    <n v="1"/>
    <n v="7"/>
    <s v="36-45"/>
    <s v="Low"/>
    <s v="6-10"/>
    <s v="Mid-Level"/>
    <s v="Standard"/>
    <s v="High"/>
    <x v="0"/>
  </r>
  <r>
    <n v="49"/>
    <x v="1"/>
    <s v="Travel_Rarely"/>
    <n v="1091"/>
    <x v="1"/>
    <n v="1"/>
    <n v="2"/>
    <s v="Technical Degree"/>
    <n v="1"/>
    <n v="431"/>
    <x v="1"/>
    <s v="Female"/>
    <n v="90"/>
    <n v="2"/>
    <x v="3"/>
    <x v="4"/>
    <x v="2"/>
    <s v="Single"/>
    <n v="13964"/>
    <n v="17810"/>
    <n v="7"/>
    <s v="Y"/>
    <s v="Yes"/>
    <n v="12"/>
    <n v="3"/>
    <n v="4"/>
    <n v="80"/>
    <n v="0"/>
    <n v="25"/>
    <n v="2"/>
    <n v="3"/>
    <x v="5"/>
    <n v="1"/>
    <n v="0"/>
    <n v="7"/>
    <s v="46-55"/>
    <s v="Very High"/>
    <s v="6-10"/>
    <s v="Senior"/>
    <s v="Standard"/>
    <s v="High"/>
    <x v="0"/>
  </r>
  <r>
    <n v="52"/>
    <x v="0"/>
    <s v="Travel_Rarely"/>
    <n v="723"/>
    <x v="1"/>
    <n v="8"/>
    <n v="4"/>
    <s v="Medical"/>
    <n v="1"/>
    <n v="433"/>
    <x v="1"/>
    <s v="Male"/>
    <n v="85"/>
    <n v="2"/>
    <x v="0"/>
    <x v="1"/>
    <x v="1"/>
    <s v="Married"/>
    <n v="4941"/>
    <n v="17747"/>
    <n v="2"/>
    <s v="Y"/>
    <s v="No"/>
    <n v="15"/>
    <n v="3"/>
    <n v="1"/>
    <n v="80"/>
    <n v="0"/>
    <n v="11"/>
    <n v="3"/>
    <n v="2"/>
    <x v="3"/>
    <n v="2"/>
    <n v="7"/>
    <n v="7"/>
    <s v="46-55"/>
    <s v="Medium"/>
    <s v="6-10"/>
    <s v="Mid-Level"/>
    <s v="Standard"/>
    <s v="Low"/>
    <x v="0"/>
  </r>
  <r>
    <n v="27"/>
    <x v="1"/>
    <s v="Travel_Rarely"/>
    <n v="1220"/>
    <x v="1"/>
    <n v="5"/>
    <n v="3"/>
    <s v="Life Sciences"/>
    <n v="1"/>
    <n v="434"/>
    <x v="1"/>
    <s v="Female"/>
    <n v="85"/>
    <n v="3"/>
    <x v="1"/>
    <x v="1"/>
    <x v="1"/>
    <s v="Single"/>
    <n v="2478"/>
    <n v="20938"/>
    <n v="1"/>
    <s v="Y"/>
    <s v="Yes"/>
    <n v="12"/>
    <n v="3"/>
    <n v="2"/>
    <n v="80"/>
    <n v="0"/>
    <n v="4"/>
    <n v="2"/>
    <n v="2"/>
    <x v="9"/>
    <n v="3"/>
    <n v="1"/>
    <n v="2"/>
    <s v="26-35"/>
    <s v="Low"/>
    <s v="3-5"/>
    <s v="Junior"/>
    <s v="Standard"/>
    <s v="Low"/>
    <x v="0"/>
  </r>
  <r>
    <n v="32"/>
    <x v="1"/>
    <s v="Travel_Rarely"/>
    <n v="588"/>
    <x v="0"/>
    <n v="8"/>
    <n v="2"/>
    <s v="Technical Degree"/>
    <n v="1"/>
    <n v="436"/>
    <x v="1"/>
    <s v="Female"/>
    <n v="65"/>
    <n v="2"/>
    <x v="0"/>
    <x v="0"/>
    <x v="1"/>
    <s v="Married"/>
    <n v="5228"/>
    <n v="24624"/>
    <n v="1"/>
    <s v="Y"/>
    <s v="Yes"/>
    <n v="11"/>
    <n v="3"/>
    <n v="4"/>
    <n v="80"/>
    <n v="0"/>
    <n v="13"/>
    <n v="2"/>
    <n v="3"/>
    <x v="20"/>
    <n v="12"/>
    <n v="11"/>
    <n v="9"/>
    <s v="26-35"/>
    <s v="Medium"/>
    <s v="11-15"/>
    <s v="Mid-Level"/>
    <s v="Standard"/>
    <s v="Low"/>
    <x v="0"/>
  </r>
  <r>
    <n v="27"/>
    <x v="1"/>
    <s v="Travel_Rarely"/>
    <n v="1377"/>
    <x v="0"/>
    <n v="2"/>
    <n v="3"/>
    <s v="Life Sciences"/>
    <n v="1"/>
    <n v="437"/>
    <x v="2"/>
    <s v="Male"/>
    <n v="74"/>
    <n v="3"/>
    <x v="0"/>
    <x v="0"/>
    <x v="2"/>
    <s v="Single"/>
    <n v="4478"/>
    <n v="5242"/>
    <n v="1"/>
    <s v="Y"/>
    <s v="Yes"/>
    <n v="11"/>
    <n v="3"/>
    <n v="1"/>
    <n v="80"/>
    <n v="0"/>
    <n v="5"/>
    <n v="3"/>
    <n v="3"/>
    <x v="8"/>
    <n v="4"/>
    <n v="0"/>
    <n v="4"/>
    <s v="26-35"/>
    <s v="Medium"/>
    <s v="3-5"/>
    <s v="Junior"/>
    <s v="Standard"/>
    <s v="High"/>
    <x v="0"/>
  </r>
  <r>
    <n v="31"/>
    <x v="1"/>
    <s v="Travel_Rarely"/>
    <n v="691"/>
    <x v="0"/>
    <n v="7"/>
    <n v="3"/>
    <s v="Marketing"/>
    <n v="1"/>
    <n v="438"/>
    <x v="2"/>
    <s v="Male"/>
    <n v="73"/>
    <n v="3"/>
    <x v="0"/>
    <x v="0"/>
    <x v="0"/>
    <s v="Divorced"/>
    <n v="7547"/>
    <n v="7143"/>
    <n v="4"/>
    <s v="Y"/>
    <s v="No"/>
    <n v="12"/>
    <n v="3"/>
    <n v="4"/>
    <n v="80"/>
    <n v="3"/>
    <n v="13"/>
    <n v="3"/>
    <n v="3"/>
    <x v="5"/>
    <n v="7"/>
    <n v="1"/>
    <n v="7"/>
    <s v="26-35"/>
    <s v="High"/>
    <s v="6-10"/>
    <s v="Mid-Level"/>
    <s v="Standard"/>
    <s v="High"/>
    <x v="0"/>
  </r>
  <r>
    <n v="32"/>
    <x v="1"/>
    <s v="Travel_Rarely"/>
    <n v="1018"/>
    <x v="1"/>
    <n v="2"/>
    <n v="4"/>
    <s v="Medical"/>
    <n v="1"/>
    <n v="439"/>
    <x v="3"/>
    <s v="Female"/>
    <n v="74"/>
    <n v="4"/>
    <x v="0"/>
    <x v="1"/>
    <x v="0"/>
    <s v="Single"/>
    <n v="5055"/>
    <n v="10557"/>
    <n v="7"/>
    <s v="Y"/>
    <s v="No"/>
    <n v="16"/>
    <n v="3"/>
    <n v="3"/>
    <n v="80"/>
    <n v="0"/>
    <n v="10"/>
    <n v="0"/>
    <n v="2"/>
    <x v="5"/>
    <n v="7"/>
    <n v="0"/>
    <n v="7"/>
    <s v="26-35"/>
    <s v="Medium"/>
    <s v="6-10"/>
    <s v="Mid-Level"/>
    <s v="Standard"/>
    <s v="High"/>
    <x v="0"/>
  </r>
  <r>
    <n v="28"/>
    <x v="0"/>
    <s v="Travel_Rarely"/>
    <n v="1157"/>
    <x v="1"/>
    <n v="2"/>
    <n v="4"/>
    <s v="Medical"/>
    <n v="1"/>
    <n v="440"/>
    <x v="3"/>
    <s v="Male"/>
    <n v="84"/>
    <n v="1"/>
    <x v="1"/>
    <x v="1"/>
    <x v="0"/>
    <s v="Married"/>
    <n v="3464"/>
    <n v="24737"/>
    <n v="5"/>
    <s v="Y"/>
    <s v="Yes"/>
    <n v="13"/>
    <n v="3"/>
    <n v="4"/>
    <n v="80"/>
    <n v="0"/>
    <n v="5"/>
    <n v="4"/>
    <n v="2"/>
    <x v="11"/>
    <n v="2"/>
    <n v="2"/>
    <n v="2"/>
    <s v="26-35"/>
    <s v="Medium"/>
    <s v="3-5"/>
    <s v="Junior"/>
    <s v="Standard"/>
    <s v="High"/>
    <x v="0"/>
  </r>
  <r>
    <n v="30"/>
    <x v="1"/>
    <s v="Travel_Rarely"/>
    <n v="1275"/>
    <x v="1"/>
    <n v="28"/>
    <n v="2"/>
    <s v="Medical"/>
    <n v="1"/>
    <n v="441"/>
    <x v="2"/>
    <s v="Female"/>
    <n v="64"/>
    <n v="3"/>
    <x v="0"/>
    <x v="1"/>
    <x v="0"/>
    <s v="Married"/>
    <n v="5775"/>
    <n v="11934"/>
    <n v="1"/>
    <s v="Y"/>
    <s v="No"/>
    <n v="13"/>
    <n v="3"/>
    <n v="4"/>
    <n v="80"/>
    <n v="2"/>
    <n v="11"/>
    <n v="2"/>
    <n v="3"/>
    <x v="1"/>
    <n v="8"/>
    <n v="1"/>
    <n v="9"/>
    <s v="26-35"/>
    <s v="Medium"/>
    <s v="6-10"/>
    <s v="Mid-Level"/>
    <s v="Standard"/>
    <s v="High"/>
    <x v="0"/>
  </r>
  <r>
    <n v="31"/>
    <x v="1"/>
    <s v="Travel_Frequently"/>
    <n v="798"/>
    <x v="1"/>
    <n v="7"/>
    <n v="2"/>
    <s v="Life Sciences"/>
    <n v="1"/>
    <n v="442"/>
    <x v="1"/>
    <s v="Female"/>
    <n v="48"/>
    <n v="2"/>
    <x v="2"/>
    <x v="3"/>
    <x v="2"/>
    <s v="Married"/>
    <n v="8943"/>
    <n v="14034"/>
    <n v="1"/>
    <s v="Y"/>
    <s v="No"/>
    <n v="24"/>
    <n v="4"/>
    <n v="1"/>
    <n v="80"/>
    <n v="1"/>
    <n v="10"/>
    <n v="2"/>
    <n v="3"/>
    <x v="1"/>
    <n v="9"/>
    <n v="8"/>
    <n v="9"/>
    <s v="26-35"/>
    <s v="High"/>
    <s v="6-10"/>
    <s v="Mid-Level"/>
    <s v="Excellent"/>
    <s v="High"/>
    <x v="0"/>
  </r>
  <r>
    <n v="39"/>
    <x v="1"/>
    <s v="Travel_Frequently"/>
    <n v="672"/>
    <x v="1"/>
    <n v="7"/>
    <n v="2"/>
    <s v="Medical"/>
    <n v="1"/>
    <n v="444"/>
    <x v="1"/>
    <s v="Male"/>
    <n v="54"/>
    <n v="2"/>
    <x v="4"/>
    <x v="5"/>
    <x v="0"/>
    <s v="Married"/>
    <n v="19272"/>
    <n v="21141"/>
    <n v="1"/>
    <s v="Y"/>
    <s v="No"/>
    <n v="15"/>
    <n v="3"/>
    <n v="1"/>
    <n v="80"/>
    <n v="1"/>
    <n v="21"/>
    <n v="2"/>
    <n v="3"/>
    <x v="17"/>
    <n v="9"/>
    <n v="13"/>
    <n v="3"/>
    <s v="36-45"/>
    <s v="Very High"/>
    <s v="16+"/>
    <s v="Senior"/>
    <s v="Standard"/>
    <s v="High"/>
    <x v="0"/>
  </r>
  <r>
    <n v="39"/>
    <x v="0"/>
    <s v="Travel_Rarely"/>
    <n v="1162"/>
    <x v="0"/>
    <n v="3"/>
    <n v="2"/>
    <s v="Medical"/>
    <n v="1"/>
    <n v="445"/>
    <x v="2"/>
    <s v="Female"/>
    <n v="41"/>
    <n v="3"/>
    <x v="0"/>
    <x v="0"/>
    <x v="2"/>
    <s v="Married"/>
    <n v="5238"/>
    <n v="17778"/>
    <n v="4"/>
    <s v="Y"/>
    <s v="Yes"/>
    <n v="18"/>
    <n v="3"/>
    <n v="1"/>
    <n v="80"/>
    <n v="0"/>
    <n v="12"/>
    <n v="3"/>
    <n v="2"/>
    <x v="6"/>
    <n v="0"/>
    <n v="0"/>
    <n v="0"/>
    <s v="36-45"/>
    <s v="Medium"/>
    <s v="0-2"/>
    <s v="Mid-Level"/>
    <s v="Standard"/>
    <s v="High"/>
    <x v="0"/>
  </r>
  <r>
    <n v="33"/>
    <x v="1"/>
    <s v="Travel_Frequently"/>
    <n v="508"/>
    <x v="0"/>
    <n v="10"/>
    <n v="3"/>
    <s v="Marketing"/>
    <n v="1"/>
    <n v="446"/>
    <x v="0"/>
    <s v="Male"/>
    <n v="46"/>
    <n v="2"/>
    <x v="0"/>
    <x v="0"/>
    <x v="0"/>
    <s v="Single"/>
    <n v="4682"/>
    <n v="4317"/>
    <n v="3"/>
    <s v="Y"/>
    <s v="No"/>
    <n v="14"/>
    <n v="3"/>
    <n v="3"/>
    <n v="80"/>
    <n v="0"/>
    <n v="9"/>
    <n v="6"/>
    <n v="2"/>
    <x v="5"/>
    <n v="7"/>
    <n v="0"/>
    <n v="1"/>
    <s v="26-35"/>
    <s v="Medium"/>
    <s v="6-10"/>
    <s v="Mid-Level"/>
    <s v="Standard"/>
    <s v="High"/>
    <x v="0"/>
  </r>
  <r>
    <n v="47"/>
    <x v="1"/>
    <s v="Travel_Rarely"/>
    <n v="1482"/>
    <x v="1"/>
    <n v="5"/>
    <n v="5"/>
    <s v="Life Sciences"/>
    <n v="1"/>
    <n v="447"/>
    <x v="2"/>
    <s v="Male"/>
    <n v="42"/>
    <n v="3"/>
    <x v="4"/>
    <x v="7"/>
    <x v="2"/>
    <s v="Married"/>
    <n v="18300"/>
    <n v="16375"/>
    <n v="4"/>
    <s v="Y"/>
    <s v="No"/>
    <n v="11"/>
    <n v="3"/>
    <n v="2"/>
    <n v="80"/>
    <n v="1"/>
    <n v="21"/>
    <n v="2"/>
    <n v="3"/>
    <x v="11"/>
    <n v="2"/>
    <n v="1"/>
    <n v="1"/>
    <s v="46-55"/>
    <s v="Very High"/>
    <s v="3-5"/>
    <s v="Senior"/>
    <s v="Standard"/>
    <s v="High"/>
    <x v="0"/>
  </r>
  <r>
    <n v="43"/>
    <x v="1"/>
    <s v="Travel_Frequently"/>
    <n v="559"/>
    <x v="1"/>
    <n v="10"/>
    <n v="4"/>
    <s v="Life Sciences"/>
    <n v="1"/>
    <n v="448"/>
    <x v="1"/>
    <s v="Female"/>
    <n v="82"/>
    <n v="2"/>
    <x v="0"/>
    <x v="2"/>
    <x v="2"/>
    <s v="Divorced"/>
    <n v="5257"/>
    <n v="6227"/>
    <n v="1"/>
    <s v="Y"/>
    <s v="No"/>
    <n v="11"/>
    <n v="3"/>
    <n v="2"/>
    <n v="80"/>
    <n v="1"/>
    <n v="9"/>
    <n v="3"/>
    <n v="4"/>
    <x v="7"/>
    <n v="7"/>
    <n v="0"/>
    <n v="0"/>
    <s v="36-45"/>
    <s v="Medium"/>
    <s v="6-10"/>
    <s v="Mid-Level"/>
    <s v="Standard"/>
    <s v="High"/>
    <x v="0"/>
  </r>
  <r>
    <n v="27"/>
    <x v="1"/>
    <s v="Non-Travel"/>
    <n v="210"/>
    <x v="0"/>
    <n v="1"/>
    <n v="1"/>
    <s v="Marketing"/>
    <n v="1"/>
    <n v="449"/>
    <x v="1"/>
    <s v="Male"/>
    <n v="73"/>
    <n v="3"/>
    <x v="0"/>
    <x v="0"/>
    <x v="1"/>
    <s v="Married"/>
    <n v="6349"/>
    <n v="22107"/>
    <n v="0"/>
    <s v="Y"/>
    <s v="Yes"/>
    <n v="13"/>
    <n v="3"/>
    <n v="4"/>
    <n v="80"/>
    <n v="1"/>
    <n v="6"/>
    <n v="0"/>
    <n v="3"/>
    <x v="8"/>
    <n v="4"/>
    <n v="1"/>
    <n v="4"/>
    <s v="26-35"/>
    <s v="High"/>
    <s v="3-5"/>
    <s v="Mid-Level"/>
    <s v="Standard"/>
    <s v="Low"/>
    <x v="0"/>
  </r>
  <r>
    <n v="54"/>
    <x v="1"/>
    <s v="Travel_Frequently"/>
    <n v="928"/>
    <x v="1"/>
    <n v="20"/>
    <n v="4"/>
    <s v="Life Sciences"/>
    <n v="1"/>
    <n v="450"/>
    <x v="2"/>
    <s v="Female"/>
    <n v="31"/>
    <n v="3"/>
    <x v="0"/>
    <x v="1"/>
    <x v="2"/>
    <s v="Single"/>
    <n v="4869"/>
    <n v="16885"/>
    <n v="3"/>
    <s v="Y"/>
    <s v="No"/>
    <n v="12"/>
    <n v="3"/>
    <n v="4"/>
    <n v="80"/>
    <n v="0"/>
    <n v="20"/>
    <n v="4"/>
    <n v="2"/>
    <x v="9"/>
    <n v="3"/>
    <n v="0"/>
    <n v="3"/>
    <s v="46-55"/>
    <s v="Medium"/>
    <s v="3-5"/>
    <s v="Senior"/>
    <s v="Standard"/>
    <s v="High"/>
    <x v="0"/>
  </r>
  <r>
    <n v="43"/>
    <x v="1"/>
    <s v="Travel_Rarely"/>
    <n v="1001"/>
    <x v="1"/>
    <n v="7"/>
    <n v="3"/>
    <s v="Life Sciences"/>
    <n v="1"/>
    <n v="451"/>
    <x v="1"/>
    <s v="Female"/>
    <n v="43"/>
    <n v="3"/>
    <x v="2"/>
    <x v="4"/>
    <x v="3"/>
    <s v="Married"/>
    <n v="9985"/>
    <n v="9262"/>
    <n v="8"/>
    <s v="Y"/>
    <s v="No"/>
    <n v="16"/>
    <n v="3"/>
    <n v="1"/>
    <n v="80"/>
    <n v="1"/>
    <n v="10"/>
    <n v="1"/>
    <n v="2"/>
    <x v="6"/>
    <n v="0"/>
    <n v="0"/>
    <n v="0"/>
    <s v="36-45"/>
    <s v="High"/>
    <s v="0-2"/>
    <s v="Mid-Level"/>
    <s v="Standard"/>
    <s v="Low"/>
    <x v="0"/>
  </r>
  <r>
    <n v="45"/>
    <x v="1"/>
    <s v="Travel_Rarely"/>
    <n v="549"/>
    <x v="1"/>
    <n v="8"/>
    <n v="4"/>
    <s v="Other"/>
    <n v="1"/>
    <n v="452"/>
    <x v="2"/>
    <s v="Male"/>
    <n v="75"/>
    <n v="3"/>
    <x v="0"/>
    <x v="1"/>
    <x v="0"/>
    <s v="Married"/>
    <n v="3697"/>
    <n v="9278"/>
    <n v="9"/>
    <s v="Y"/>
    <s v="No"/>
    <n v="14"/>
    <n v="3"/>
    <n v="1"/>
    <n v="80"/>
    <n v="2"/>
    <n v="12"/>
    <n v="3"/>
    <n v="3"/>
    <x v="1"/>
    <n v="9"/>
    <n v="9"/>
    <n v="8"/>
    <s v="36-45"/>
    <s v="Medium"/>
    <s v="6-10"/>
    <s v="Mid-Level"/>
    <s v="Standard"/>
    <s v="High"/>
    <x v="0"/>
  </r>
  <r>
    <n v="40"/>
    <x v="1"/>
    <s v="Travel_Rarely"/>
    <n v="1124"/>
    <x v="0"/>
    <n v="1"/>
    <n v="2"/>
    <s v="Medical"/>
    <n v="1"/>
    <n v="453"/>
    <x v="0"/>
    <s v="Male"/>
    <n v="57"/>
    <n v="1"/>
    <x v="0"/>
    <x v="0"/>
    <x v="0"/>
    <s v="Married"/>
    <n v="7457"/>
    <n v="13273"/>
    <n v="2"/>
    <s v="Y"/>
    <s v="Yes"/>
    <n v="22"/>
    <n v="4"/>
    <n v="3"/>
    <n v="80"/>
    <n v="3"/>
    <n v="6"/>
    <n v="2"/>
    <n v="2"/>
    <x v="9"/>
    <n v="3"/>
    <n v="0"/>
    <n v="2"/>
    <s v="36-45"/>
    <s v="High"/>
    <s v="3-5"/>
    <s v="Mid-Level"/>
    <s v="Excellent"/>
    <s v="High"/>
    <x v="0"/>
  </r>
  <r>
    <n v="29"/>
    <x v="0"/>
    <s v="Travel_Rarely"/>
    <n v="318"/>
    <x v="1"/>
    <n v="8"/>
    <n v="4"/>
    <s v="Other"/>
    <n v="1"/>
    <n v="454"/>
    <x v="0"/>
    <s v="Male"/>
    <n v="77"/>
    <n v="1"/>
    <x v="1"/>
    <x v="2"/>
    <x v="3"/>
    <s v="Married"/>
    <n v="2119"/>
    <n v="4759"/>
    <n v="1"/>
    <s v="Y"/>
    <s v="Yes"/>
    <n v="11"/>
    <n v="3"/>
    <n v="4"/>
    <n v="80"/>
    <n v="0"/>
    <n v="7"/>
    <n v="4"/>
    <n v="2"/>
    <x v="5"/>
    <n v="7"/>
    <n v="0"/>
    <n v="7"/>
    <s v="26-35"/>
    <s v="Low"/>
    <s v="6-10"/>
    <s v="Mid-Level"/>
    <s v="Standard"/>
    <s v="Low"/>
    <x v="0"/>
  </r>
  <r>
    <n v="29"/>
    <x v="1"/>
    <s v="Travel_Rarely"/>
    <n v="738"/>
    <x v="1"/>
    <n v="9"/>
    <n v="5"/>
    <s v="Other"/>
    <n v="1"/>
    <n v="455"/>
    <x v="0"/>
    <s v="Male"/>
    <n v="30"/>
    <n v="2"/>
    <x v="1"/>
    <x v="2"/>
    <x v="0"/>
    <s v="Single"/>
    <n v="3983"/>
    <n v="7621"/>
    <n v="0"/>
    <s v="Y"/>
    <s v="No"/>
    <n v="17"/>
    <n v="3"/>
    <n v="3"/>
    <n v="80"/>
    <n v="0"/>
    <n v="4"/>
    <n v="2"/>
    <n v="3"/>
    <x v="11"/>
    <n v="2"/>
    <n v="2"/>
    <n v="2"/>
    <s v="26-35"/>
    <s v="Medium"/>
    <s v="3-5"/>
    <s v="Junior"/>
    <s v="Standard"/>
    <s v="High"/>
    <x v="0"/>
  </r>
  <r>
    <n v="30"/>
    <x v="1"/>
    <s v="Travel_Rarely"/>
    <n v="570"/>
    <x v="0"/>
    <n v="5"/>
    <n v="3"/>
    <s v="Marketing"/>
    <n v="1"/>
    <n v="456"/>
    <x v="2"/>
    <s v="Female"/>
    <n v="30"/>
    <n v="2"/>
    <x v="0"/>
    <x v="0"/>
    <x v="2"/>
    <s v="Divorced"/>
    <n v="6118"/>
    <n v="5431"/>
    <n v="1"/>
    <s v="Y"/>
    <s v="No"/>
    <n v="13"/>
    <n v="3"/>
    <n v="3"/>
    <n v="80"/>
    <n v="3"/>
    <n v="10"/>
    <n v="2"/>
    <n v="3"/>
    <x v="1"/>
    <n v="9"/>
    <n v="1"/>
    <n v="2"/>
    <s v="26-35"/>
    <s v="High"/>
    <s v="6-10"/>
    <s v="Mid-Level"/>
    <s v="Standard"/>
    <s v="High"/>
    <x v="0"/>
  </r>
  <r>
    <n v="27"/>
    <x v="1"/>
    <s v="Travel_Rarely"/>
    <n v="1130"/>
    <x v="0"/>
    <n v="8"/>
    <n v="4"/>
    <s v="Marketing"/>
    <n v="1"/>
    <n v="458"/>
    <x v="0"/>
    <s v="Female"/>
    <n v="56"/>
    <n v="3"/>
    <x v="0"/>
    <x v="0"/>
    <x v="1"/>
    <s v="Married"/>
    <n v="6214"/>
    <n v="3415"/>
    <n v="1"/>
    <s v="Y"/>
    <s v="No"/>
    <n v="18"/>
    <n v="3"/>
    <n v="1"/>
    <n v="80"/>
    <n v="1"/>
    <n v="8"/>
    <n v="3"/>
    <n v="3"/>
    <x v="3"/>
    <n v="7"/>
    <n v="0"/>
    <n v="7"/>
    <s v="26-35"/>
    <s v="High"/>
    <s v="6-10"/>
    <s v="Mid-Level"/>
    <s v="Standard"/>
    <s v="Low"/>
    <x v="0"/>
  </r>
  <r>
    <n v="37"/>
    <x v="1"/>
    <s v="Travel_Rarely"/>
    <n v="1192"/>
    <x v="1"/>
    <n v="5"/>
    <n v="2"/>
    <s v="Medical"/>
    <n v="1"/>
    <n v="460"/>
    <x v="2"/>
    <s v="Male"/>
    <n v="61"/>
    <n v="3"/>
    <x v="0"/>
    <x v="3"/>
    <x v="0"/>
    <s v="Divorced"/>
    <n v="6347"/>
    <n v="23177"/>
    <n v="7"/>
    <s v="Y"/>
    <s v="No"/>
    <n v="16"/>
    <n v="3"/>
    <n v="3"/>
    <n v="80"/>
    <n v="2"/>
    <n v="8"/>
    <n v="2"/>
    <n v="2"/>
    <x v="0"/>
    <n v="2"/>
    <n v="0"/>
    <n v="4"/>
    <s v="36-45"/>
    <s v="High"/>
    <s v="6-10"/>
    <s v="Mid-Level"/>
    <s v="Standard"/>
    <s v="High"/>
    <x v="0"/>
  </r>
  <r>
    <n v="38"/>
    <x v="1"/>
    <s v="Travel_Rarely"/>
    <n v="343"/>
    <x v="1"/>
    <n v="15"/>
    <n v="2"/>
    <s v="Life Sciences"/>
    <n v="1"/>
    <n v="461"/>
    <x v="1"/>
    <s v="Male"/>
    <n v="92"/>
    <n v="2"/>
    <x v="2"/>
    <x v="7"/>
    <x v="0"/>
    <s v="Divorced"/>
    <n v="11510"/>
    <n v="15682"/>
    <n v="0"/>
    <s v="Y"/>
    <s v="Yes"/>
    <n v="14"/>
    <n v="3"/>
    <n v="2"/>
    <n v="80"/>
    <n v="1"/>
    <n v="12"/>
    <n v="3"/>
    <n v="3"/>
    <x v="19"/>
    <n v="10"/>
    <n v="2"/>
    <n v="9"/>
    <s v="36-45"/>
    <s v="Very High"/>
    <s v="11-15"/>
    <s v="Mid-Level"/>
    <s v="Standard"/>
    <s v="High"/>
    <x v="0"/>
  </r>
  <r>
    <n v="31"/>
    <x v="1"/>
    <s v="Travel_Rarely"/>
    <n v="1232"/>
    <x v="1"/>
    <n v="7"/>
    <n v="4"/>
    <s v="Medical"/>
    <n v="1"/>
    <n v="462"/>
    <x v="1"/>
    <s v="Female"/>
    <n v="39"/>
    <n v="3"/>
    <x v="2"/>
    <x v="3"/>
    <x v="0"/>
    <s v="Single"/>
    <n v="7143"/>
    <n v="25713"/>
    <n v="1"/>
    <s v="Y"/>
    <s v="Yes"/>
    <n v="14"/>
    <n v="3"/>
    <n v="3"/>
    <n v="80"/>
    <n v="0"/>
    <n v="11"/>
    <n v="2"/>
    <n v="2"/>
    <x v="19"/>
    <n v="9"/>
    <n v="4"/>
    <n v="10"/>
    <s v="26-35"/>
    <s v="High"/>
    <s v="11-15"/>
    <s v="Mid-Level"/>
    <s v="Standard"/>
    <s v="High"/>
    <x v="0"/>
  </r>
  <r>
    <n v="29"/>
    <x v="1"/>
    <s v="Travel_Rarely"/>
    <n v="144"/>
    <x v="0"/>
    <n v="10"/>
    <n v="1"/>
    <s v="Marketing"/>
    <n v="1"/>
    <n v="463"/>
    <x v="2"/>
    <s v="Female"/>
    <n v="39"/>
    <n v="2"/>
    <x v="0"/>
    <x v="0"/>
    <x v="1"/>
    <s v="Divorced"/>
    <n v="8268"/>
    <n v="11866"/>
    <n v="1"/>
    <s v="Y"/>
    <s v="Yes"/>
    <n v="14"/>
    <n v="3"/>
    <n v="1"/>
    <n v="80"/>
    <n v="2"/>
    <n v="7"/>
    <n v="2"/>
    <n v="3"/>
    <x v="5"/>
    <n v="7"/>
    <n v="1"/>
    <n v="7"/>
    <s v="26-35"/>
    <s v="High"/>
    <s v="6-10"/>
    <s v="Mid-Level"/>
    <s v="Standard"/>
    <s v="Low"/>
    <x v="0"/>
  </r>
  <r>
    <n v="35"/>
    <x v="1"/>
    <s v="Travel_Rarely"/>
    <n v="1296"/>
    <x v="1"/>
    <n v="5"/>
    <n v="4"/>
    <s v="Technical Degree"/>
    <n v="1"/>
    <n v="464"/>
    <x v="1"/>
    <s v="Male"/>
    <n v="62"/>
    <n v="3"/>
    <x v="2"/>
    <x v="3"/>
    <x v="1"/>
    <s v="Single"/>
    <n v="8095"/>
    <n v="18264"/>
    <n v="0"/>
    <s v="Y"/>
    <s v="No"/>
    <n v="13"/>
    <n v="3"/>
    <n v="4"/>
    <n v="80"/>
    <n v="0"/>
    <n v="17"/>
    <n v="5"/>
    <n v="3"/>
    <x v="22"/>
    <n v="6"/>
    <n v="0"/>
    <n v="13"/>
    <s v="26-35"/>
    <s v="High"/>
    <s v="16+"/>
    <s v="Senior"/>
    <s v="Standard"/>
    <s v="Low"/>
    <x v="0"/>
  </r>
  <r>
    <n v="23"/>
    <x v="1"/>
    <s v="Travel_Rarely"/>
    <n v="1309"/>
    <x v="1"/>
    <n v="26"/>
    <n v="1"/>
    <s v="Life Sciences"/>
    <n v="1"/>
    <n v="465"/>
    <x v="1"/>
    <s v="Male"/>
    <n v="83"/>
    <n v="3"/>
    <x v="1"/>
    <x v="1"/>
    <x v="0"/>
    <s v="Divorced"/>
    <n v="2904"/>
    <n v="16092"/>
    <n v="1"/>
    <s v="Y"/>
    <s v="No"/>
    <n v="12"/>
    <n v="3"/>
    <n v="3"/>
    <n v="80"/>
    <n v="2"/>
    <n v="4"/>
    <n v="2"/>
    <n v="2"/>
    <x v="9"/>
    <n v="2"/>
    <n v="0"/>
    <n v="2"/>
    <s v="18-25"/>
    <s v="Low"/>
    <s v="3-5"/>
    <s v="Junior"/>
    <s v="Standard"/>
    <s v="High"/>
    <x v="0"/>
  </r>
  <r>
    <n v="41"/>
    <x v="1"/>
    <s v="Travel_Rarely"/>
    <n v="483"/>
    <x v="1"/>
    <n v="6"/>
    <n v="3"/>
    <s v="Medical"/>
    <n v="1"/>
    <n v="466"/>
    <x v="2"/>
    <s v="Male"/>
    <n v="95"/>
    <n v="2"/>
    <x v="0"/>
    <x v="3"/>
    <x v="1"/>
    <s v="Single"/>
    <n v="6032"/>
    <n v="10110"/>
    <n v="6"/>
    <s v="Y"/>
    <s v="Yes"/>
    <n v="15"/>
    <n v="3"/>
    <n v="4"/>
    <n v="80"/>
    <n v="0"/>
    <n v="8"/>
    <n v="3"/>
    <n v="3"/>
    <x v="8"/>
    <n v="4"/>
    <n v="1"/>
    <n v="2"/>
    <s v="36-45"/>
    <s v="High"/>
    <s v="3-5"/>
    <s v="Mid-Level"/>
    <s v="Standard"/>
    <s v="Low"/>
    <x v="0"/>
  </r>
  <r>
    <n v="47"/>
    <x v="1"/>
    <s v="Travel_Frequently"/>
    <n v="1309"/>
    <x v="0"/>
    <n v="4"/>
    <n v="1"/>
    <s v="Medical"/>
    <n v="1"/>
    <n v="467"/>
    <x v="0"/>
    <s v="Male"/>
    <n v="99"/>
    <n v="3"/>
    <x v="0"/>
    <x v="6"/>
    <x v="2"/>
    <s v="Single"/>
    <n v="2976"/>
    <n v="25751"/>
    <n v="3"/>
    <s v="Y"/>
    <s v="No"/>
    <n v="19"/>
    <n v="3"/>
    <n v="1"/>
    <n v="80"/>
    <n v="0"/>
    <n v="5"/>
    <n v="3"/>
    <n v="3"/>
    <x v="2"/>
    <n v="0"/>
    <n v="0"/>
    <n v="0"/>
    <s v="46-55"/>
    <s v="Low"/>
    <s v="0-2"/>
    <s v="Junior"/>
    <s v="Standard"/>
    <s v="High"/>
    <x v="0"/>
  </r>
  <r>
    <n v="42"/>
    <x v="1"/>
    <s v="Travel_Rarely"/>
    <n v="810"/>
    <x v="1"/>
    <n v="23"/>
    <n v="5"/>
    <s v="Life Sciences"/>
    <n v="1"/>
    <n v="468"/>
    <x v="3"/>
    <s v="Female"/>
    <n v="44"/>
    <n v="3"/>
    <x v="3"/>
    <x v="7"/>
    <x v="0"/>
    <s v="Single"/>
    <n v="15992"/>
    <n v="15901"/>
    <n v="2"/>
    <s v="Y"/>
    <s v="No"/>
    <n v="14"/>
    <n v="3"/>
    <n v="2"/>
    <n v="80"/>
    <n v="0"/>
    <n v="16"/>
    <n v="2"/>
    <n v="3"/>
    <x v="6"/>
    <n v="0"/>
    <n v="0"/>
    <n v="0"/>
    <s v="36-45"/>
    <s v="Very High"/>
    <s v="0-2"/>
    <s v="Senior"/>
    <s v="Standard"/>
    <s v="High"/>
    <x v="0"/>
  </r>
  <r>
    <n v="29"/>
    <x v="1"/>
    <s v="Non-Travel"/>
    <n v="746"/>
    <x v="0"/>
    <n v="2"/>
    <n v="3"/>
    <s v="Life Sciences"/>
    <n v="1"/>
    <n v="469"/>
    <x v="2"/>
    <s v="Male"/>
    <n v="61"/>
    <n v="3"/>
    <x v="0"/>
    <x v="0"/>
    <x v="2"/>
    <s v="Married"/>
    <n v="4649"/>
    <n v="16928"/>
    <n v="1"/>
    <s v="Y"/>
    <s v="No"/>
    <n v="14"/>
    <n v="3"/>
    <n v="1"/>
    <n v="80"/>
    <n v="1"/>
    <n v="4"/>
    <n v="3"/>
    <n v="2"/>
    <x v="9"/>
    <n v="3"/>
    <n v="0"/>
    <n v="2"/>
    <s v="26-35"/>
    <s v="Medium"/>
    <s v="3-5"/>
    <s v="Junior"/>
    <s v="Standard"/>
    <s v="High"/>
    <x v="0"/>
  </r>
  <r>
    <n v="42"/>
    <x v="1"/>
    <s v="Travel_Rarely"/>
    <n v="544"/>
    <x v="2"/>
    <n v="2"/>
    <n v="1"/>
    <s v="Technical Degree"/>
    <n v="1"/>
    <n v="470"/>
    <x v="1"/>
    <s v="Male"/>
    <n v="52"/>
    <n v="3"/>
    <x v="1"/>
    <x v="8"/>
    <x v="2"/>
    <s v="Divorced"/>
    <n v="2696"/>
    <n v="24017"/>
    <n v="0"/>
    <s v="Y"/>
    <s v="Yes"/>
    <n v="11"/>
    <n v="3"/>
    <n v="3"/>
    <n v="80"/>
    <n v="1"/>
    <n v="4"/>
    <n v="5"/>
    <n v="3"/>
    <x v="11"/>
    <n v="2"/>
    <n v="1"/>
    <n v="0"/>
    <s v="36-45"/>
    <s v="Low"/>
    <s v="3-5"/>
    <s v="Junior"/>
    <s v="Standard"/>
    <s v="High"/>
    <x v="0"/>
  </r>
  <r>
    <n v="32"/>
    <x v="1"/>
    <s v="Travel_Rarely"/>
    <n v="1062"/>
    <x v="1"/>
    <n v="2"/>
    <n v="3"/>
    <s v="Medical"/>
    <n v="1"/>
    <n v="471"/>
    <x v="1"/>
    <s v="Female"/>
    <n v="75"/>
    <n v="3"/>
    <x v="1"/>
    <x v="2"/>
    <x v="1"/>
    <s v="Married"/>
    <n v="2370"/>
    <n v="3956"/>
    <n v="1"/>
    <s v="Y"/>
    <s v="No"/>
    <n v="13"/>
    <n v="3"/>
    <n v="3"/>
    <n v="80"/>
    <n v="1"/>
    <n v="8"/>
    <n v="4"/>
    <n v="3"/>
    <x v="3"/>
    <n v="0"/>
    <n v="0"/>
    <n v="7"/>
    <s v="26-35"/>
    <s v="Low"/>
    <s v="6-10"/>
    <s v="Mid-Level"/>
    <s v="Standard"/>
    <s v="Low"/>
    <x v="0"/>
  </r>
  <r>
    <n v="48"/>
    <x v="1"/>
    <s v="Travel_Rarely"/>
    <n v="530"/>
    <x v="0"/>
    <n v="29"/>
    <n v="1"/>
    <s v="Medical"/>
    <n v="1"/>
    <n v="473"/>
    <x v="3"/>
    <s v="Female"/>
    <n v="91"/>
    <n v="3"/>
    <x v="2"/>
    <x v="5"/>
    <x v="2"/>
    <s v="Married"/>
    <n v="12504"/>
    <n v="23978"/>
    <n v="3"/>
    <s v="Y"/>
    <s v="No"/>
    <n v="21"/>
    <n v="4"/>
    <n v="2"/>
    <n v="80"/>
    <n v="1"/>
    <n v="15"/>
    <n v="3"/>
    <n v="1"/>
    <x v="2"/>
    <n v="0"/>
    <n v="0"/>
    <n v="0"/>
    <s v="46-55"/>
    <s v="Very High"/>
    <s v="0-2"/>
    <s v="Mid-Level"/>
    <s v="Excellent"/>
    <s v="High"/>
    <x v="0"/>
  </r>
  <r>
    <n v="37"/>
    <x v="1"/>
    <s v="Travel_Rarely"/>
    <n v="1319"/>
    <x v="1"/>
    <n v="6"/>
    <n v="3"/>
    <s v="Medical"/>
    <n v="1"/>
    <n v="474"/>
    <x v="1"/>
    <s v="Male"/>
    <n v="51"/>
    <n v="4"/>
    <x v="0"/>
    <x v="1"/>
    <x v="3"/>
    <s v="Divorced"/>
    <n v="5974"/>
    <n v="17001"/>
    <n v="4"/>
    <s v="Y"/>
    <s v="Yes"/>
    <n v="13"/>
    <n v="3"/>
    <n v="1"/>
    <n v="80"/>
    <n v="2"/>
    <n v="13"/>
    <n v="2"/>
    <n v="3"/>
    <x v="5"/>
    <n v="7"/>
    <n v="6"/>
    <n v="7"/>
    <s v="36-45"/>
    <s v="Medium"/>
    <s v="6-10"/>
    <s v="Mid-Level"/>
    <s v="Standard"/>
    <s v="Low"/>
    <x v="0"/>
  </r>
  <r>
    <n v="30"/>
    <x v="1"/>
    <s v="Non-Travel"/>
    <n v="641"/>
    <x v="0"/>
    <n v="25"/>
    <n v="2"/>
    <s v="Technical Degree"/>
    <n v="1"/>
    <n v="475"/>
    <x v="2"/>
    <s v="Female"/>
    <n v="85"/>
    <n v="3"/>
    <x v="0"/>
    <x v="0"/>
    <x v="2"/>
    <s v="Married"/>
    <n v="4736"/>
    <n v="6069"/>
    <n v="7"/>
    <s v="Y"/>
    <s v="Yes"/>
    <n v="12"/>
    <n v="3"/>
    <n v="2"/>
    <n v="80"/>
    <n v="1"/>
    <n v="4"/>
    <n v="2"/>
    <n v="4"/>
    <x v="4"/>
    <n v="2"/>
    <n v="2"/>
    <n v="2"/>
    <s v="26-35"/>
    <s v="Medium"/>
    <s v="0-2"/>
    <s v="Junior"/>
    <s v="Standard"/>
    <s v="High"/>
    <x v="0"/>
  </r>
  <r>
    <n v="26"/>
    <x v="1"/>
    <s v="Travel_Rarely"/>
    <n v="933"/>
    <x v="0"/>
    <n v="1"/>
    <n v="3"/>
    <s v="Life Sciences"/>
    <n v="1"/>
    <n v="476"/>
    <x v="1"/>
    <s v="Male"/>
    <n v="57"/>
    <n v="3"/>
    <x v="0"/>
    <x v="0"/>
    <x v="2"/>
    <s v="Married"/>
    <n v="5296"/>
    <n v="20156"/>
    <n v="1"/>
    <s v="Y"/>
    <s v="No"/>
    <n v="17"/>
    <n v="3"/>
    <n v="2"/>
    <n v="80"/>
    <n v="1"/>
    <n v="8"/>
    <n v="3"/>
    <n v="3"/>
    <x v="3"/>
    <n v="7"/>
    <n v="7"/>
    <n v="7"/>
    <s v="26-35"/>
    <s v="Medium"/>
    <s v="6-10"/>
    <s v="Mid-Level"/>
    <s v="Standard"/>
    <s v="High"/>
    <x v="0"/>
  </r>
  <r>
    <n v="42"/>
    <x v="1"/>
    <s v="Travel_Rarely"/>
    <n v="1332"/>
    <x v="1"/>
    <n v="2"/>
    <n v="4"/>
    <s v="Other"/>
    <n v="1"/>
    <n v="477"/>
    <x v="3"/>
    <s v="Male"/>
    <n v="98"/>
    <n v="2"/>
    <x v="0"/>
    <x v="4"/>
    <x v="0"/>
    <s v="Single"/>
    <n v="6781"/>
    <n v="17078"/>
    <n v="3"/>
    <s v="Y"/>
    <s v="No"/>
    <n v="23"/>
    <n v="4"/>
    <n v="2"/>
    <n v="80"/>
    <n v="0"/>
    <n v="14"/>
    <n v="6"/>
    <n v="3"/>
    <x v="6"/>
    <n v="0"/>
    <n v="0"/>
    <n v="0"/>
    <s v="36-45"/>
    <s v="High"/>
    <s v="0-2"/>
    <s v="Mid-Level"/>
    <s v="Excellent"/>
    <s v="High"/>
    <x v="0"/>
  </r>
  <r>
    <n v="21"/>
    <x v="0"/>
    <s v="Travel_Frequently"/>
    <n v="756"/>
    <x v="0"/>
    <n v="1"/>
    <n v="1"/>
    <s v="Technical Degree"/>
    <n v="1"/>
    <n v="478"/>
    <x v="3"/>
    <s v="Female"/>
    <n v="99"/>
    <n v="2"/>
    <x v="1"/>
    <x v="6"/>
    <x v="1"/>
    <s v="Single"/>
    <n v="2174"/>
    <n v="9150"/>
    <n v="1"/>
    <s v="Y"/>
    <s v="Yes"/>
    <n v="11"/>
    <n v="3"/>
    <n v="3"/>
    <n v="80"/>
    <n v="0"/>
    <n v="3"/>
    <n v="3"/>
    <n v="3"/>
    <x v="11"/>
    <n v="2"/>
    <n v="1"/>
    <n v="2"/>
    <s v="18-25"/>
    <s v="Low"/>
    <s v="3-5"/>
    <s v="Junior"/>
    <s v="Standard"/>
    <s v="Low"/>
    <x v="0"/>
  </r>
  <r>
    <n v="36"/>
    <x v="1"/>
    <s v="Non-Travel"/>
    <n v="845"/>
    <x v="0"/>
    <n v="1"/>
    <n v="5"/>
    <s v="Medical"/>
    <n v="1"/>
    <n v="479"/>
    <x v="2"/>
    <s v="Female"/>
    <n v="45"/>
    <n v="3"/>
    <x v="0"/>
    <x v="0"/>
    <x v="0"/>
    <s v="Single"/>
    <n v="6653"/>
    <n v="15276"/>
    <n v="4"/>
    <s v="Y"/>
    <s v="No"/>
    <n v="15"/>
    <n v="3"/>
    <n v="2"/>
    <n v="80"/>
    <n v="0"/>
    <n v="7"/>
    <n v="6"/>
    <n v="3"/>
    <x v="6"/>
    <n v="0"/>
    <n v="0"/>
    <n v="0"/>
    <s v="36-45"/>
    <s v="High"/>
    <s v="0-2"/>
    <s v="Mid-Level"/>
    <s v="Standard"/>
    <s v="High"/>
    <x v="0"/>
  </r>
  <r>
    <n v="36"/>
    <x v="1"/>
    <s v="Travel_Frequently"/>
    <n v="541"/>
    <x v="0"/>
    <n v="3"/>
    <n v="4"/>
    <s v="Medical"/>
    <n v="1"/>
    <n v="481"/>
    <x v="3"/>
    <s v="Male"/>
    <n v="48"/>
    <n v="2"/>
    <x v="2"/>
    <x v="0"/>
    <x v="0"/>
    <s v="Married"/>
    <n v="9699"/>
    <n v="7246"/>
    <n v="4"/>
    <s v="Y"/>
    <s v="No"/>
    <n v="11"/>
    <n v="3"/>
    <n v="1"/>
    <n v="80"/>
    <n v="1"/>
    <n v="16"/>
    <n v="2"/>
    <n v="3"/>
    <x v="20"/>
    <n v="9"/>
    <n v="1"/>
    <n v="12"/>
    <s v="36-45"/>
    <s v="High"/>
    <s v="11-15"/>
    <s v="Senior"/>
    <s v="Standard"/>
    <s v="High"/>
    <x v="0"/>
  </r>
  <r>
    <n v="57"/>
    <x v="1"/>
    <s v="Travel_Rarely"/>
    <n v="593"/>
    <x v="1"/>
    <n v="1"/>
    <n v="4"/>
    <s v="Medical"/>
    <n v="1"/>
    <n v="482"/>
    <x v="2"/>
    <s v="Male"/>
    <n v="88"/>
    <n v="3"/>
    <x v="0"/>
    <x v="4"/>
    <x v="2"/>
    <s v="Married"/>
    <n v="6755"/>
    <n v="2967"/>
    <n v="2"/>
    <s v="Y"/>
    <s v="No"/>
    <n v="11"/>
    <n v="3"/>
    <n v="3"/>
    <n v="80"/>
    <n v="0"/>
    <n v="15"/>
    <n v="2"/>
    <n v="3"/>
    <x v="11"/>
    <n v="2"/>
    <n v="1"/>
    <n v="2"/>
    <s v="56+"/>
    <s v="High"/>
    <s v="3-5"/>
    <s v="Mid-Level"/>
    <s v="Standard"/>
    <s v="High"/>
    <x v="0"/>
  </r>
  <r>
    <n v="40"/>
    <x v="1"/>
    <s v="Travel_Rarely"/>
    <n v="1171"/>
    <x v="1"/>
    <n v="10"/>
    <n v="4"/>
    <s v="Life Sciences"/>
    <n v="1"/>
    <n v="483"/>
    <x v="2"/>
    <s v="Female"/>
    <n v="46"/>
    <n v="4"/>
    <x v="1"/>
    <x v="2"/>
    <x v="2"/>
    <s v="Married"/>
    <n v="2213"/>
    <n v="22495"/>
    <n v="3"/>
    <s v="Y"/>
    <s v="Yes"/>
    <n v="13"/>
    <n v="3"/>
    <n v="3"/>
    <n v="80"/>
    <n v="1"/>
    <n v="10"/>
    <n v="3"/>
    <n v="3"/>
    <x v="5"/>
    <n v="7"/>
    <n v="1"/>
    <n v="7"/>
    <s v="36-45"/>
    <s v="Low"/>
    <s v="6-10"/>
    <s v="Mid-Level"/>
    <s v="Standard"/>
    <s v="High"/>
    <x v="0"/>
  </r>
  <r>
    <n v="21"/>
    <x v="1"/>
    <s v="Non-Travel"/>
    <n v="895"/>
    <x v="0"/>
    <n v="9"/>
    <n v="2"/>
    <s v="Medical"/>
    <n v="1"/>
    <n v="484"/>
    <x v="3"/>
    <s v="Male"/>
    <n v="39"/>
    <n v="3"/>
    <x v="1"/>
    <x v="6"/>
    <x v="0"/>
    <s v="Single"/>
    <n v="2610"/>
    <n v="2851"/>
    <n v="1"/>
    <s v="Y"/>
    <s v="No"/>
    <n v="24"/>
    <n v="4"/>
    <n v="3"/>
    <n v="80"/>
    <n v="0"/>
    <n v="3"/>
    <n v="3"/>
    <n v="2"/>
    <x v="11"/>
    <n v="2"/>
    <n v="2"/>
    <n v="2"/>
    <s v="18-25"/>
    <s v="Low"/>
    <s v="3-5"/>
    <s v="Junior"/>
    <s v="Excellent"/>
    <s v="High"/>
    <x v="0"/>
  </r>
  <r>
    <n v="33"/>
    <x v="0"/>
    <s v="Travel_Rarely"/>
    <n v="350"/>
    <x v="0"/>
    <n v="5"/>
    <n v="3"/>
    <s v="Marketing"/>
    <n v="1"/>
    <n v="485"/>
    <x v="2"/>
    <s v="Female"/>
    <n v="34"/>
    <n v="3"/>
    <x v="1"/>
    <x v="6"/>
    <x v="2"/>
    <s v="Single"/>
    <n v="2851"/>
    <n v="9150"/>
    <n v="1"/>
    <s v="Y"/>
    <s v="Yes"/>
    <n v="13"/>
    <n v="3"/>
    <n v="2"/>
    <n v="80"/>
    <n v="0"/>
    <n v="1"/>
    <n v="2"/>
    <n v="3"/>
    <x v="6"/>
    <n v="0"/>
    <n v="0"/>
    <n v="0"/>
    <s v="26-35"/>
    <s v="Low"/>
    <s v="0-2"/>
    <s v="Junior"/>
    <s v="Standard"/>
    <s v="High"/>
    <x v="0"/>
  </r>
  <r>
    <n v="37"/>
    <x v="1"/>
    <s v="Travel_Rarely"/>
    <n v="921"/>
    <x v="1"/>
    <n v="10"/>
    <n v="3"/>
    <s v="Medical"/>
    <n v="1"/>
    <n v="486"/>
    <x v="1"/>
    <s v="Female"/>
    <n v="98"/>
    <n v="3"/>
    <x v="1"/>
    <x v="2"/>
    <x v="3"/>
    <s v="Married"/>
    <n v="3452"/>
    <n v="17663"/>
    <n v="6"/>
    <s v="Y"/>
    <s v="No"/>
    <n v="20"/>
    <n v="4"/>
    <n v="2"/>
    <n v="80"/>
    <n v="1"/>
    <n v="17"/>
    <n v="3"/>
    <n v="3"/>
    <x v="8"/>
    <n v="4"/>
    <n v="0"/>
    <n v="3"/>
    <s v="36-45"/>
    <s v="Medium"/>
    <s v="3-5"/>
    <s v="Senior"/>
    <s v="Excellent"/>
    <s v="Low"/>
    <x v="0"/>
  </r>
  <r>
    <n v="46"/>
    <x v="1"/>
    <s v="Non-Travel"/>
    <n v="1144"/>
    <x v="1"/>
    <n v="7"/>
    <n v="4"/>
    <s v="Medical"/>
    <n v="1"/>
    <n v="487"/>
    <x v="1"/>
    <s v="Female"/>
    <n v="30"/>
    <n v="3"/>
    <x v="0"/>
    <x v="3"/>
    <x v="2"/>
    <s v="Married"/>
    <n v="5258"/>
    <n v="16044"/>
    <n v="2"/>
    <s v="Y"/>
    <s v="No"/>
    <n v="14"/>
    <n v="3"/>
    <n v="3"/>
    <n v="80"/>
    <n v="0"/>
    <n v="7"/>
    <n v="2"/>
    <n v="4"/>
    <x v="6"/>
    <n v="0"/>
    <n v="0"/>
    <n v="0"/>
    <s v="46-55"/>
    <s v="Medium"/>
    <s v="0-2"/>
    <s v="Mid-Level"/>
    <s v="Standard"/>
    <s v="High"/>
    <x v="0"/>
  </r>
  <r>
    <n v="41"/>
    <x v="0"/>
    <s v="Travel_Frequently"/>
    <n v="143"/>
    <x v="0"/>
    <n v="4"/>
    <n v="3"/>
    <s v="Marketing"/>
    <n v="1"/>
    <n v="488"/>
    <x v="3"/>
    <s v="Male"/>
    <n v="56"/>
    <n v="3"/>
    <x v="0"/>
    <x v="0"/>
    <x v="1"/>
    <s v="Single"/>
    <n v="9355"/>
    <n v="9558"/>
    <n v="1"/>
    <s v="Y"/>
    <s v="No"/>
    <n v="18"/>
    <n v="3"/>
    <n v="3"/>
    <n v="80"/>
    <n v="0"/>
    <n v="8"/>
    <n v="5"/>
    <n v="3"/>
    <x v="3"/>
    <n v="7"/>
    <n v="7"/>
    <n v="7"/>
    <s v="36-45"/>
    <s v="High"/>
    <s v="6-10"/>
    <s v="Mid-Level"/>
    <s v="Standard"/>
    <s v="Low"/>
    <x v="0"/>
  </r>
  <r>
    <n v="50"/>
    <x v="1"/>
    <s v="Travel_Rarely"/>
    <n v="1046"/>
    <x v="1"/>
    <n v="10"/>
    <n v="3"/>
    <s v="Technical Degree"/>
    <n v="1"/>
    <n v="491"/>
    <x v="2"/>
    <s v="Male"/>
    <n v="100"/>
    <n v="2"/>
    <x v="2"/>
    <x v="4"/>
    <x v="0"/>
    <s v="Single"/>
    <n v="10496"/>
    <n v="2755"/>
    <n v="6"/>
    <s v="Y"/>
    <s v="No"/>
    <n v="15"/>
    <n v="3"/>
    <n v="4"/>
    <n v="80"/>
    <n v="0"/>
    <n v="20"/>
    <n v="2"/>
    <n v="3"/>
    <x v="9"/>
    <n v="3"/>
    <n v="1"/>
    <n v="3"/>
    <s v="46-55"/>
    <s v="Very High"/>
    <s v="3-5"/>
    <s v="Senior"/>
    <s v="Standard"/>
    <s v="High"/>
    <x v="0"/>
  </r>
  <r>
    <n v="40"/>
    <x v="0"/>
    <s v="Travel_Rarely"/>
    <n v="575"/>
    <x v="0"/>
    <n v="22"/>
    <n v="2"/>
    <s v="Marketing"/>
    <n v="1"/>
    <n v="492"/>
    <x v="1"/>
    <s v="Male"/>
    <n v="68"/>
    <n v="2"/>
    <x v="0"/>
    <x v="0"/>
    <x v="2"/>
    <s v="Married"/>
    <n v="6380"/>
    <n v="6110"/>
    <n v="2"/>
    <s v="Y"/>
    <s v="Yes"/>
    <n v="12"/>
    <n v="3"/>
    <n v="1"/>
    <n v="80"/>
    <n v="2"/>
    <n v="8"/>
    <n v="6"/>
    <n v="3"/>
    <x v="0"/>
    <n v="4"/>
    <n v="1"/>
    <n v="0"/>
    <s v="36-45"/>
    <s v="High"/>
    <s v="6-10"/>
    <s v="Mid-Level"/>
    <s v="Standard"/>
    <s v="High"/>
    <x v="0"/>
  </r>
  <r>
    <n v="31"/>
    <x v="1"/>
    <s v="Travel_Rarely"/>
    <n v="408"/>
    <x v="1"/>
    <n v="9"/>
    <n v="4"/>
    <s v="Life Sciences"/>
    <n v="1"/>
    <n v="493"/>
    <x v="1"/>
    <s v="Male"/>
    <n v="42"/>
    <n v="2"/>
    <x v="1"/>
    <x v="1"/>
    <x v="1"/>
    <s v="Single"/>
    <n v="2657"/>
    <n v="7551"/>
    <n v="0"/>
    <s v="Y"/>
    <s v="Yes"/>
    <n v="16"/>
    <n v="3"/>
    <n v="4"/>
    <n v="80"/>
    <n v="0"/>
    <n v="3"/>
    <n v="5"/>
    <n v="3"/>
    <x v="4"/>
    <n v="2"/>
    <n v="2"/>
    <n v="2"/>
    <s v="26-35"/>
    <s v="Low"/>
    <s v="0-2"/>
    <s v="Junior"/>
    <s v="Standard"/>
    <s v="Low"/>
    <x v="1"/>
  </r>
  <r>
    <n v="21"/>
    <x v="0"/>
    <s v="Travel_Rarely"/>
    <n v="156"/>
    <x v="0"/>
    <n v="12"/>
    <n v="3"/>
    <s v="Life Sciences"/>
    <n v="1"/>
    <n v="494"/>
    <x v="1"/>
    <s v="Female"/>
    <n v="90"/>
    <n v="4"/>
    <x v="1"/>
    <x v="6"/>
    <x v="1"/>
    <s v="Single"/>
    <n v="2716"/>
    <n v="25422"/>
    <n v="1"/>
    <s v="Y"/>
    <s v="No"/>
    <n v="15"/>
    <n v="3"/>
    <n v="4"/>
    <n v="80"/>
    <n v="0"/>
    <n v="1"/>
    <n v="0"/>
    <n v="3"/>
    <x v="6"/>
    <n v="0"/>
    <n v="0"/>
    <n v="0"/>
    <s v="18-25"/>
    <s v="Low"/>
    <s v="0-2"/>
    <s v="Junior"/>
    <s v="Standard"/>
    <s v="Low"/>
    <x v="0"/>
  </r>
  <r>
    <n v="29"/>
    <x v="1"/>
    <s v="Travel_Rarely"/>
    <n v="1283"/>
    <x v="1"/>
    <n v="23"/>
    <n v="3"/>
    <s v="Life Sciences"/>
    <n v="1"/>
    <n v="495"/>
    <x v="2"/>
    <s v="Male"/>
    <n v="54"/>
    <n v="3"/>
    <x v="1"/>
    <x v="1"/>
    <x v="0"/>
    <s v="Single"/>
    <n v="2201"/>
    <n v="18168"/>
    <n v="9"/>
    <s v="Y"/>
    <s v="No"/>
    <n v="16"/>
    <n v="3"/>
    <n v="4"/>
    <n v="80"/>
    <n v="0"/>
    <n v="6"/>
    <n v="4"/>
    <n v="3"/>
    <x v="11"/>
    <n v="2"/>
    <n v="1"/>
    <n v="2"/>
    <s v="26-35"/>
    <s v="Low"/>
    <s v="3-5"/>
    <s v="Mid-Level"/>
    <s v="Standard"/>
    <s v="High"/>
    <x v="0"/>
  </r>
  <r>
    <n v="35"/>
    <x v="1"/>
    <s v="Travel_Rarely"/>
    <n v="755"/>
    <x v="1"/>
    <n v="9"/>
    <n v="4"/>
    <s v="Life Sciences"/>
    <n v="1"/>
    <n v="496"/>
    <x v="1"/>
    <s v="Male"/>
    <n v="97"/>
    <n v="2"/>
    <x v="0"/>
    <x v="4"/>
    <x v="1"/>
    <s v="Single"/>
    <n v="6540"/>
    <n v="19394"/>
    <n v="9"/>
    <s v="Y"/>
    <s v="No"/>
    <n v="19"/>
    <n v="3"/>
    <n v="3"/>
    <n v="80"/>
    <n v="0"/>
    <n v="10"/>
    <n v="5"/>
    <n v="3"/>
    <x v="6"/>
    <n v="1"/>
    <n v="0"/>
    <n v="0"/>
    <s v="26-35"/>
    <s v="High"/>
    <s v="0-2"/>
    <s v="Mid-Level"/>
    <s v="Standard"/>
    <s v="Low"/>
    <x v="0"/>
  </r>
  <r>
    <n v="27"/>
    <x v="1"/>
    <s v="Travel_Rarely"/>
    <n v="1469"/>
    <x v="1"/>
    <n v="1"/>
    <n v="2"/>
    <s v="Medical"/>
    <n v="1"/>
    <n v="497"/>
    <x v="2"/>
    <s v="Male"/>
    <n v="82"/>
    <n v="3"/>
    <x v="1"/>
    <x v="2"/>
    <x v="1"/>
    <s v="Divorced"/>
    <n v="3816"/>
    <n v="17881"/>
    <n v="1"/>
    <s v="Y"/>
    <s v="No"/>
    <n v="11"/>
    <n v="3"/>
    <n v="2"/>
    <n v="80"/>
    <n v="1"/>
    <n v="5"/>
    <n v="2"/>
    <n v="3"/>
    <x v="8"/>
    <n v="2"/>
    <n v="0"/>
    <n v="4"/>
    <s v="26-35"/>
    <s v="Medium"/>
    <s v="3-5"/>
    <s v="Junior"/>
    <s v="Standard"/>
    <s v="Low"/>
    <x v="0"/>
  </r>
  <r>
    <n v="28"/>
    <x v="1"/>
    <s v="Travel_Rarely"/>
    <n v="304"/>
    <x v="0"/>
    <n v="9"/>
    <n v="4"/>
    <s v="Life Sciences"/>
    <n v="1"/>
    <n v="498"/>
    <x v="0"/>
    <s v="Male"/>
    <n v="92"/>
    <n v="3"/>
    <x v="0"/>
    <x v="0"/>
    <x v="0"/>
    <s v="Single"/>
    <n v="5253"/>
    <n v="20750"/>
    <n v="1"/>
    <s v="Y"/>
    <s v="No"/>
    <n v="16"/>
    <n v="3"/>
    <n v="4"/>
    <n v="80"/>
    <n v="0"/>
    <n v="7"/>
    <n v="1"/>
    <n v="3"/>
    <x v="5"/>
    <n v="5"/>
    <n v="0"/>
    <n v="7"/>
    <s v="26-35"/>
    <s v="Medium"/>
    <s v="6-10"/>
    <s v="Mid-Level"/>
    <s v="Standard"/>
    <s v="High"/>
    <x v="0"/>
  </r>
  <r>
    <n v="49"/>
    <x v="1"/>
    <s v="Travel_Rarely"/>
    <n v="1261"/>
    <x v="1"/>
    <n v="7"/>
    <n v="3"/>
    <s v="Other"/>
    <n v="1"/>
    <n v="499"/>
    <x v="0"/>
    <s v="Male"/>
    <n v="31"/>
    <n v="2"/>
    <x v="2"/>
    <x v="4"/>
    <x v="2"/>
    <s v="Single"/>
    <n v="10965"/>
    <n v="12066"/>
    <n v="8"/>
    <s v="Y"/>
    <s v="No"/>
    <n v="24"/>
    <n v="4"/>
    <n v="3"/>
    <n v="80"/>
    <n v="0"/>
    <n v="26"/>
    <n v="2"/>
    <n v="3"/>
    <x v="8"/>
    <n v="2"/>
    <n v="0"/>
    <n v="0"/>
    <s v="46-55"/>
    <s v="Very High"/>
    <s v="3-5"/>
    <s v="Senior"/>
    <s v="Excellent"/>
    <s v="High"/>
    <x v="0"/>
  </r>
  <r>
    <n v="51"/>
    <x v="1"/>
    <s v="Travel_Rarely"/>
    <n v="1178"/>
    <x v="0"/>
    <n v="14"/>
    <n v="2"/>
    <s v="Life Sciences"/>
    <n v="1"/>
    <n v="500"/>
    <x v="1"/>
    <s v="Female"/>
    <n v="87"/>
    <n v="3"/>
    <x v="0"/>
    <x v="0"/>
    <x v="0"/>
    <s v="Married"/>
    <n v="4936"/>
    <n v="14862"/>
    <n v="4"/>
    <s v="Y"/>
    <s v="No"/>
    <n v="11"/>
    <n v="3"/>
    <n v="3"/>
    <n v="80"/>
    <n v="1"/>
    <n v="18"/>
    <n v="2"/>
    <n v="2"/>
    <x v="5"/>
    <n v="7"/>
    <n v="0"/>
    <n v="7"/>
    <s v="46-55"/>
    <s v="Medium"/>
    <s v="6-10"/>
    <s v="Senior"/>
    <s v="Standard"/>
    <s v="High"/>
    <x v="0"/>
  </r>
  <r>
    <n v="36"/>
    <x v="1"/>
    <s v="Travel_Rarely"/>
    <n v="329"/>
    <x v="1"/>
    <n v="2"/>
    <n v="3"/>
    <s v="Life Sciences"/>
    <n v="1"/>
    <n v="501"/>
    <x v="2"/>
    <s v="Female"/>
    <n v="96"/>
    <n v="3"/>
    <x v="1"/>
    <x v="1"/>
    <x v="2"/>
    <s v="Married"/>
    <n v="2543"/>
    <n v="11868"/>
    <n v="4"/>
    <s v="Y"/>
    <s v="No"/>
    <n v="13"/>
    <n v="3"/>
    <n v="2"/>
    <n v="80"/>
    <n v="1"/>
    <n v="6"/>
    <n v="3"/>
    <n v="3"/>
    <x v="4"/>
    <n v="2"/>
    <n v="2"/>
    <n v="2"/>
    <s v="36-45"/>
    <s v="Low"/>
    <s v="0-2"/>
    <s v="Mid-Level"/>
    <s v="Standard"/>
    <s v="High"/>
    <x v="0"/>
  </r>
  <r>
    <n v="34"/>
    <x v="0"/>
    <s v="Non-Travel"/>
    <n v="1362"/>
    <x v="0"/>
    <n v="19"/>
    <n v="3"/>
    <s v="Marketing"/>
    <n v="1"/>
    <n v="502"/>
    <x v="3"/>
    <s v="Male"/>
    <n v="67"/>
    <n v="4"/>
    <x v="0"/>
    <x v="0"/>
    <x v="0"/>
    <s v="Single"/>
    <n v="5304"/>
    <n v="4652"/>
    <n v="8"/>
    <s v="Y"/>
    <s v="Yes"/>
    <n v="13"/>
    <n v="3"/>
    <n v="2"/>
    <n v="80"/>
    <n v="0"/>
    <n v="9"/>
    <n v="3"/>
    <n v="2"/>
    <x v="8"/>
    <n v="2"/>
    <n v="0"/>
    <n v="4"/>
    <s v="26-35"/>
    <s v="Medium"/>
    <s v="3-5"/>
    <s v="Mid-Level"/>
    <s v="Standard"/>
    <s v="High"/>
    <x v="0"/>
  </r>
  <r>
    <n v="55"/>
    <x v="1"/>
    <s v="Travel_Rarely"/>
    <n v="1311"/>
    <x v="1"/>
    <n v="2"/>
    <n v="3"/>
    <s v="Life Sciences"/>
    <n v="1"/>
    <n v="505"/>
    <x v="1"/>
    <s v="Female"/>
    <n v="97"/>
    <n v="3"/>
    <x v="3"/>
    <x v="5"/>
    <x v="0"/>
    <s v="Single"/>
    <n v="16659"/>
    <n v="23258"/>
    <n v="2"/>
    <s v="Y"/>
    <s v="Yes"/>
    <n v="13"/>
    <n v="3"/>
    <n v="3"/>
    <n v="80"/>
    <n v="0"/>
    <n v="30"/>
    <n v="2"/>
    <n v="3"/>
    <x v="8"/>
    <n v="4"/>
    <n v="1"/>
    <n v="2"/>
    <s v="46-55"/>
    <s v="Very High"/>
    <s v="3-5"/>
    <s v="Senior"/>
    <s v="Standard"/>
    <s v="High"/>
    <x v="0"/>
  </r>
  <r>
    <n v="24"/>
    <x v="1"/>
    <s v="Travel_Rarely"/>
    <n v="1371"/>
    <x v="0"/>
    <n v="10"/>
    <n v="4"/>
    <s v="Marketing"/>
    <n v="1"/>
    <n v="507"/>
    <x v="2"/>
    <s v="Female"/>
    <n v="77"/>
    <n v="3"/>
    <x v="0"/>
    <x v="0"/>
    <x v="2"/>
    <s v="Divorced"/>
    <n v="4260"/>
    <n v="5915"/>
    <n v="1"/>
    <s v="Y"/>
    <s v="Yes"/>
    <n v="12"/>
    <n v="3"/>
    <n v="4"/>
    <n v="80"/>
    <n v="1"/>
    <n v="5"/>
    <n v="2"/>
    <n v="4"/>
    <x v="8"/>
    <n v="2"/>
    <n v="0"/>
    <n v="3"/>
    <s v="18-25"/>
    <s v="Medium"/>
    <s v="3-5"/>
    <s v="Junior"/>
    <s v="Standard"/>
    <s v="High"/>
    <x v="0"/>
  </r>
  <r>
    <n v="30"/>
    <x v="1"/>
    <s v="Travel_Rarely"/>
    <n v="202"/>
    <x v="0"/>
    <n v="2"/>
    <n v="1"/>
    <s v="Technical Degree"/>
    <n v="1"/>
    <n v="508"/>
    <x v="1"/>
    <s v="Male"/>
    <n v="72"/>
    <n v="3"/>
    <x v="1"/>
    <x v="6"/>
    <x v="1"/>
    <s v="Married"/>
    <n v="2476"/>
    <n v="17434"/>
    <n v="1"/>
    <s v="Y"/>
    <s v="No"/>
    <n v="18"/>
    <n v="3"/>
    <n v="1"/>
    <n v="80"/>
    <n v="1"/>
    <n v="1"/>
    <n v="3"/>
    <n v="3"/>
    <x v="6"/>
    <n v="0"/>
    <n v="0"/>
    <n v="0"/>
    <s v="26-35"/>
    <s v="Low"/>
    <s v="0-2"/>
    <s v="Junior"/>
    <s v="Standard"/>
    <s v="Low"/>
    <x v="0"/>
  </r>
  <r>
    <n v="26"/>
    <x v="0"/>
    <s v="Travel_Frequently"/>
    <n v="575"/>
    <x v="1"/>
    <n v="3"/>
    <n v="1"/>
    <s v="Technical Degree"/>
    <n v="1"/>
    <n v="510"/>
    <x v="1"/>
    <s v="Male"/>
    <n v="73"/>
    <n v="3"/>
    <x v="1"/>
    <x v="1"/>
    <x v="3"/>
    <s v="Single"/>
    <n v="3102"/>
    <n v="6582"/>
    <n v="0"/>
    <s v="Y"/>
    <s v="No"/>
    <n v="22"/>
    <n v="4"/>
    <n v="3"/>
    <n v="80"/>
    <n v="0"/>
    <n v="7"/>
    <n v="2"/>
    <n v="3"/>
    <x v="0"/>
    <n v="4"/>
    <n v="0"/>
    <n v="4"/>
    <s v="26-35"/>
    <s v="Medium"/>
    <s v="6-10"/>
    <s v="Mid-Level"/>
    <s v="Excellent"/>
    <s v="Low"/>
    <x v="0"/>
  </r>
  <r>
    <n v="22"/>
    <x v="1"/>
    <s v="Travel_Rarely"/>
    <n v="253"/>
    <x v="1"/>
    <n v="11"/>
    <n v="3"/>
    <s v="Medical"/>
    <n v="1"/>
    <n v="511"/>
    <x v="3"/>
    <s v="Female"/>
    <n v="43"/>
    <n v="3"/>
    <x v="1"/>
    <x v="1"/>
    <x v="1"/>
    <s v="Married"/>
    <n v="2244"/>
    <n v="24440"/>
    <n v="1"/>
    <s v="Y"/>
    <s v="No"/>
    <n v="13"/>
    <n v="3"/>
    <n v="4"/>
    <n v="80"/>
    <n v="1"/>
    <n v="2"/>
    <n v="1"/>
    <n v="3"/>
    <x v="4"/>
    <n v="1"/>
    <n v="1"/>
    <n v="2"/>
    <s v="18-25"/>
    <s v="Low"/>
    <s v="0-2"/>
    <s v="Junior"/>
    <s v="Standard"/>
    <s v="Low"/>
    <x v="0"/>
  </r>
  <r>
    <n v="36"/>
    <x v="1"/>
    <s v="Travel_Rarely"/>
    <n v="164"/>
    <x v="0"/>
    <n v="2"/>
    <n v="2"/>
    <s v="Medical"/>
    <n v="1"/>
    <n v="513"/>
    <x v="0"/>
    <s v="Male"/>
    <n v="61"/>
    <n v="2"/>
    <x v="2"/>
    <x v="0"/>
    <x v="2"/>
    <s v="Married"/>
    <n v="7596"/>
    <n v="3809"/>
    <n v="1"/>
    <s v="Y"/>
    <s v="No"/>
    <n v="13"/>
    <n v="3"/>
    <n v="2"/>
    <n v="80"/>
    <n v="2"/>
    <n v="10"/>
    <n v="2"/>
    <n v="3"/>
    <x v="1"/>
    <n v="9"/>
    <n v="9"/>
    <n v="0"/>
    <s v="36-45"/>
    <s v="High"/>
    <s v="6-10"/>
    <s v="Mid-Level"/>
    <s v="Standard"/>
    <s v="High"/>
    <x v="0"/>
  </r>
  <r>
    <n v="30"/>
    <x v="0"/>
    <s v="Travel_Frequently"/>
    <n v="464"/>
    <x v="1"/>
    <n v="4"/>
    <n v="3"/>
    <s v="Technical Degree"/>
    <n v="1"/>
    <n v="514"/>
    <x v="1"/>
    <s v="Male"/>
    <n v="40"/>
    <n v="3"/>
    <x v="1"/>
    <x v="1"/>
    <x v="0"/>
    <s v="Single"/>
    <n v="2285"/>
    <n v="3427"/>
    <n v="9"/>
    <s v="Y"/>
    <s v="Yes"/>
    <n v="23"/>
    <n v="4"/>
    <n v="3"/>
    <n v="80"/>
    <n v="0"/>
    <n v="3"/>
    <n v="4"/>
    <n v="3"/>
    <x v="6"/>
    <n v="0"/>
    <n v="0"/>
    <n v="0"/>
    <s v="26-35"/>
    <s v="Low"/>
    <s v="0-2"/>
    <s v="Junior"/>
    <s v="Excellent"/>
    <s v="High"/>
    <x v="0"/>
  </r>
  <r>
    <n v="37"/>
    <x v="1"/>
    <s v="Travel_Rarely"/>
    <n v="1107"/>
    <x v="1"/>
    <n v="14"/>
    <n v="3"/>
    <s v="Life Sciences"/>
    <n v="1"/>
    <n v="515"/>
    <x v="2"/>
    <s v="Female"/>
    <n v="95"/>
    <n v="3"/>
    <x v="1"/>
    <x v="2"/>
    <x v="3"/>
    <s v="Divorced"/>
    <n v="3034"/>
    <n v="26914"/>
    <n v="1"/>
    <s v="Y"/>
    <s v="No"/>
    <n v="12"/>
    <n v="3"/>
    <n v="3"/>
    <n v="80"/>
    <n v="1"/>
    <n v="18"/>
    <n v="2"/>
    <n v="2"/>
    <x v="29"/>
    <n v="7"/>
    <n v="12"/>
    <n v="17"/>
    <s v="36-45"/>
    <s v="Medium"/>
    <s v="16+"/>
    <s v="Senior"/>
    <s v="Standard"/>
    <s v="Low"/>
    <x v="0"/>
  </r>
  <r>
    <n v="40"/>
    <x v="1"/>
    <s v="Travel_Rarely"/>
    <n v="759"/>
    <x v="0"/>
    <n v="2"/>
    <n v="2"/>
    <s v="Marketing"/>
    <n v="1"/>
    <n v="516"/>
    <x v="2"/>
    <s v="Female"/>
    <n v="46"/>
    <n v="3"/>
    <x v="0"/>
    <x v="0"/>
    <x v="1"/>
    <s v="Divorced"/>
    <n v="5715"/>
    <n v="22553"/>
    <n v="7"/>
    <s v="Y"/>
    <s v="No"/>
    <n v="12"/>
    <n v="3"/>
    <n v="3"/>
    <n v="80"/>
    <n v="2"/>
    <n v="8"/>
    <n v="5"/>
    <n v="3"/>
    <x v="8"/>
    <n v="4"/>
    <n v="1"/>
    <n v="3"/>
    <s v="36-45"/>
    <s v="Medium"/>
    <s v="3-5"/>
    <s v="Mid-Level"/>
    <s v="Standard"/>
    <s v="Low"/>
    <x v="0"/>
  </r>
  <r>
    <n v="42"/>
    <x v="1"/>
    <s v="Travel_Rarely"/>
    <n v="201"/>
    <x v="1"/>
    <n v="1"/>
    <n v="4"/>
    <s v="Life Sciences"/>
    <n v="1"/>
    <n v="517"/>
    <x v="0"/>
    <s v="Female"/>
    <n v="95"/>
    <n v="3"/>
    <x v="1"/>
    <x v="2"/>
    <x v="3"/>
    <s v="Divorced"/>
    <n v="2576"/>
    <n v="20490"/>
    <n v="3"/>
    <s v="Y"/>
    <s v="No"/>
    <n v="16"/>
    <n v="3"/>
    <n v="2"/>
    <n v="80"/>
    <n v="1"/>
    <n v="8"/>
    <n v="5"/>
    <n v="3"/>
    <x v="8"/>
    <n v="2"/>
    <n v="1"/>
    <n v="2"/>
    <s v="36-45"/>
    <s v="Low"/>
    <s v="3-5"/>
    <s v="Mid-Level"/>
    <s v="Standard"/>
    <s v="Low"/>
    <x v="0"/>
  </r>
  <r>
    <n v="37"/>
    <x v="1"/>
    <s v="Travel_Rarely"/>
    <n v="1305"/>
    <x v="1"/>
    <n v="10"/>
    <n v="4"/>
    <s v="Life Sciences"/>
    <n v="1"/>
    <n v="518"/>
    <x v="1"/>
    <s v="Male"/>
    <n v="49"/>
    <n v="3"/>
    <x v="0"/>
    <x v="3"/>
    <x v="1"/>
    <s v="Single"/>
    <n v="4197"/>
    <n v="21123"/>
    <n v="2"/>
    <s v="Y"/>
    <s v="Yes"/>
    <n v="12"/>
    <n v="3"/>
    <n v="4"/>
    <n v="80"/>
    <n v="0"/>
    <n v="18"/>
    <n v="2"/>
    <n v="2"/>
    <x v="6"/>
    <n v="0"/>
    <n v="0"/>
    <n v="1"/>
    <s v="36-45"/>
    <s v="Medium"/>
    <s v="0-2"/>
    <s v="Senior"/>
    <s v="Standard"/>
    <s v="Low"/>
    <x v="1"/>
  </r>
  <r>
    <n v="43"/>
    <x v="1"/>
    <s v="Travel_Rarely"/>
    <n v="982"/>
    <x v="1"/>
    <n v="12"/>
    <n v="3"/>
    <s v="Life Sciences"/>
    <n v="1"/>
    <n v="520"/>
    <x v="3"/>
    <s v="Male"/>
    <n v="59"/>
    <n v="2"/>
    <x v="3"/>
    <x v="7"/>
    <x v="1"/>
    <s v="Divorced"/>
    <n v="14336"/>
    <n v="4345"/>
    <n v="1"/>
    <s v="Y"/>
    <s v="No"/>
    <n v="11"/>
    <n v="3"/>
    <n v="3"/>
    <n v="80"/>
    <n v="1"/>
    <n v="25"/>
    <n v="3"/>
    <n v="3"/>
    <x v="10"/>
    <n v="10"/>
    <n v="3"/>
    <n v="9"/>
    <s v="36-45"/>
    <s v="Very High"/>
    <s v="16+"/>
    <s v="Senior"/>
    <s v="Standard"/>
    <s v="Low"/>
    <x v="0"/>
  </r>
  <r>
    <n v="40"/>
    <x v="1"/>
    <s v="Travel_Rarely"/>
    <n v="555"/>
    <x v="1"/>
    <n v="2"/>
    <n v="3"/>
    <s v="Medical"/>
    <n v="1"/>
    <n v="521"/>
    <x v="0"/>
    <s v="Female"/>
    <n v="78"/>
    <n v="2"/>
    <x v="0"/>
    <x v="2"/>
    <x v="2"/>
    <s v="Married"/>
    <n v="3448"/>
    <n v="13436"/>
    <n v="6"/>
    <s v="Y"/>
    <s v="No"/>
    <n v="22"/>
    <n v="4"/>
    <n v="2"/>
    <n v="80"/>
    <n v="1"/>
    <n v="20"/>
    <n v="3"/>
    <n v="3"/>
    <x v="6"/>
    <n v="0"/>
    <n v="0"/>
    <n v="0"/>
    <s v="36-45"/>
    <s v="Medium"/>
    <s v="0-2"/>
    <s v="Senior"/>
    <s v="Excellent"/>
    <s v="High"/>
    <x v="0"/>
  </r>
  <r>
    <n v="54"/>
    <x v="1"/>
    <s v="Travel_Rarely"/>
    <n v="821"/>
    <x v="1"/>
    <n v="5"/>
    <n v="2"/>
    <s v="Medical"/>
    <n v="1"/>
    <n v="522"/>
    <x v="3"/>
    <s v="Male"/>
    <n v="86"/>
    <n v="3"/>
    <x v="4"/>
    <x v="7"/>
    <x v="3"/>
    <s v="Married"/>
    <n v="19406"/>
    <n v="8509"/>
    <n v="4"/>
    <s v="Y"/>
    <s v="No"/>
    <n v="11"/>
    <n v="3"/>
    <n v="3"/>
    <n v="80"/>
    <n v="1"/>
    <n v="24"/>
    <n v="4"/>
    <n v="2"/>
    <x v="9"/>
    <n v="2"/>
    <n v="1"/>
    <n v="2"/>
    <s v="46-55"/>
    <s v="Very High"/>
    <s v="3-5"/>
    <s v="Senior"/>
    <s v="Standard"/>
    <s v="Low"/>
    <x v="0"/>
  </r>
  <r>
    <n v="34"/>
    <x v="1"/>
    <s v="Non-Travel"/>
    <n v="1381"/>
    <x v="0"/>
    <n v="4"/>
    <n v="4"/>
    <s v="Marketing"/>
    <n v="1"/>
    <n v="523"/>
    <x v="1"/>
    <s v="Female"/>
    <n v="72"/>
    <n v="3"/>
    <x v="0"/>
    <x v="0"/>
    <x v="2"/>
    <s v="Married"/>
    <n v="6538"/>
    <n v="12740"/>
    <n v="9"/>
    <s v="Y"/>
    <s v="No"/>
    <n v="15"/>
    <n v="3"/>
    <n v="1"/>
    <n v="80"/>
    <n v="1"/>
    <n v="6"/>
    <n v="3"/>
    <n v="3"/>
    <x v="11"/>
    <n v="2"/>
    <n v="1"/>
    <n v="2"/>
    <s v="26-35"/>
    <s v="High"/>
    <s v="3-5"/>
    <s v="Mid-Level"/>
    <s v="Standard"/>
    <s v="High"/>
    <x v="0"/>
  </r>
  <r>
    <n v="31"/>
    <x v="1"/>
    <s v="Travel_Rarely"/>
    <n v="480"/>
    <x v="1"/>
    <n v="7"/>
    <n v="2"/>
    <s v="Medical"/>
    <n v="1"/>
    <n v="524"/>
    <x v="0"/>
    <s v="Female"/>
    <n v="31"/>
    <n v="3"/>
    <x v="0"/>
    <x v="3"/>
    <x v="3"/>
    <s v="Married"/>
    <n v="4306"/>
    <n v="4156"/>
    <n v="1"/>
    <s v="Y"/>
    <s v="No"/>
    <n v="12"/>
    <n v="3"/>
    <n v="2"/>
    <n v="80"/>
    <n v="1"/>
    <n v="13"/>
    <n v="5"/>
    <n v="1"/>
    <x v="20"/>
    <n v="10"/>
    <n v="3"/>
    <n v="12"/>
    <s v="26-35"/>
    <s v="Medium"/>
    <s v="11-15"/>
    <s v="Mid-Level"/>
    <s v="Standard"/>
    <s v="Low"/>
    <x v="0"/>
  </r>
  <r>
    <n v="43"/>
    <x v="1"/>
    <s v="Travel_Frequently"/>
    <n v="313"/>
    <x v="1"/>
    <n v="21"/>
    <n v="3"/>
    <s v="Medical"/>
    <n v="1"/>
    <n v="525"/>
    <x v="2"/>
    <s v="Male"/>
    <n v="61"/>
    <n v="3"/>
    <x v="1"/>
    <x v="2"/>
    <x v="0"/>
    <s v="Married"/>
    <n v="2258"/>
    <n v="15238"/>
    <n v="7"/>
    <s v="Y"/>
    <s v="No"/>
    <n v="20"/>
    <n v="4"/>
    <n v="1"/>
    <n v="80"/>
    <n v="1"/>
    <n v="8"/>
    <n v="1"/>
    <n v="3"/>
    <x v="11"/>
    <n v="2"/>
    <n v="1"/>
    <n v="2"/>
    <s v="36-45"/>
    <s v="Low"/>
    <s v="3-5"/>
    <s v="Mid-Level"/>
    <s v="Excellent"/>
    <s v="High"/>
    <x v="0"/>
  </r>
  <r>
    <n v="43"/>
    <x v="1"/>
    <s v="Travel_Rarely"/>
    <n v="1473"/>
    <x v="1"/>
    <n v="8"/>
    <n v="4"/>
    <s v="Other"/>
    <n v="1"/>
    <n v="526"/>
    <x v="1"/>
    <s v="Female"/>
    <n v="74"/>
    <n v="3"/>
    <x v="0"/>
    <x v="4"/>
    <x v="2"/>
    <s v="Divorced"/>
    <n v="4522"/>
    <n v="2227"/>
    <n v="4"/>
    <s v="Y"/>
    <s v="Yes"/>
    <n v="14"/>
    <n v="3"/>
    <n v="4"/>
    <n v="80"/>
    <n v="0"/>
    <n v="8"/>
    <n v="3"/>
    <n v="3"/>
    <x v="8"/>
    <n v="2"/>
    <n v="0"/>
    <n v="2"/>
    <s v="36-45"/>
    <s v="Medium"/>
    <s v="3-5"/>
    <s v="Mid-Level"/>
    <s v="Standard"/>
    <s v="High"/>
    <x v="0"/>
  </r>
  <r>
    <n v="25"/>
    <x v="1"/>
    <s v="Travel_Rarely"/>
    <n v="891"/>
    <x v="0"/>
    <n v="4"/>
    <n v="2"/>
    <s v="Life Sciences"/>
    <n v="1"/>
    <n v="527"/>
    <x v="0"/>
    <s v="Female"/>
    <n v="99"/>
    <n v="2"/>
    <x v="0"/>
    <x v="0"/>
    <x v="0"/>
    <s v="Single"/>
    <n v="4487"/>
    <n v="12090"/>
    <n v="1"/>
    <s v="Y"/>
    <s v="Yes"/>
    <n v="11"/>
    <n v="3"/>
    <n v="2"/>
    <n v="80"/>
    <n v="0"/>
    <n v="5"/>
    <n v="3"/>
    <n v="3"/>
    <x v="8"/>
    <n v="4"/>
    <n v="1"/>
    <n v="3"/>
    <s v="18-25"/>
    <s v="Medium"/>
    <s v="3-5"/>
    <s v="Junior"/>
    <s v="Standard"/>
    <s v="High"/>
    <x v="0"/>
  </r>
  <r>
    <n v="37"/>
    <x v="1"/>
    <s v="Non-Travel"/>
    <n v="1063"/>
    <x v="1"/>
    <n v="25"/>
    <n v="5"/>
    <s v="Medical"/>
    <n v="1"/>
    <n v="529"/>
    <x v="0"/>
    <s v="Female"/>
    <n v="72"/>
    <n v="3"/>
    <x v="0"/>
    <x v="1"/>
    <x v="2"/>
    <s v="Married"/>
    <n v="4449"/>
    <n v="23866"/>
    <n v="3"/>
    <s v="Y"/>
    <s v="Yes"/>
    <n v="15"/>
    <n v="3"/>
    <n v="1"/>
    <n v="80"/>
    <n v="2"/>
    <n v="15"/>
    <n v="2"/>
    <n v="3"/>
    <x v="20"/>
    <n v="11"/>
    <n v="10"/>
    <n v="7"/>
    <s v="36-45"/>
    <s v="Medium"/>
    <s v="11-15"/>
    <s v="Mid-Level"/>
    <s v="Standard"/>
    <s v="High"/>
    <x v="0"/>
  </r>
  <r>
    <n v="31"/>
    <x v="1"/>
    <s v="Travel_Rarely"/>
    <n v="329"/>
    <x v="1"/>
    <n v="1"/>
    <n v="2"/>
    <s v="Life Sciences"/>
    <n v="1"/>
    <n v="530"/>
    <x v="2"/>
    <s v="Male"/>
    <n v="98"/>
    <n v="2"/>
    <x v="1"/>
    <x v="2"/>
    <x v="3"/>
    <s v="Married"/>
    <n v="2218"/>
    <n v="16193"/>
    <n v="1"/>
    <s v="Y"/>
    <s v="No"/>
    <n v="12"/>
    <n v="3"/>
    <n v="3"/>
    <n v="80"/>
    <n v="1"/>
    <n v="4"/>
    <n v="3"/>
    <n v="3"/>
    <x v="9"/>
    <n v="2"/>
    <n v="3"/>
    <n v="2"/>
    <s v="26-35"/>
    <s v="Low"/>
    <s v="3-5"/>
    <s v="Junior"/>
    <s v="Standard"/>
    <s v="Low"/>
    <x v="0"/>
  </r>
  <r>
    <n v="39"/>
    <x v="1"/>
    <s v="Travel_Frequently"/>
    <n v="1218"/>
    <x v="1"/>
    <n v="1"/>
    <n v="1"/>
    <s v="Life Sciences"/>
    <n v="1"/>
    <n v="531"/>
    <x v="0"/>
    <s v="Male"/>
    <n v="52"/>
    <n v="3"/>
    <x v="4"/>
    <x v="5"/>
    <x v="2"/>
    <s v="Divorced"/>
    <n v="19197"/>
    <n v="8213"/>
    <n v="1"/>
    <s v="Y"/>
    <s v="Yes"/>
    <n v="14"/>
    <n v="3"/>
    <n v="3"/>
    <n v="80"/>
    <n v="1"/>
    <n v="21"/>
    <n v="3"/>
    <n v="3"/>
    <x v="17"/>
    <n v="8"/>
    <n v="1"/>
    <n v="6"/>
    <s v="36-45"/>
    <s v="Very High"/>
    <s v="16+"/>
    <s v="Senior"/>
    <s v="Standard"/>
    <s v="High"/>
    <x v="0"/>
  </r>
  <r>
    <n v="56"/>
    <x v="1"/>
    <s v="Travel_Frequently"/>
    <n v="906"/>
    <x v="0"/>
    <n v="6"/>
    <n v="3"/>
    <s v="Life Sciences"/>
    <n v="1"/>
    <n v="532"/>
    <x v="1"/>
    <s v="Female"/>
    <n v="86"/>
    <n v="4"/>
    <x v="3"/>
    <x v="0"/>
    <x v="3"/>
    <s v="Married"/>
    <n v="13212"/>
    <n v="18256"/>
    <n v="9"/>
    <s v="Y"/>
    <s v="No"/>
    <n v="11"/>
    <n v="3"/>
    <n v="4"/>
    <n v="80"/>
    <n v="3"/>
    <n v="36"/>
    <n v="0"/>
    <n v="2"/>
    <x v="5"/>
    <n v="7"/>
    <n v="7"/>
    <n v="7"/>
    <s v="56+"/>
    <s v="Very High"/>
    <s v="6-10"/>
    <s v="Senior"/>
    <s v="Standard"/>
    <s v="Low"/>
    <x v="0"/>
  </r>
  <r>
    <n v="30"/>
    <x v="1"/>
    <s v="Travel_Rarely"/>
    <n v="1082"/>
    <x v="0"/>
    <n v="12"/>
    <n v="3"/>
    <s v="Technical Degree"/>
    <n v="1"/>
    <n v="533"/>
    <x v="0"/>
    <s v="Female"/>
    <n v="83"/>
    <n v="3"/>
    <x v="0"/>
    <x v="0"/>
    <x v="2"/>
    <s v="Single"/>
    <n v="6577"/>
    <n v="19558"/>
    <n v="0"/>
    <s v="Y"/>
    <s v="No"/>
    <n v="11"/>
    <n v="3"/>
    <n v="2"/>
    <n v="80"/>
    <n v="0"/>
    <n v="6"/>
    <n v="6"/>
    <n v="3"/>
    <x v="8"/>
    <n v="4"/>
    <n v="4"/>
    <n v="4"/>
    <s v="26-35"/>
    <s v="High"/>
    <s v="3-5"/>
    <s v="Mid-Level"/>
    <s v="Standard"/>
    <s v="High"/>
    <x v="0"/>
  </r>
  <r>
    <n v="41"/>
    <x v="1"/>
    <s v="Travel_Rarely"/>
    <n v="645"/>
    <x v="0"/>
    <n v="1"/>
    <n v="3"/>
    <s v="Marketing"/>
    <n v="1"/>
    <n v="534"/>
    <x v="0"/>
    <s v="Male"/>
    <n v="49"/>
    <n v="4"/>
    <x v="2"/>
    <x v="0"/>
    <x v="3"/>
    <s v="Married"/>
    <n v="8392"/>
    <n v="19566"/>
    <n v="1"/>
    <s v="Y"/>
    <s v="No"/>
    <n v="16"/>
    <n v="3"/>
    <n v="3"/>
    <n v="80"/>
    <n v="1"/>
    <n v="10"/>
    <n v="2"/>
    <n v="3"/>
    <x v="1"/>
    <n v="7"/>
    <n v="0"/>
    <n v="7"/>
    <s v="36-45"/>
    <s v="High"/>
    <s v="6-10"/>
    <s v="Mid-Level"/>
    <s v="Standard"/>
    <s v="Low"/>
    <x v="0"/>
  </r>
  <r>
    <n v="28"/>
    <x v="1"/>
    <s v="Travel_Rarely"/>
    <n v="1300"/>
    <x v="1"/>
    <n v="17"/>
    <n v="2"/>
    <s v="Medical"/>
    <n v="1"/>
    <n v="536"/>
    <x v="1"/>
    <s v="Male"/>
    <n v="79"/>
    <n v="3"/>
    <x v="0"/>
    <x v="2"/>
    <x v="3"/>
    <s v="Divorced"/>
    <n v="4558"/>
    <n v="13535"/>
    <n v="1"/>
    <s v="Y"/>
    <s v="No"/>
    <n v="12"/>
    <n v="3"/>
    <n v="4"/>
    <n v="80"/>
    <n v="1"/>
    <n v="10"/>
    <n v="2"/>
    <n v="3"/>
    <x v="1"/>
    <n v="0"/>
    <n v="1"/>
    <n v="8"/>
    <s v="26-35"/>
    <s v="Medium"/>
    <s v="6-10"/>
    <s v="Mid-Level"/>
    <s v="Standard"/>
    <s v="Low"/>
    <x v="0"/>
  </r>
  <r>
    <n v="25"/>
    <x v="0"/>
    <s v="Travel_Rarely"/>
    <n v="688"/>
    <x v="1"/>
    <n v="3"/>
    <n v="3"/>
    <s v="Medical"/>
    <n v="1"/>
    <n v="538"/>
    <x v="3"/>
    <s v="Male"/>
    <n v="91"/>
    <n v="3"/>
    <x v="1"/>
    <x v="2"/>
    <x v="3"/>
    <s v="Married"/>
    <n v="4031"/>
    <n v="9396"/>
    <n v="5"/>
    <s v="Y"/>
    <s v="No"/>
    <n v="13"/>
    <n v="3"/>
    <n v="3"/>
    <n v="80"/>
    <n v="1"/>
    <n v="6"/>
    <n v="5"/>
    <n v="3"/>
    <x v="4"/>
    <n v="2"/>
    <n v="0"/>
    <n v="2"/>
    <s v="18-25"/>
    <s v="Medium"/>
    <s v="0-2"/>
    <s v="Mid-Level"/>
    <s v="Standard"/>
    <s v="Low"/>
    <x v="0"/>
  </r>
  <r>
    <n v="52"/>
    <x v="1"/>
    <s v="Travel_Rarely"/>
    <n v="319"/>
    <x v="1"/>
    <n v="3"/>
    <n v="3"/>
    <s v="Medical"/>
    <n v="1"/>
    <n v="543"/>
    <x v="2"/>
    <s v="Male"/>
    <n v="39"/>
    <n v="2"/>
    <x v="2"/>
    <x v="3"/>
    <x v="2"/>
    <s v="Married"/>
    <n v="7969"/>
    <n v="19609"/>
    <n v="2"/>
    <s v="Y"/>
    <s v="Yes"/>
    <n v="14"/>
    <n v="3"/>
    <n v="3"/>
    <n v="80"/>
    <n v="0"/>
    <n v="28"/>
    <n v="4"/>
    <n v="3"/>
    <x v="8"/>
    <n v="4"/>
    <n v="0"/>
    <n v="4"/>
    <s v="46-55"/>
    <s v="High"/>
    <s v="3-5"/>
    <s v="Senior"/>
    <s v="Standard"/>
    <s v="High"/>
    <x v="0"/>
  </r>
  <r>
    <n v="45"/>
    <x v="1"/>
    <s v="Travel_Rarely"/>
    <n v="192"/>
    <x v="1"/>
    <n v="10"/>
    <n v="2"/>
    <s v="Life Sciences"/>
    <n v="1"/>
    <n v="544"/>
    <x v="3"/>
    <s v="Male"/>
    <n v="69"/>
    <n v="3"/>
    <x v="1"/>
    <x v="1"/>
    <x v="0"/>
    <s v="Married"/>
    <n v="2654"/>
    <n v="9655"/>
    <n v="3"/>
    <s v="Y"/>
    <s v="No"/>
    <n v="21"/>
    <n v="4"/>
    <n v="4"/>
    <n v="80"/>
    <n v="2"/>
    <n v="8"/>
    <n v="3"/>
    <n v="2"/>
    <x v="4"/>
    <n v="2"/>
    <n v="0"/>
    <n v="2"/>
    <s v="36-45"/>
    <s v="Low"/>
    <s v="0-2"/>
    <s v="Mid-Level"/>
    <s v="Excellent"/>
    <s v="High"/>
    <x v="0"/>
  </r>
  <r>
    <n v="52"/>
    <x v="1"/>
    <s v="Travel_Rarely"/>
    <n v="1490"/>
    <x v="1"/>
    <n v="4"/>
    <n v="2"/>
    <s v="Life Sciences"/>
    <n v="1"/>
    <n v="546"/>
    <x v="2"/>
    <s v="Female"/>
    <n v="30"/>
    <n v="3"/>
    <x v="3"/>
    <x v="5"/>
    <x v="0"/>
    <s v="Married"/>
    <n v="16555"/>
    <n v="10310"/>
    <n v="2"/>
    <s v="Y"/>
    <s v="No"/>
    <n v="13"/>
    <n v="3"/>
    <n v="4"/>
    <n v="80"/>
    <n v="0"/>
    <n v="31"/>
    <n v="2"/>
    <n v="1"/>
    <x v="8"/>
    <n v="2"/>
    <n v="1"/>
    <n v="4"/>
    <s v="46-55"/>
    <s v="Very High"/>
    <s v="3-5"/>
    <s v="Senior"/>
    <s v="Standard"/>
    <s v="High"/>
    <x v="0"/>
  </r>
  <r>
    <n v="42"/>
    <x v="1"/>
    <s v="Travel_Frequently"/>
    <n v="532"/>
    <x v="1"/>
    <n v="29"/>
    <n v="2"/>
    <s v="Life Sciences"/>
    <n v="1"/>
    <n v="547"/>
    <x v="3"/>
    <s v="Female"/>
    <n v="92"/>
    <n v="3"/>
    <x v="0"/>
    <x v="1"/>
    <x v="2"/>
    <s v="Divorced"/>
    <n v="4556"/>
    <n v="12932"/>
    <n v="2"/>
    <s v="Y"/>
    <s v="No"/>
    <n v="11"/>
    <n v="3"/>
    <n v="2"/>
    <n v="80"/>
    <n v="1"/>
    <n v="19"/>
    <n v="3"/>
    <n v="3"/>
    <x v="8"/>
    <n v="4"/>
    <n v="0"/>
    <n v="2"/>
    <s v="36-45"/>
    <s v="Medium"/>
    <s v="3-5"/>
    <s v="Senior"/>
    <s v="Standard"/>
    <s v="High"/>
    <x v="0"/>
  </r>
  <r>
    <n v="30"/>
    <x v="1"/>
    <s v="Travel_Rarely"/>
    <n v="317"/>
    <x v="1"/>
    <n v="2"/>
    <n v="3"/>
    <s v="Life Sciences"/>
    <n v="1"/>
    <n v="548"/>
    <x v="1"/>
    <s v="Female"/>
    <n v="43"/>
    <n v="1"/>
    <x v="0"/>
    <x v="3"/>
    <x v="0"/>
    <s v="Single"/>
    <n v="6091"/>
    <n v="24793"/>
    <n v="2"/>
    <s v="Y"/>
    <s v="No"/>
    <n v="20"/>
    <n v="4"/>
    <n v="3"/>
    <n v="80"/>
    <n v="0"/>
    <n v="11"/>
    <n v="2"/>
    <n v="3"/>
    <x v="8"/>
    <n v="4"/>
    <n v="0"/>
    <n v="2"/>
    <s v="26-35"/>
    <s v="High"/>
    <s v="3-5"/>
    <s v="Mid-Level"/>
    <s v="Excellent"/>
    <s v="High"/>
    <x v="0"/>
  </r>
  <r>
    <n v="60"/>
    <x v="1"/>
    <s v="Travel_Rarely"/>
    <n v="422"/>
    <x v="1"/>
    <n v="7"/>
    <n v="3"/>
    <s v="Life Sciences"/>
    <n v="1"/>
    <n v="549"/>
    <x v="3"/>
    <s v="Female"/>
    <n v="41"/>
    <n v="3"/>
    <x v="4"/>
    <x v="5"/>
    <x v="3"/>
    <s v="Married"/>
    <n v="19566"/>
    <n v="3854"/>
    <n v="5"/>
    <s v="Y"/>
    <s v="No"/>
    <n v="11"/>
    <n v="3"/>
    <n v="4"/>
    <n v="80"/>
    <n v="0"/>
    <n v="33"/>
    <n v="5"/>
    <n v="1"/>
    <x v="30"/>
    <n v="8"/>
    <n v="11"/>
    <n v="10"/>
    <s v="56+"/>
    <s v="Very High"/>
    <s v="16+"/>
    <s v="Senior"/>
    <s v="Standard"/>
    <s v="Low"/>
    <x v="0"/>
  </r>
  <r>
    <n v="46"/>
    <x v="1"/>
    <s v="Travel_Rarely"/>
    <n v="1485"/>
    <x v="1"/>
    <n v="18"/>
    <n v="3"/>
    <s v="Medical"/>
    <n v="1"/>
    <n v="550"/>
    <x v="1"/>
    <s v="Female"/>
    <n v="87"/>
    <n v="3"/>
    <x v="0"/>
    <x v="3"/>
    <x v="2"/>
    <s v="Divorced"/>
    <n v="4810"/>
    <n v="26314"/>
    <n v="2"/>
    <s v="Y"/>
    <s v="No"/>
    <n v="14"/>
    <n v="3"/>
    <n v="3"/>
    <n v="80"/>
    <n v="1"/>
    <n v="19"/>
    <n v="5"/>
    <n v="2"/>
    <x v="1"/>
    <n v="7"/>
    <n v="0"/>
    <n v="8"/>
    <s v="46-55"/>
    <s v="Medium"/>
    <s v="6-10"/>
    <s v="Senior"/>
    <s v="Standard"/>
    <s v="High"/>
    <x v="0"/>
  </r>
  <r>
    <n v="42"/>
    <x v="1"/>
    <s v="Travel_Frequently"/>
    <n v="1368"/>
    <x v="1"/>
    <n v="28"/>
    <n v="4"/>
    <s v="Technical Degree"/>
    <n v="1"/>
    <n v="551"/>
    <x v="2"/>
    <s v="Female"/>
    <n v="88"/>
    <n v="2"/>
    <x v="0"/>
    <x v="4"/>
    <x v="0"/>
    <s v="Married"/>
    <n v="4523"/>
    <n v="4386"/>
    <n v="0"/>
    <s v="Y"/>
    <s v="No"/>
    <n v="11"/>
    <n v="3"/>
    <n v="4"/>
    <n v="80"/>
    <n v="3"/>
    <n v="7"/>
    <n v="4"/>
    <n v="4"/>
    <x v="0"/>
    <n v="5"/>
    <n v="0"/>
    <n v="4"/>
    <s v="36-45"/>
    <s v="Medium"/>
    <s v="6-10"/>
    <s v="Mid-Level"/>
    <s v="Standard"/>
    <s v="High"/>
    <x v="0"/>
  </r>
  <r>
    <n v="24"/>
    <x v="0"/>
    <s v="Travel_Rarely"/>
    <n v="1448"/>
    <x v="0"/>
    <n v="1"/>
    <n v="1"/>
    <s v="Technical Degree"/>
    <n v="1"/>
    <n v="554"/>
    <x v="3"/>
    <s v="Female"/>
    <n v="62"/>
    <n v="3"/>
    <x v="1"/>
    <x v="6"/>
    <x v="1"/>
    <s v="Single"/>
    <n v="3202"/>
    <n v="21972"/>
    <n v="1"/>
    <s v="Y"/>
    <s v="Yes"/>
    <n v="16"/>
    <n v="3"/>
    <n v="2"/>
    <n v="80"/>
    <n v="0"/>
    <n v="6"/>
    <n v="4"/>
    <n v="3"/>
    <x v="8"/>
    <n v="3"/>
    <n v="1"/>
    <n v="4"/>
    <s v="18-25"/>
    <s v="Medium"/>
    <s v="3-5"/>
    <s v="Mid-Level"/>
    <s v="Standard"/>
    <s v="Low"/>
    <x v="0"/>
  </r>
  <r>
    <n v="34"/>
    <x v="0"/>
    <s v="Travel_Frequently"/>
    <n v="296"/>
    <x v="0"/>
    <n v="6"/>
    <n v="2"/>
    <s v="Marketing"/>
    <n v="1"/>
    <n v="555"/>
    <x v="2"/>
    <s v="Female"/>
    <n v="33"/>
    <n v="1"/>
    <x v="1"/>
    <x v="6"/>
    <x v="2"/>
    <s v="Divorced"/>
    <n v="2351"/>
    <n v="12253"/>
    <n v="0"/>
    <s v="Y"/>
    <s v="No"/>
    <n v="16"/>
    <n v="3"/>
    <n v="4"/>
    <n v="80"/>
    <n v="1"/>
    <n v="3"/>
    <n v="3"/>
    <n v="2"/>
    <x v="4"/>
    <n v="2"/>
    <n v="1"/>
    <n v="0"/>
    <s v="26-35"/>
    <s v="Low"/>
    <s v="0-2"/>
    <s v="Junior"/>
    <s v="Standard"/>
    <s v="High"/>
    <x v="0"/>
  </r>
  <r>
    <n v="38"/>
    <x v="1"/>
    <s v="Travel_Frequently"/>
    <n v="1490"/>
    <x v="1"/>
    <n v="2"/>
    <n v="2"/>
    <s v="Life Sciences"/>
    <n v="1"/>
    <n v="556"/>
    <x v="2"/>
    <s v="Male"/>
    <n v="42"/>
    <n v="3"/>
    <x v="1"/>
    <x v="2"/>
    <x v="0"/>
    <s v="Married"/>
    <n v="1702"/>
    <n v="12106"/>
    <n v="1"/>
    <s v="Y"/>
    <s v="Yes"/>
    <n v="23"/>
    <n v="4"/>
    <n v="3"/>
    <n v="80"/>
    <n v="1"/>
    <n v="1"/>
    <n v="3"/>
    <n v="3"/>
    <x v="6"/>
    <n v="0"/>
    <n v="0"/>
    <n v="0"/>
    <s v="36-45"/>
    <s v="Low"/>
    <s v="0-2"/>
    <s v="Junior"/>
    <s v="Excellent"/>
    <s v="High"/>
    <x v="0"/>
  </r>
  <r>
    <n v="40"/>
    <x v="1"/>
    <s v="Travel_Rarely"/>
    <n v="1398"/>
    <x v="0"/>
    <n v="2"/>
    <n v="4"/>
    <s v="Life Sciences"/>
    <n v="1"/>
    <n v="558"/>
    <x v="1"/>
    <s v="Female"/>
    <n v="79"/>
    <n v="3"/>
    <x v="4"/>
    <x v="5"/>
    <x v="2"/>
    <s v="Married"/>
    <n v="18041"/>
    <n v="13022"/>
    <n v="0"/>
    <s v="Y"/>
    <s v="No"/>
    <n v="14"/>
    <n v="3"/>
    <n v="4"/>
    <n v="80"/>
    <n v="0"/>
    <n v="21"/>
    <n v="2"/>
    <n v="3"/>
    <x v="23"/>
    <n v="15"/>
    <n v="1"/>
    <n v="12"/>
    <s v="36-45"/>
    <s v="Very High"/>
    <s v="16+"/>
    <s v="Senior"/>
    <s v="Standard"/>
    <s v="High"/>
    <x v="0"/>
  </r>
  <r>
    <n v="26"/>
    <x v="1"/>
    <s v="Travel_Rarely"/>
    <n v="1349"/>
    <x v="1"/>
    <n v="23"/>
    <n v="3"/>
    <s v="Life Sciences"/>
    <n v="1"/>
    <n v="560"/>
    <x v="3"/>
    <s v="Female"/>
    <n v="90"/>
    <n v="3"/>
    <x v="1"/>
    <x v="1"/>
    <x v="0"/>
    <s v="Divorced"/>
    <n v="2886"/>
    <n v="3032"/>
    <n v="1"/>
    <s v="Y"/>
    <s v="No"/>
    <n v="22"/>
    <n v="4"/>
    <n v="2"/>
    <n v="80"/>
    <n v="2"/>
    <n v="3"/>
    <n v="3"/>
    <n v="1"/>
    <x v="11"/>
    <n v="2"/>
    <n v="0"/>
    <n v="2"/>
    <s v="26-35"/>
    <s v="Low"/>
    <s v="3-5"/>
    <s v="Junior"/>
    <s v="Excellent"/>
    <s v="High"/>
    <x v="0"/>
  </r>
  <r>
    <n v="30"/>
    <x v="1"/>
    <s v="Non-Travel"/>
    <n v="1400"/>
    <x v="1"/>
    <n v="3"/>
    <n v="3"/>
    <s v="Life Sciences"/>
    <n v="1"/>
    <n v="562"/>
    <x v="1"/>
    <s v="Male"/>
    <n v="53"/>
    <n v="3"/>
    <x v="1"/>
    <x v="2"/>
    <x v="0"/>
    <s v="Married"/>
    <n v="2097"/>
    <n v="16734"/>
    <n v="4"/>
    <s v="Y"/>
    <s v="No"/>
    <n v="15"/>
    <n v="3"/>
    <n v="3"/>
    <n v="80"/>
    <n v="1"/>
    <n v="9"/>
    <n v="3"/>
    <n v="1"/>
    <x v="8"/>
    <n v="3"/>
    <n v="1"/>
    <n v="4"/>
    <s v="26-35"/>
    <s v="Low"/>
    <s v="3-5"/>
    <s v="Mid-Level"/>
    <s v="Standard"/>
    <s v="High"/>
    <x v="0"/>
  </r>
  <r>
    <n v="29"/>
    <x v="1"/>
    <s v="Travel_Rarely"/>
    <n v="986"/>
    <x v="1"/>
    <n v="3"/>
    <n v="4"/>
    <s v="Medical"/>
    <n v="1"/>
    <n v="564"/>
    <x v="0"/>
    <s v="Male"/>
    <n v="93"/>
    <n v="2"/>
    <x v="2"/>
    <x v="7"/>
    <x v="2"/>
    <s v="Married"/>
    <n v="11935"/>
    <n v="21526"/>
    <n v="1"/>
    <s v="Y"/>
    <s v="No"/>
    <n v="18"/>
    <n v="3"/>
    <n v="3"/>
    <n v="80"/>
    <n v="0"/>
    <n v="10"/>
    <n v="2"/>
    <n v="3"/>
    <x v="1"/>
    <n v="2"/>
    <n v="0"/>
    <n v="7"/>
    <s v="26-35"/>
    <s v="Very High"/>
    <s v="6-10"/>
    <s v="Mid-Level"/>
    <s v="Standard"/>
    <s v="High"/>
    <x v="0"/>
  </r>
  <r>
    <n v="29"/>
    <x v="0"/>
    <s v="Travel_Rarely"/>
    <n v="408"/>
    <x v="1"/>
    <n v="25"/>
    <n v="5"/>
    <s v="Technical Degree"/>
    <n v="1"/>
    <n v="565"/>
    <x v="1"/>
    <s v="Female"/>
    <n v="71"/>
    <n v="2"/>
    <x v="1"/>
    <x v="1"/>
    <x v="1"/>
    <s v="Married"/>
    <n v="2546"/>
    <n v="18300"/>
    <n v="5"/>
    <s v="Y"/>
    <s v="No"/>
    <n v="16"/>
    <n v="3"/>
    <n v="2"/>
    <n v="80"/>
    <n v="0"/>
    <n v="6"/>
    <n v="2"/>
    <n v="4"/>
    <x v="4"/>
    <n v="2"/>
    <n v="1"/>
    <n v="1"/>
    <s v="26-35"/>
    <s v="Low"/>
    <s v="0-2"/>
    <s v="Mid-Level"/>
    <s v="Standard"/>
    <s v="Low"/>
    <x v="0"/>
  </r>
  <r>
    <n v="19"/>
    <x v="0"/>
    <s v="Travel_Rarely"/>
    <n v="489"/>
    <x v="2"/>
    <n v="2"/>
    <n v="2"/>
    <s v="Technical Degree"/>
    <n v="1"/>
    <n v="566"/>
    <x v="3"/>
    <s v="Male"/>
    <n v="52"/>
    <n v="2"/>
    <x v="1"/>
    <x v="8"/>
    <x v="0"/>
    <s v="Single"/>
    <n v="2564"/>
    <n v="18437"/>
    <n v="1"/>
    <s v="Y"/>
    <s v="No"/>
    <n v="12"/>
    <n v="3"/>
    <n v="3"/>
    <n v="80"/>
    <n v="0"/>
    <n v="1"/>
    <n v="3"/>
    <n v="4"/>
    <x v="6"/>
    <n v="0"/>
    <n v="0"/>
    <n v="0"/>
    <s v="18-25"/>
    <s v="Low"/>
    <s v="0-2"/>
    <s v="Junior"/>
    <s v="Standard"/>
    <s v="High"/>
    <x v="0"/>
  </r>
  <r>
    <n v="30"/>
    <x v="1"/>
    <s v="Non-Travel"/>
    <n v="1398"/>
    <x v="0"/>
    <n v="22"/>
    <n v="4"/>
    <s v="Other"/>
    <n v="1"/>
    <n v="567"/>
    <x v="1"/>
    <s v="Female"/>
    <n v="69"/>
    <n v="3"/>
    <x v="2"/>
    <x v="0"/>
    <x v="3"/>
    <s v="Married"/>
    <n v="8412"/>
    <n v="2890"/>
    <n v="0"/>
    <s v="Y"/>
    <s v="No"/>
    <n v="11"/>
    <n v="3"/>
    <n v="3"/>
    <n v="80"/>
    <n v="0"/>
    <n v="10"/>
    <n v="3"/>
    <n v="3"/>
    <x v="7"/>
    <n v="8"/>
    <n v="7"/>
    <n v="8"/>
    <s v="26-35"/>
    <s v="High"/>
    <s v="6-10"/>
    <s v="Mid-Level"/>
    <s v="Standard"/>
    <s v="Low"/>
    <x v="0"/>
  </r>
  <r>
    <n v="57"/>
    <x v="1"/>
    <s v="Travel_Rarely"/>
    <n v="210"/>
    <x v="0"/>
    <n v="29"/>
    <n v="3"/>
    <s v="Marketing"/>
    <n v="1"/>
    <n v="568"/>
    <x v="3"/>
    <s v="Male"/>
    <n v="56"/>
    <n v="2"/>
    <x v="3"/>
    <x v="5"/>
    <x v="0"/>
    <s v="Divorced"/>
    <n v="14118"/>
    <n v="22102"/>
    <n v="3"/>
    <s v="Y"/>
    <s v="No"/>
    <n v="12"/>
    <n v="3"/>
    <n v="3"/>
    <n v="80"/>
    <n v="1"/>
    <n v="32"/>
    <n v="3"/>
    <n v="2"/>
    <x v="6"/>
    <n v="0"/>
    <n v="0"/>
    <n v="0"/>
    <s v="56+"/>
    <s v="Very High"/>
    <s v="0-2"/>
    <s v="Senior"/>
    <s v="Standard"/>
    <s v="High"/>
    <x v="0"/>
  </r>
  <r>
    <n v="50"/>
    <x v="1"/>
    <s v="Travel_Rarely"/>
    <n v="1099"/>
    <x v="1"/>
    <n v="29"/>
    <n v="4"/>
    <s v="Life Sciences"/>
    <n v="1"/>
    <n v="569"/>
    <x v="0"/>
    <s v="Male"/>
    <n v="88"/>
    <n v="2"/>
    <x v="3"/>
    <x v="5"/>
    <x v="2"/>
    <s v="Married"/>
    <n v="17046"/>
    <n v="9314"/>
    <n v="0"/>
    <s v="Y"/>
    <s v="No"/>
    <n v="15"/>
    <n v="3"/>
    <n v="2"/>
    <n v="80"/>
    <n v="1"/>
    <n v="28"/>
    <n v="2"/>
    <n v="3"/>
    <x v="16"/>
    <n v="10"/>
    <n v="15"/>
    <n v="7"/>
    <s v="46-55"/>
    <s v="Very High"/>
    <s v="16+"/>
    <s v="Senior"/>
    <s v="Standard"/>
    <s v="High"/>
    <x v="0"/>
  </r>
  <r>
    <n v="30"/>
    <x v="1"/>
    <s v="Non-Travel"/>
    <n v="1116"/>
    <x v="1"/>
    <n v="2"/>
    <n v="3"/>
    <s v="Medical"/>
    <n v="1"/>
    <n v="571"/>
    <x v="1"/>
    <s v="Female"/>
    <n v="49"/>
    <n v="3"/>
    <x v="1"/>
    <x v="2"/>
    <x v="0"/>
    <s v="Single"/>
    <n v="2564"/>
    <n v="7181"/>
    <n v="0"/>
    <s v="Y"/>
    <s v="No"/>
    <n v="14"/>
    <n v="3"/>
    <n v="3"/>
    <n v="80"/>
    <n v="0"/>
    <n v="12"/>
    <n v="2"/>
    <n v="2"/>
    <x v="19"/>
    <n v="7"/>
    <n v="6"/>
    <n v="7"/>
    <s v="26-35"/>
    <s v="Low"/>
    <s v="11-15"/>
    <s v="Mid-Level"/>
    <s v="Standard"/>
    <s v="High"/>
    <x v="0"/>
  </r>
  <r>
    <n v="60"/>
    <x v="1"/>
    <s v="Travel_Frequently"/>
    <n v="1499"/>
    <x v="0"/>
    <n v="28"/>
    <n v="3"/>
    <s v="Marketing"/>
    <n v="1"/>
    <n v="573"/>
    <x v="1"/>
    <s v="Female"/>
    <n v="80"/>
    <n v="2"/>
    <x v="2"/>
    <x v="0"/>
    <x v="3"/>
    <s v="Married"/>
    <n v="10266"/>
    <n v="2845"/>
    <n v="4"/>
    <s v="Y"/>
    <s v="No"/>
    <n v="19"/>
    <n v="3"/>
    <n v="4"/>
    <n v="80"/>
    <n v="0"/>
    <n v="22"/>
    <n v="5"/>
    <n v="4"/>
    <x v="29"/>
    <n v="13"/>
    <n v="13"/>
    <n v="11"/>
    <s v="56+"/>
    <s v="Very High"/>
    <s v="16+"/>
    <s v="Senior"/>
    <s v="Standard"/>
    <s v="Low"/>
    <x v="0"/>
  </r>
  <r>
    <n v="47"/>
    <x v="1"/>
    <s v="Travel_Rarely"/>
    <n v="983"/>
    <x v="1"/>
    <n v="2"/>
    <n v="2"/>
    <s v="Medical"/>
    <n v="1"/>
    <n v="574"/>
    <x v="3"/>
    <s v="Female"/>
    <n v="65"/>
    <n v="3"/>
    <x v="0"/>
    <x v="3"/>
    <x v="0"/>
    <s v="Divorced"/>
    <n v="5070"/>
    <n v="7389"/>
    <n v="5"/>
    <s v="Y"/>
    <s v="No"/>
    <n v="13"/>
    <n v="3"/>
    <n v="3"/>
    <n v="80"/>
    <n v="3"/>
    <n v="20"/>
    <n v="2"/>
    <n v="3"/>
    <x v="8"/>
    <n v="0"/>
    <n v="0"/>
    <n v="4"/>
    <s v="46-55"/>
    <s v="Medium"/>
    <s v="3-5"/>
    <s v="Senior"/>
    <s v="Standard"/>
    <s v="High"/>
    <x v="0"/>
  </r>
  <r>
    <n v="46"/>
    <x v="1"/>
    <s v="Travel_Rarely"/>
    <n v="1009"/>
    <x v="1"/>
    <n v="2"/>
    <n v="3"/>
    <s v="Life Sciences"/>
    <n v="1"/>
    <n v="575"/>
    <x v="3"/>
    <s v="Male"/>
    <n v="51"/>
    <n v="3"/>
    <x v="3"/>
    <x v="7"/>
    <x v="2"/>
    <s v="Married"/>
    <n v="17861"/>
    <n v="2288"/>
    <n v="6"/>
    <s v="Y"/>
    <s v="No"/>
    <n v="13"/>
    <n v="3"/>
    <n v="3"/>
    <n v="80"/>
    <n v="0"/>
    <n v="26"/>
    <n v="2"/>
    <n v="1"/>
    <x v="11"/>
    <n v="2"/>
    <n v="0"/>
    <n v="1"/>
    <s v="46-55"/>
    <s v="Very High"/>
    <s v="3-5"/>
    <s v="Senior"/>
    <s v="Standard"/>
    <s v="High"/>
    <x v="0"/>
  </r>
  <r>
    <n v="35"/>
    <x v="1"/>
    <s v="Travel_Rarely"/>
    <n v="144"/>
    <x v="1"/>
    <n v="22"/>
    <n v="3"/>
    <s v="Life Sciences"/>
    <n v="1"/>
    <n v="577"/>
    <x v="2"/>
    <s v="Male"/>
    <n v="46"/>
    <n v="1"/>
    <x v="1"/>
    <x v="2"/>
    <x v="2"/>
    <s v="Single"/>
    <n v="4230"/>
    <n v="19225"/>
    <n v="0"/>
    <s v="Y"/>
    <s v="No"/>
    <n v="15"/>
    <n v="3"/>
    <n v="3"/>
    <n v="80"/>
    <n v="0"/>
    <n v="6"/>
    <n v="2"/>
    <n v="3"/>
    <x v="8"/>
    <n v="4"/>
    <n v="4"/>
    <n v="3"/>
    <s v="26-35"/>
    <s v="Medium"/>
    <s v="3-5"/>
    <s v="Mid-Level"/>
    <s v="Standard"/>
    <s v="High"/>
    <x v="0"/>
  </r>
  <r>
    <n v="54"/>
    <x v="1"/>
    <s v="Travel_Rarely"/>
    <n v="548"/>
    <x v="1"/>
    <n v="8"/>
    <n v="4"/>
    <s v="Life Sciences"/>
    <n v="1"/>
    <n v="578"/>
    <x v="1"/>
    <s v="Female"/>
    <n v="42"/>
    <n v="3"/>
    <x v="0"/>
    <x v="2"/>
    <x v="2"/>
    <s v="Single"/>
    <n v="3780"/>
    <n v="23428"/>
    <n v="7"/>
    <s v="Y"/>
    <s v="No"/>
    <n v="11"/>
    <n v="3"/>
    <n v="3"/>
    <n v="80"/>
    <n v="0"/>
    <n v="19"/>
    <n v="3"/>
    <n v="3"/>
    <x v="6"/>
    <n v="0"/>
    <n v="0"/>
    <n v="0"/>
    <s v="46-55"/>
    <s v="Medium"/>
    <s v="0-2"/>
    <s v="Senior"/>
    <s v="Standard"/>
    <s v="High"/>
    <x v="0"/>
  </r>
  <r>
    <n v="34"/>
    <x v="1"/>
    <s v="Travel_Rarely"/>
    <n v="1303"/>
    <x v="1"/>
    <n v="2"/>
    <n v="4"/>
    <s v="Life Sciences"/>
    <n v="1"/>
    <n v="579"/>
    <x v="2"/>
    <s v="Male"/>
    <n v="62"/>
    <n v="2"/>
    <x v="1"/>
    <x v="1"/>
    <x v="2"/>
    <s v="Divorced"/>
    <n v="2768"/>
    <n v="8416"/>
    <n v="3"/>
    <s v="Y"/>
    <s v="No"/>
    <n v="12"/>
    <n v="3"/>
    <n v="3"/>
    <n v="80"/>
    <n v="1"/>
    <n v="14"/>
    <n v="3"/>
    <n v="3"/>
    <x v="5"/>
    <n v="3"/>
    <n v="5"/>
    <n v="7"/>
    <s v="26-35"/>
    <s v="Low"/>
    <s v="6-10"/>
    <s v="Mid-Level"/>
    <s v="Standard"/>
    <s v="High"/>
    <x v="0"/>
  </r>
  <r>
    <n v="46"/>
    <x v="1"/>
    <s v="Travel_Rarely"/>
    <n v="1125"/>
    <x v="0"/>
    <n v="10"/>
    <n v="3"/>
    <s v="Marketing"/>
    <n v="1"/>
    <n v="580"/>
    <x v="1"/>
    <s v="Female"/>
    <n v="94"/>
    <n v="2"/>
    <x v="2"/>
    <x v="0"/>
    <x v="0"/>
    <s v="Married"/>
    <n v="9071"/>
    <n v="11563"/>
    <n v="2"/>
    <s v="Y"/>
    <s v="Yes"/>
    <n v="19"/>
    <n v="3"/>
    <n v="3"/>
    <n v="80"/>
    <n v="1"/>
    <n v="15"/>
    <n v="3"/>
    <n v="3"/>
    <x v="11"/>
    <n v="2"/>
    <n v="1"/>
    <n v="2"/>
    <s v="46-55"/>
    <s v="High"/>
    <s v="3-5"/>
    <s v="Mid-Level"/>
    <s v="Standard"/>
    <s v="High"/>
    <x v="0"/>
  </r>
  <r>
    <n v="31"/>
    <x v="1"/>
    <s v="Travel_Rarely"/>
    <n v="1274"/>
    <x v="1"/>
    <n v="9"/>
    <n v="1"/>
    <s v="Life Sciences"/>
    <n v="1"/>
    <n v="581"/>
    <x v="1"/>
    <s v="Male"/>
    <n v="33"/>
    <n v="3"/>
    <x v="2"/>
    <x v="3"/>
    <x v="1"/>
    <s v="Divorced"/>
    <n v="10648"/>
    <n v="14394"/>
    <n v="1"/>
    <s v="Y"/>
    <s v="No"/>
    <n v="25"/>
    <n v="4"/>
    <n v="4"/>
    <n v="80"/>
    <n v="1"/>
    <n v="13"/>
    <n v="6"/>
    <n v="4"/>
    <x v="20"/>
    <n v="8"/>
    <n v="0"/>
    <n v="8"/>
    <s v="26-35"/>
    <s v="Very High"/>
    <s v="11-15"/>
    <s v="Mid-Level"/>
    <s v="Excellent"/>
    <s v="Low"/>
    <x v="0"/>
  </r>
  <r>
    <n v="33"/>
    <x v="0"/>
    <s v="Travel_Rarely"/>
    <n v="1277"/>
    <x v="1"/>
    <n v="15"/>
    <n v="1"/>
    <s v="Medical"/>
    <n v="1"/>
    <n v="582"/>
    <x v="0"/>
    <s v="Male"/>
    <n v="56"/>
    <n v="3"/>
    <x v="2"/>
    <x v="5"/>
    <x v="2"/>
    <s v="Married"/>
    <n v="13610"/>
    <n v="24619"/>
    <n v="7"/>
    <s v="Y"/>
    <s v="Yes"/>
    <n v="12"/>
    <n v="3"/>
    <n v="4"/>
    <n v="80"/>
    <n v="0"/>
    <n v="15"/>
    <n v="2"/>
    <n v="4"/>
    <x v="5"/>
    <n v="6"/>
    <n v="7"/>
    <n v="7"/>
    <s v="26-35"/>
    <s v="Very High"/>
    <s v="6-10"/>
    <s v="Mid-Level"/>
    <s v="Standard"/>
    <s v="High"/>
    <x v="0"/>
  </r>
  <r>
    <n v="33"/>
    <x v="0"/>
    <s v="Travel_Rarely"/>
    <n v="587"/>
    <x v="1"/>
    <n v="10"/>
    <n v="1"/>
    <s v="Medical"/>
    <n v="1"/>
    <n v="584"/>
    <x v="3"/>
    <s v="Male"/>
    <n v="38"/>
    <n v="1"/>
    <x v="1"/>
    <x v="2"/>
    <x v="0"/>
    <s v="Divorced"/>
    <n v="3408"/>
    <n v="6705"/>
    <n v="7"/>
    <s v="Y"/>
    <s v="No"/>
    <n v="13"/>
    <n v="3"/>
    <n v="1"/>
    <n v="80"/>
    <n v="3"/>
    <n v="8"/>
    <n v="2"/>
    <n v="3"/>
    <x v="9"/>
    <n v="3"/>
    <n v="1"/>
    <n v="3"/>
    <s v="26-35"/>
    <s v="Medium"/>
    <s v="3-5"/>
    <s v="Mid-Level"/>
    <s v="Standard"/>
    <s v="High"/>
    <x v="0"/>
  </r>
  <r>
    <n v="30"/>
    <x v="1"/>
    <s v="Travel_Rarely"/>
    <n v="413"/>
    <x v="0"/>
    <n v="7"/>
    <n v="1"/>
    <s v="Marketing"/>
    <n v="1"/>
    <n v="585"/>
    <x v="2"/>
    <s v="Male"/>
    <n v="57"/>
    <n v="3"/>
    <x v="1"/>
    <x v="6"/>
    <x v="1"/>
    <s v="Single"/>
    <n v="2983"/>
    <n v="18398"/>
    <n v="0"/>
    <s v="Y"/>
    <s v="No"/>
    <n v="14"/>
    <n v="3"/>
    <n v="1"/>
    <n v="80"/>
    <n v="0"/>
    <n v="4"/>
    <n v="3"/>
    <n v="3"/>
    <x v="11"/>
    <n v="2"/>
    <n v="1"/>
    <n v="2"/>
    <s v="26-35"/>
    <s v="Low"/>
    <s v="3-5"/>
    <s v="Junior"/>
    <s v="Standard"/>
    <s v="Low"/>
    <x v="0"/>
  </r>
  <r>
    <n v="35"/>
    <x v="1"/>
    <s v="Travel_Rarely"/>
    <n v="1276"/>
    <x v="1"/>
    <n v="16"/>
    <n v="3"/>
    <s v="Life Sciences"/>
    <n v="1"/>
    <n v="586"/>
    <x v="2"/>
    <s v="Male"/>
    <n v="72"/>
    <n v="3"/>
    <x v="2"/>
    <x v="4"/>
    <x v="2"/>
    <s v="Married"/>
    <n v="7632"/>
    <n v="14295"/>
    <n v="4"/>
    <s v="Y"/>
    <s v="Yes"/>
    <n v="12"/>
    <n v="3"/>
    <n v="3"/>
    <n v="80"/>
    <n v="0"/>
    <n v="10"/>
    <n v="2"/>
    <n v="3"/>
    <x v="3"/>
    <n v="7"/>
    <n v="0"/>
    <n v="0"/>
    <s v="26-35"/>
    <s v="High"/>
    <s v="6-10"/>
    <s v="Mid-Level"/>
    <s v="Standard"/>
    <s v="High"/>
    <x v="0"/>
  </r>
  <r>
    <n v="31"/>
    <x v="0"/>
    <s v="Travel_Frequently"/>
    <n v="534"/>
    <x v="1"/>
    <n v="20"/>
    <n v="3"/>
    <s v="Life Sciences"/>
    <n v="1"/>
    <n v="587"/>
    <x v="3"/>
    <s v="Male"/>
    <n v="66"/>
    <n v="3"/>
    <x v="2"/>
    <x v="4"/>
    <x v="2"/>
    <s v="Married"/>
    <n v="9824"/>
    <n v="22908"/>
    <n v="3"/>
    <s v="Y"/>
    <s v="No"/>
    <n v="12"/>
    <n v="3"/>
    <n v="1"/>
    <n v="80"/>
    <n v="0"/>
    <n v="12"/>
    <n v="2"/>
    <n v="3"/>
    <x v="6"/>
    <n v="0"/>
    <n v="0"/>
    <n v="0"/>
    <s v="26-35"/>
    <s v="High"/>
    <s v="0-2"/>
    <s v="Mid-Level"/>
    <s v="Standard"/>
    <s v="High"/>
    <x v="0"/>
  </r>
  <r>
    <n v="34"/>
    <x v="0"/>
    <s v="Travel_Frequently"/>
    <n v="988"/>
    <x v="2"/>
    <n v="23"/>
    <n v="3"/>
    <s v="Human Resources"/>
    <n v="1"/>
    <n v="590"/>
    <x v="0"/>
    <s v="Female"/>
    <n v="43"/>
    <n v="3"/>
    <x v="2"/>
    <x v="8"/>
    <x v="3"/>
    <s v="Divorced"/>
    <n v="9950"/>
    <n v="11533"/>
    <n v="9"/>
    <s v="Y"/>
    <s v="Yes"/>
    <n v="15"/>
    <n v="3"/>
    <n v="3"/>
    <n v="80"/>
    <n v="3"/>
    <n v="11"/>
    <n v="2"/>
    <n v="3"/>
    <x v="11"/>
    <n v="2"/>
    <n v="0"/>
    <n v="2"/>
    <s v="26-35"/>
    <s v="High"/>
    <s v="3-5"/>
    <s v="Mid-Level"/>
    <s v="Standard"/>
    <s v="Low"/>
    <x v="0"/>
  </r>
  <r>
    <n v="42"/>
    <x v="1"/>
    <s v="Travel_Frequently"/>
    <n v="1474"/>
    <x v="1"/>
    <n v="5"/>
    <n v="2"/>
    <s v="Other"/>
    <n v="1"/>
    <n v="591"/>
    <x v="0"/>
    <s v="Male"/>
    <n v="97"/>
    <n v="3"/>
    <x v="1"/>
    <x v="2"/>
    <x v="2"/>
    <s v="Married"/>
    <n v="2093"/>
    <n v="9260"/>
    <n v="4"/>
    <s v="Y"/>
    <s v="No"/>
    <n v="17"/>
    <n v="3"/>
    <n v="4"/>
    <n v="80"/>
    <n v="1"/>
    <n v="8"/>
    <n v="4"/>
    <n v="3"/>
    <x v="4"/>
    <n v="2"/>
    <n v="2"/>
    <n v="0"/>
    <s v="36-45"/>
    <s v="Low"/>
    <s v="0-2"/>
    <s v="Mid-Level"/>
    <s v="Standard"/>
    <s v="High"/>
    <x v="0"/>
  </r>
  <r>
    <n v="36"/>
    <x v="1"/>
    <s v="Non-Travel"/>
    <n v="635"/>
    <x v="0"/>
    <n v="10"/>
    <n v="4"/>
    <s v="Medical"/>
    <n v="1"/>
    <n v="592"/>
    <x v="0"/>
    <s v="Male"/>
    <n v="32"/>
    <n v="3"/>
    <x v="2"/>
    <x v="0"/>
    <x v="0"/>
    <s v="Single"/>
    <n v="9980"/>
    <n v="15318"/>
    <n v="1"/>
    <s v="Y"/>
    <s v="No"/>
    <n v="14"/>
    <n v="3"/>
    <n v="4"/>
    <n v="80"/>
    <n v="0"/>
    <n v="10"/>
    <n v="3"/>
    <n v="2"/>
    <x v="1"/>
    <n v="3"/>
    <n v="9"/>
    <n v="7"/>
    <s v="36-45"/>
    <s v="High"/>
    <s v="6-10"/>
    <s v="Mid-Level"/>
    <s v="Standard"/>
    <s v="High"/>
    <x v="0"/>
  </r>
  <r>
    <n v="22"/>
    <x v="0"/>
    <s v="Travel_Frequently"/>
    <n v="1368"/>
    <x v="1"/>
    <n v="4"/>
    <n v="1"/>
    <s v="Technical Degree"/>
    <n v="1"/>
    <n v="593"/>
    <x v="1"/>
    <s v="Male"/>
    <n v="99"/>
    <n v="2"/>
    <x v="1"/>
    <x v="2"/>
    <x v="2"/>
    <s v="Single"/>
    <n v="3894"/>
    <n v="9129"/>
    <n v="5"/>
    <s v="Y"/>
    <s v="No"/>
    <n v="16"/>
    <n v="3"/>
    <n v="3"/>
    <n v="80"/>
    <n v="0"/>
    <n v="4"/>
    <n v="3"/>
    <n v="3"/>
    <x v="4"/>
    <n v="2"/>
    <n v="1"/>
    <n v="2"/>
    <s v="18-25"/>
    <s v="Medium"/>
    <s v="0-2"/>
    <s v="Junior"/>
    <s v="Standard"/>
    <s v="High"/>
    <x v="0"/>
  </r>
  <r>
    <n v="48"/>
    <x v="1"/>
    <s v="Travel_Rarely"/>
    <n v="163"/>
    <x v="0"/>
    <n v="2"/>
    <n v="5"/>
    <s v="Marketing"/>
    <n v="1"/>
    <n v="595"/>
    <x v="0"/>
    <s v="Female"/>
    <n v="37"/>
    <n v="3"/>
    <x v="0"/>
    <x v="0"/>
    <x v="0"/>
    <s v="Married"/>
    <n v="4051"/>
    <n v="19658"/>
    <n v="2"/>
    <s v="Y"/>
    <s v="No"/>
    <n v="14"/>
    <n v="3"/>
    <n v="1"/>
    <n v="80"/>
    <n v="1"/>
    <n v="14"/>
    <n v="2"/>
    <n v="3"/>
    <x v="7"/>
    <n v="7"/>
    <n v="6"/>
    <n v="7"/>
    <s v="46-55"/>
    <s v="Medium"/>
    <s v="6-10"/>
    <s v="Mid-Level"/>
    <s v="Standard"/>
    <s v="High"/>
    <x v="0"/>
  </r>
  <r>
    <n v="55"/>
    <x v="1"/>
    <s v="Travel_Rarely"/>
    <n v="1117"/>
    <x v="0"/>
    <n v="18"/>
    <n v="5"/>
    <s v="Life Sciences"/>
    <n v="1"/>
    <n v="597"/>
    <x v="3"/>
    <s v="Female"/>
    <n v="83"/>
    <n v="3"/>
    <x v="3"/>
    <x v="5"/>
    <x v="1"/>
    <s v="Single"/>
    <n v="16835"/>
    <n v="9873"/>
    <n v="3"/>
    <s v="Y"/>
    <s v="No"/>
    <n v="23"/>
    <n v="4"/>
    <n v="4"/>
    <n v="80"/>
    <n v="0"/>
    <n v="37"/>
    <n v="2"/>
    <n v="3"/>
    <x v="1"/>
    <n v="9"/>
    <n v="7"/>
    <n v="7"/>
    <s v="46-55"/>
    <s v="Very High"/>
    <s v="6-10"/>
    <s v="Senior"/>
    <s v="Excellent"/>
    <s v="Low"/>
    <x v="0"/>
  </r>
  <r>
    <n v="41"/>
    <x v="1"/>
    <s v="Non-Travel"/>
    <n v="267"/>
    <x v="0"/>
    <n v="10"/>
    <n v="2"/>
    <s v="Life Sciences"/>
    <n v="1"/>
    <n v="599"/>
    <x v="2"/>
    <s v="Male"/>
    <n v="56"/>
    <n v="3"/>
    <x v="0"/>
    <x v="0"/>
    <x v="0"/>
    <s v="Single"/>
    <n v="6230"/>
    <n v="13430"/>
    <n v="7"/>
    <s v="Y"/>
    <s v="No"/>
    <n v="14"/>
    <n v="3"/>
    <n v="4"/>
    <n v="80"/>
    <n v="0"/>
    <n v="16"/>
    <n v="3"/>
    <n v="3"/>
    <x v="13"/>
    <n v="3"/>
    <n v="1"/>
    <n v="10"/>
    <s v="36-45"/>
    <s v="High"/>
    <s v="11-15"/>
    <s v="Senior"/>
    <s v="Standard"/>
    <s v="High"/>
    <x v="0"/>
  </r>
  <r>
    <n v="35"/>
    <x v="1"/>
    <s v="Travel_Rarely"/>
    <n v="619"/>
    <x v="0"/>
    <n v="1"/>
    <n v="3"/>
    <s v="Marketing"/>
    <n v="1"/>
    <n v="600"/>
    <x v="0"/>
    <s v="Male"/>
    <n v="85"/>
    <n v="3"/>
    <x v="0"/>
    <x v="0"/>
    <x v="2"/>
    <s v="Married"/>
    <n v="4717"/>
    <n v="18659"/>
    <n v="9"/>
    <s v="Y"/>
    <s v="No"/>
    <n v="11"/>
    <n v="3"/>
    <n v="3"/>
    <n v="80"/>
    <n v="0"/>
    <n v="15"/>
    <n v="2"/>
    <n v="3"/>
    <x v="19"/>
    <n v="9"/>
    <n v="6"/>
    <n v="9"/>
    <s v="26-35"/>
    <s v="Medium"/>
    <s v="11-15"/>
    <s v="Mid-Level"/>
    <s v="Standard"/>
    <s v="High"/>
    <x v="0"/>
  </r>
  <r>
    <n v="40"/>
    <x v="1"/>
    <s v="Travel_Rarely"/>
    <n v="302"/>
    <x v="1"/>
    <n v="6"/>
    <n v="3"/>
    <s v="Life Sciences"/>
    <n v="1"/>
    <n v="601"/>
    <x v="0"/>
    <s v="Female"/>
    <n v="75"/>
    <n v="3"/>
    <x v="3"/>
    <x v="3"/>
    <x v="2"/>
    <s v="Single"/>
    <n v="13237"/>
    <n v="20364"/>
    <n v="7"/>
    <s v="Y"/>
    <s v="No"/>
    <n v="15"/>
    <n v="3"/>
    <n v="3"/>
    <n v="80"/>
    <n v="0"/>
    <n v="22"/>
    <n v="3"/>
    <n v="3"/>
    <x v="23"/>
    <n v="6"/>
    <n v="5"/>
    <n v="13"/>
    <s v="36-45"/>
    <s v="Very High"/>
    <s v="16+"/>
    <s v="Senior"/>
    <s v="Standard"/>
    <s v="High"/>
    <x v="0"/>
  </r>
  <r>
    <n v="39"/>
    <x v="1"/>
    <s v="Travel_Frequently"/>
    <n v="443"/>
    <x v="1"/>
    <n v="8"/>
    <n v="1"/>
    <s v="Life Sciences"/>
    <n v="1"/>
    <n v="602"/>
    <x v="1"/>
    <s v="Female"/>
    <n v="48"/>
    <n v="3"/>
    <x v="1"/>
    <x v="2"/>
    <x v="2"/>
    <s v="Married"/>
    <n v="3755"/>
    <n v="17872"/>
    <n v="1"/>
    <s v="Y"/>
    <s v="No"/>
    <n v="11"/>
    <n v="3"/>
    <n v="1"/>
    <n v="80"/>
    <n v="1"/>
    <n v="8"/>
    <n v="3"/>
    <n v="3"/>
    <x v="3"/>
    <n v="3"/>
    <n v="0"/>
    <n v="7"/>
    <s v="36-45"/>
    <s v="Medium"/>
    <s v="6-10"/>
    <s v="Mid-Level"/>
    <s v="Standard"/>
    <s v="High"/>
    <x v="0"/>
  </r>
  <r>
    <n v="31"/>
    <x v="1"/>
    <s v="Travel_Rarely"/>
    <n v="828"/>
    <x v="0"/>
    <n v="2"/>
    <n v="1"/>
    <s v="Life Sciences"/>
    <n v="1"/>
    <n v="604"/>
    <x v="0"/>
    <s v="Male"/>
    <n v="77"/>
    <n v="3"/>
    <x v="0"/>
    <x v="0"/>
    <x v="0"/>
    <s v="Single"/>
    <n v="6582"/>
    <n v="8346"/>
    <n v="4"/>
    <s v="Y"/>
    <s v="Yes"/>
    <n v="13"/>
    <n v="3"/>
    <n v="3"/>
    <n v="80"/>
    <n v="0"/>
    <n v="10"/>
    <n v="2"/>
    <n v="4"/>
    <x v="0"/>
    <n v="5"/>
    <n v="0"/>
    <n v="5"/>
    <s v="26-35"/>
    <s v="High"/>
    <s v="6-10"/>
    <s v="Mid-Level"/>
    <s v="Standard"/>
    <s v="High"/>
    <x v="0"/>
  </r>
  <r>
    <n v="42"/>
    <x v="1"/>
    <s v="Travel_Rarely"/>
    <n v="319"/>
    <x v="1"/>
    <n v="24"/>
    <n v="3"/>
    <s v="Medical"/>
    <n v="1"/>
    <n v="605"/>
    <x v="2"/>
    <s v="Male"/>
    <n v="56"/>
    <n v="3"/>
    <x v="2"/>
    <x v="3"/>
    <x v="3"/>
    <s v="Married"/>
    <n v="7406"/>
    <n v="6950"/>
    <n v="1"/>
    <s v="Y"/>
    <s v="Yes"/>
    <n v="21"/>
    <n v="4"/>
    <n v="4"/>
    <n v="80"/>
    <n v="1"/>
    <n v="10"/>
    <n v="5"/>
    <n v="2"/>
    <x v="1"/>
    <n v="9"/>
    <n v="5"/>
    <n v="8"/>
    <s v="36-45"/>
    <s v="High"/>
    <s v="6-10"/>
    <s v="Mid-Level"/>
    <s v="Excellent"/>
    <s v="Low"/>
    <x v="0"/>
  </r>
  <r>
    <n v="45"/>
    <x v="1"/>
    <s v="Travel_Rarely"/>
    <n v="561"/>
    <x v="0"/>
    <n v="2"/>
    <n v="3"/>
    <s v="Other"/>
    <n v="1"/>
    <n v="606"/>
    <x v="2"/>
    <s v="Male"/>
    <n v="61"/>
    <n v="3"/>
    <x v="0"/>
    <x v="0"/>
    <x v="1"/>
    <s v="Married"/>
    <n v="4805"/>
    <n v="16177"/>
    <n v="0"/>
    <s v="Y"/>
    <s v="No"/>
    <n v="19"/>
    <n v="3"/>
    <n v="2"/>
    <n v="80"/>
    <n v="1"/>
    <n v="9"/>
    <n v="3"/>
    <n v="4"/>
    <x v="3"/>
    <n v="7"/>
    <n v="3"/>
    <n v="7"/>
    <s v="36-45"/>
    <s v="Medium"/>
    <s v="6-10"/>
    <s v="Mid-Level"/>
    <s v="Standard"/>
    <s v="Low"/>
    <x v="0"/>
  </r>
  <r>
    <n v="26"/>
    <x v="0"/>
    <s v="Travel_Frequently"/>
    <n v="426"/>
    <x v="2"/>
    <n v="17"/>
    <n v="4"/>
    <s v="Life Sciences"/>
    <n v="1"/>
    <n v="608"/>
    <x v="0"/>
    <s v="Female"/>
    <n v="58"/>
    <n v="3"/>
    <x v="1"/>
    <x v="8"/>
    <x v="2"/>
    <s v="Divorced"/>
    <n v="2741"/>
    <n v="22808"/>
    <n v="0"/>
    <s v="Y"/>
    <s v="Yes"/>
    <n v="11"/>
    <n v="3"/>
    <n v="2"/>
    <n v="80"/>
    <n v="1"/>
    <n v="8"/>
    <n v="2"/>
    <n v="2"/>
    <x v="5"/>
    <n v="7"/>
    <n v="1"/>
    <n v="0"/>
    <s v="26-35"/>
    <s v="Low"/>
    <s v="6-10"/>
    <s v="Mid-Level"/>
    <s v="Standard"/>
    <s v="High"/>
    <x v="0"/>
  </r>
  <r>
    <n v="29"/>
    <x v="1"/>
    <s v="Travel_Rarely"/>
    <n v="232"/>
    <x v="1"/>
    <n v="19"/>
    <n v="3"/>
    <s v="Technical Degree"/>
    <n v="1"/>
    <n v="611"/>
    <x v="2"/>
    <s v="Male"/>
    <n v="34"/>
    <n v="3"/>
    <x v="0"/>
    <x v="3"/>
    <x v="0"/>
    <s v="Divorced"/>
    <n v="4262"/>
    <n v="22645"/>
    <n v="4"/>
    <s v="Y"/>
    <s v="No"/>
    <n v="12"/>
    <n v="3"/>
    <n v="2"/>
    <n v="80"/>
    <n v="2"/>
    <n v="8"/>
    <n v="2"/>
    <n v="4"/>
    <x v="11"/>
    <n v="2"/>
    <n v="1"/>
    <n v="2"/>
    <s v="26-35"/>
    <s v="Medium"/>
    <s v="3-5"/>
    <s v="Mid-Level"/>
    <s v="Standard"/>
    <s v="High"/>
    <x v="0"/>
  </r>
  <r>
    <n v="33"/>
    <x v="1"/>
    <s v="Travel_Rarely"/>
    <n v="922"/>
    <x v="1"/>
    <n v="1"/>
    <n v="5"/>
    <s v="Medical"/>
    <n v="1"/>
    <n v="612"/>
    <x v="3"/>
    <s v="Female"/>
    <n v="95"/>
    <n v="4"/>
    <x v="3"/>
    <x v="7"/>
    <x v="2"/>
    <s v="Divorced"/>
    <n v="16184"/>
    <n v="22578"/>
    <n v="4"/>
    <s v="Y"/>
    <s v="No"/>
    <n v="19"/>
    <n v="3"/>
    <n v="3"/>
    <n v="80"/>
    <n v="1"/>
    <n v="10"/>
    <n v="2"/>
    <n v="3"/>
    <x v="0"/>
    <n v="1"/>
    <n v="0"/>
    <n v="5"/>
    <s v="26-35"/>
    <s v="Very High"/>
    <s v="6-10"/>
    <s v="Mid-Level"/>
    <s v="Standard"/>
    <s v="High"/>
    <x v="0"/>
  </r>
  <r>
    <n v="31"/>
    <x v="1"/>
    <s v="Travel_Rarely"/>
    <n v="688"/>
    <x v="0"/>
    <n v="7"/>
    <n v="3"/>
    <s v="Life Sciences"/>
    <n v="1"/>
    <n v="613"/>
    <x v="1"/>
    <s v="Male"/>
    <n v="44"/>
    <n v="2"/>
    <x v="2"/>
    <x v="5"/>
    <x v="0"/>
    <s v="Divorced"/>
    <n v="11557"/>
    <n v="25291"/>
    <n v="9"/>
    <s v="Y"/>
    <s v="No"/>
    <n v="21"/>
    <n v="4"/>
    <n v="3"/>
    <n v="80"/>
    <n v="1"/>
    <n v="10"/>
    <n v="3"/>
    <n v="2"/>
    <x v="8"/>
    <n v="4"/>
    <n v="0"/>
    <n v="1"/>
    <s v="26-35"/>
    <s v="Very High"/>
    <s v="3-5"/>
    <s v="Mid-Level"/>
    <s v="Excellent"/>
    <s v="High"/>
    <x v="0"/>
  </r>
  <r>
    <n v="18"/>
    <x v="0"/>
    <s v="Travel_Frequently"/>
    <n v="1306"/>
    <x v="0"/>
    <n v="5"/>
    <n v="3"/>
    <s v="Marketing"/>
    <n v="1"/>
    <n v="614"/>
    <x v="0"/>
    <s v="Male"/>
    <n v="69"/>
    <n v="3"/>
    <x v="1"/>
    <x v="6"/>
    <x v="1"/>
    <s v="Single"/>
    <n v="1878"/>
    <n v="8059"/>
    <n v="1"/>
    <s v="Y"/>
    <s v="Yes"/>
    <n v="14"/>
    <n v="3"/>
    <n v="4"/>
    <n v="80"/>
    <n v="0"/>
    <n v="0"/>
    <n v="3"/>
    <n v="3"/>
    <x v="2"/>
    <n v="0"/>
    <n v="0"/>
    <n v="0"/>
    <s v="18-25"/>
    <s v="Low"/>
    <s v="0-2"/>
    <s v="Junior"/>
    <s v="Standard"/>
    <s v="Low"/>
    <x v="1"/>
  </r>
  <r>
    <n v="40"/>
    <x v="1"/>
    <s v="Non-Travel"/>
    <n v="1094"/>
    <x v="0"/>
    <n v="28"/>
    <n v="3"/>
    <s v="Other"/>
    <n v="1"/>
    <n v="615"/>
    <x v="1"/>
    <s v="Male"/>
    <n v="58"/>
    <n v="1"/>
    <x v="2"/>
    <x v="0"/>
    <x v="3"/>
    <s v="Divorced"/>
    <n v="10932"/>
    <n v="11373"/>
    <n v="3"/>
    <s v="Y"/>
    <s v="No"/>
    <n v="15"/>
    <n v="3"/>
    <n v="3"/>
    <n v="80"/>
    <n v="1"/>
    <n v="20"/>
    <n v="2"/>
    <n v="3"/>
    <x v="6"/>
    <n v="0"/>
    <n v="0"/>
    <n v="1"/>
    <s v="36-45"/>
    <s v="Very High"/>
    <s v="0-2"/>
    <s v="Senior"/>
    <s v="Standard"/>
    <s v="Low"/>
    <x v="0"/>
  </r>
  <r>
    <n v="41"/>
    <x v="1"/>
    <s v="Non-Travel"/>
    <n v="509"/>
    <x v="1"/>
    <n v="2"/>
    <n v="4"/>
    <s v="Other"/>
    <n v="1"/>
    <n v="616"/>
    <x v="3"/>
    <s v="Female"/>
    <n v="62"/>
    <n v="2"/>
    <x v="0"/>
    <x v="4"/>
    <x v="2"/>
    <s v="Single"/>
    <n v="6811"/>
    <n v="2112"/>
    <n v="2"/>
    <s v="Y"/>
    <s v="Yes"/>
    <n v="17"/>
    <n v="3"/>
    <n v="1"/>
    <n v="80"/>
    <n v="0"/>
    <n v="10"/>
    <n v="3"/>
    <n v="3"/>
    <x v="3"/>
    <n v="7"/>
    <n v="0"/>
    <n v="7"/>
    <s v="36-45"/>
    <s v="High"/>
    <s v="6-10"/>
    <s v="Mid-Level"/>
    <s v="Standard"/>
    <s v="High"/>
    <x v="0"/>
  </r>
  <r>
    <n v="26"/>
    <x v="1"/>
    <s v="Travel_Rarely"/>
    <n v="775"/>
    <x v="0"/>
    <n v="29"/>
    <n v="2"/>
    <s v="Medical"/>
    <n v="1"/>
    <n v="618"/>
    <x v="3"/>
    <s v="Male"/>
    <n v="45"/>
    <n v="3"/>
    <x v="0"/>
    <x v="0"/>
    <x v="2"/>
    <s v="Divorced"/>
    <n v="4306"/>
    <n v="4267"/>
    <n v="5"/>
    <s v="Y"/>
    <s v="No"/>
    <n v="12"/>
    <n v="3"/>
    <n v="1"/>
    <n v="80"/>
    <n v="2"/>
    <n v="8"/>
    <n v="5"/>
    <n v="3"/>
    <x v="2"/>
    <n v="0"/>
    <n v="0"/>
    <n v="0"/>
    <s v="26-35"/>
    <s v="Medium"/>
    <s v="0-2"/>
    <s v="Mid-Level"/>
    <s v="Standard"/>
    <s v="High"/>
    <x v="0"/>
  </r>
  <r>
    <n v="35"/>
    <x v="1"/>
    <s v="Travel_Rarely"/>
    <n v="195"/>
    <x v="0"/>
    <n v="1"/>
    <n v="3"/>
    <s v="Medical"/>
    <n v="1"/>
    <n v="620"/>
    <x v="3"/>
    <s v="Female"/>
    <n v="80"/>
    <n v="3"/>
    <x v="0"/>
    <x v="0"/>
    <x v="2"/>
    <s v="Single"/>
    <n v="4859"/>
    <n v="6698"/>
    <n v="1"/>
    <s v="Y"/>
    <s v="No"/>
    <n v="16"/>
    <n v="3"/>
    <n v="4"/>
    <n v="80"/>
    <n v="0"/>
    <n v="5"/>
    <n v="3"/>
    <n v="3"/>
    <x v="8"/>
    <n v="4"/>
    <n v="0"/>
    <n v="3"/>
    <s v="26-35"/>
    <s v="Medium"/>
    <s v="3-5"/>
    <s v="Junior"/>
    <s v="Standard"/>
    <s v="High"/>
    <x v="0"/>
  </r>
  <r>
    <n v="34"/>
    <x v="1"/>
    <s v="Travel_Rarely"/>
    <n v="258"/>
    <x v="0"/>
    <n v="21"/>
    <n v="4"/>
    <s v="Life Sciences"/>
    <n v="1"/>
    <n v="621"/>
    <x v="2"/>
    <s v="Male"/>
    <n v="74"/>
    <n v="4"/>
    <x v="0"/>
    <x v="0"/>
    <x v="0"/>
    <s v="Single"/>
    <n v="5337"/>
    <n v="19921"/>
    <n v="1"/>
    <s v="Y"/>
    <s v="No"/>
    <n v="12"/>
    <n v="3"/>
    <n v="4"/>
    <n v="80"/>
    <n v="0"/>
    <n v="10"/>
    <n v="3"/>
    <n v="3"/>
    <x v="1"/>
    <n v="7"/>
    <n v="5"/>
    <n v="7"/>
    <s v="26-35"/>
    <s v="Medium"/>
    <s v="6-10"/>
    <s v="Mid-Level"/>
    <s v="Standard"/>
    <s v="High"/>
    <x v="0"/>
  </r>
  <r>
    <n v="26"/>
    <x v="0"/>
    <s v="Travel_Rarely"/>
    <n v="471"/>
    <x v="1"/>
    <n v="24"/>
    <n v="3"/>
    <s v="Technical Degree"/>
    <n v="1"/>
    <n v="622"/>
    <x v="1"/>
    <s v="Male"/>
    <n v="66"/>
    <n v="1"/>
    <x v="1"/>
    <x v="2"/>
    <x v="0"/>
    <s v="Single"/>
    <n v="2340"/>
    <n v="23213"/>
    <n v="1"/>
    <s v="Y"/>
    <s v="Yes"/>
    <n v="18"/>
    <n v="3"/>
    <n v="2"/>
    <n v="80"/>
    <n v="0"/>
    <n v="1"/>
    <n v="3"/>
    <n v="1"/>
    <x v="6"/>
    <n v="0"/>
    <n v="0"/>
    <n v="0"/>
    <s v="26-35"/>
    <s v="Low"/>
    <s v="0-2"/>
    <s v="Junior"/>
    <s v="Standard"/>
    <s v="High"/>
    <x v="0"/>
  </r>
  <r>
    <n v="37"/>
    <x v="1"/>
    <s v="Travel_Rarely"/>
    <n v="799"/>
    <x v="1"/>
    <n v="1"/>
    <n v="3"/>
    <s v="Technical Degree"/>
    <n v="1"/>
    <n v="623"/>
    <x v="0"/>
    <s v="Female"/>
    <n v="59"/>
    <n v="3"/>
    <x v="2"/>
    <x v="3"/>
    <x v="0"/>
    <s v="Single"/>
    <n v="7491"/>
    <n v="23848"/>
    <n v="4"/>
    <s v="Y"/>
    <s v="No"/>
    <n v="17"/>
    <n v="3"/>
    <n v="4"/>
    <n v="80"/>
    <n v="0"/>
    <n v="12"/>
    <n v="3"/>
    <n v="4"/>
    <x v="0"/>
    <n v="5"/>
    <n v="1"/>
    <n v="2"/>
    <s v="36-45"/>
    <s v="High"/>
    <s v="6-10"/>
    <s v="Mid-Level"/>
    <s v="Standard"/>
    <s v="High"/>
    <x v="0"/>
  </r>
  <r>
    <n v="46"/>
    <x v="1"/>
    <s v="Travel_Frequently"/>
    <n v="1034"/>
    <x v="1"/>
    <n v="18"/>
    <n v="1"/>
    <s v="Medical"/>
    <n v="1"/>
    <n v="624"/>
    <x v="3"/>
    <s v="Female"/>
    <n v="86"/>
    <n v="3"/>
    <x v="2"/>
    <x v="4"/>
    <x v="2"/>
    <s v="Married"/>
    <n v="10527"/>
    <n v="8984"/>
    <n v="5"/>
    <s v="Y"/>
    <s v="No"/>
    <n v="11"/>
    <n v="3"/>
    <n v="4"/>
    <n v="80"/>
    <n v="0"/>
    <n v="28"/>
    <n v="3"/>
    <n v="2"/>
    <x v="4"/>
    <n v="2"/>
    <n v="1"/>
    <n v="2"/>
    <s v="46-55"/>
    <s v="Very High"/>
    <s v="0-2"/>
    <s v="Senior"/>
    <s v="Standard"/>
    <s v="High"/>
    <x v="0"/>
  </r>
  <r>
    <n v="41"/>
    <x v="1"/>
    <s v="Travel_Rarely"/>
    <n v="1276"/>
    <x v="0"/>
    <n v="2"/>
    <n v="5"/>
    <s v="Life Sciences"/>
    <n v="1"/>
    <n v="625"/>
    <x v="0"/>
    <s v="Female"/>
    <n v="91"/>
    <n v="3"/>
    <x v="3"/>
    <x v="5"/>
    <x v="3"/>
    <s v="Married"/>
    <n v="16595"/>
    <n v="5626"/>
    <n v="7"/>
    <s v="Y"/>
    <s v="No"/>
    <n v="16"/>
    <n v="3"/>
    <n v="2"/>
    <n v="80"/>
    <n v="1"/>
    <n v="22"/>
    <n v="2"/>
    <n v="3"/>
    <x v="29"/>
    <n v="16"/>
    <n v="11"/>
    <n v="8"/>
    <s v="36-45"/>
    <s v="Very High"/>
    <s v="16+"/>
    <s v="Senior"/>
    <s v="Standard"/>
    <s v="Low"/>
    <x v="0"/>
  </r>
  <r>
    <n v="37"/>
    <x v="1"/>
    <s v="Non-Travel"/>
    <n v="142"/>
    <x v="0"/>
    <n v="9"/>
    <n v="4"/>
    <s v="Medical"/>
    <n v="1"/>
    <n v="626"/>
    <x v="3"/>
    <s v="Male"/>
    <n v="69"/>
    <n v="3"/>
    <x v="2"/>
    <x v="0"/>
    <x v="1"/>
    <s v="Divorced"/>
    <n v="8834"/>
    <n v="24666"/>
    <n v="1"/>
    <s v="Y"/>
    <s v="No"/>
    <n v="13"/>
    <n v="3"/>
    <n v="4"/>
    <n v="80"/>
    <n v="1"/>
    <n v="9"/>
    <n v="6"/>
    <n v="3"/>
    <x v="7"/>
    <n v="5"/>
    <n v="7"/>
    <n v="7"/>
    <s v="36-45"/>
    <s v="High"/>
    <s v="6-10"/>
    <s v="Mid-Level"/>
    <s v="Standard"/>
    <s v="Low"/>
    <x v="0"/>
  </r>
  <r>
    <n v="52"/>
    <x v="1"/>
    <s v="Travel_Rarely"/>
    <n v="956"/>
    <x v="1"/>
    <n v="6"/>
    <n v="2"/>
    <s v="Technical Degree"/>
    <n v="1"/>
    <n v="630"/>
    <x v="2"/>
    <s v="Male"/>
    <n v="78"/>
    <n v="3"/>
    <x v="0"/>
    <x v="1"/>
    <x v="3"/>
    <s v="Divorced"/>
    <n v="5577"/>
    <n v="22087"/>
    <n v="3"/>
    <s v="Y"/>
    <s v="Yes"/>
    <n v="12"/>
    <n v="3"/>
    <n v="2"/>
    <n v="80"/>
    <n v="2"/>
    <n v="18"/>
    <n v="3"/>
    <n v="3"/>
    <x v="1"/>
    <n v="9"/>
    <n v="6"/>
    <n v="9"/>
    <s v="46-55"/>
    <s v="Medium"/>
    <s v="6-10"/>
    <s v="Senior"/>
    <s v="Standard"/>
    <s v="Low"/>
    <x v="0"/>
  </r>
  <r>
    <n v="32"/>
    <x v="0"/>
    <s v="Non-Travel"/>
    <n v="1474"/>
    <x v="0"/>
    <n v="11"/>
    <n v="4"/>
    <s v="Other"/>
    <n v="1"/>
    <n v="631"/>
    <x v="2"/>
    <s v="Male"/>
    <n v="60"/>
    <n v="4"/>
    <x v="0"/>
    <x v="0"/>
    <x v="2"/>
    <s v="Married"/>
    <n v="4707"/>
    <n v="23914"/>
    <n v="8"/>
    <s v="Y"/>
    <s v="No"/>
    <n v="12"/>
    <n v="3"/>
    <n v="4"/>
    <n v="80"/>
    <n v="0"/>
    <n v="6"/>
    <n v="2"/>
    <n v="3"/>
    <x v="9"/>
    <n v="2"/>
    <n v="1"/>
    <n v="2"/>
    <s v="26-35"/>
    <s v="Medium"/>
    <s v="3-5"/>
    <s v="Mid-Level"/>
    <s v="Standard"/>
    <s v="High"/>
    <x v="0"/>
  </r>
  <r>
    <n v="24"/>
    <x v="1"/>
    <s v="Travel_Frequently"/>
    <n v="535"/>
    <x v="0"/>
    <n v="24"/>
    <n v="3"/>
    <s v="Medical"/>
    <n v="1"/>
    <n v="632"/>
    <x v="2"/>
    <s v="Male"/>
    <n v="38"/>
    <n v="3"/>
    <x v="1"/>
    <x v="6"/>
    <x v="0"/>
    <s v="Married"/>
    <n v="2400"/>
    <n v="5530"/>
    <n v="0"/>
    <s v="Y"/>
    <s v="No"/>
    <n v="13"/>
    <n v="3"/>
    <n v="3"/>
    <n v="80"/>
    <n v="2"/>
    <n v="3"/>
    <n v="3"/>
    <n v="3"/>
    <x v="4"/>
    <n v="2"/>
    <n v="2"/>
    <n v="1"/>
    <s v="18-25"/>
    <s v="Low"/>
    <s v="0-2"/>
    <s v="Junior"/>
    <s v="Standard"/>
    <s v="High"/>
    <x v="0"/>
  </r>
  <r>
    <n v="38"/>
    <x v="1"/>
    <s v="Travel_Rarely"/>
    <n v="1495"/>
    <x v="1"/>
    <n v="10"/>
    <n v="3"/>
    <s v="Medical"/>
    <n v="1"/>
    <n v="634"/>
    <x v="1"/>
    <s v="Female"/>
    <n v="76"/>
    <n v="3"/>
    <x v="0"/>
    <x v="4"/>
    <x v="2"/>
    <s v="Married"/>
    <n v="9824"/>
    <n v="22174"/>
    <n v="3"/>
    <s v="Y"/>
    <s v="No"/>
    <n v="19"/>
    <n v="3"/>
    <n v="3"/>
    <n v="80"/>
    <n v="1"/>
    <n v="18"/>
    <n v="4"/>
    <n v="3"/>
    <x v="6"/>
    <n v="0"/>
    <n v="0"/>
    <n v="0"/>
    <s v="36-45"/>
    <s v="High"/>
    <s v="0-2"/>
    <s v="Senior"/>
    <s v="Standard"/>
    <s v="High"/>
    <x v="0"/>
  </r>
  <r>
    <n v="37"/>
    <x v="1"/>
    <s v="Travel_Rarely"/>
    <n v="446"/>
    <x v="1"/>
    <n v="1"/>
    <n v="4"/>
    <s v="Life Sciences"/>
    <n v="1"/>
    <n v="635"/>
    <x v="0"/>
    <s v="Female"/>
    <n v="65"/>
    <n v="3"/>
    <x v="0"/>
    <x v="3"/>
    <x v="1"/>
    <s v="Married"/>
    <n v="6447"/>
    <n v="15701"/>
    <n v="6"/>
    <s v="Y"/>
    <s v="No"/>
    <n v="12"/>
    <n v="3"/>
    <n v="2"/>
    <n v="80"/>
    <n v="1"/>
    <n v="8"/>
    <n v="2"/>
    <n v="2"/>
    <x v="0"/>
    <n v="5"/>
    <n v="4"/>
    <n v="3"/>
    <s v="36-45"/>
    <s v="High"/>
    <s v="6-10"/>
    <s v="Mid-Level"/>
    <s v="Standard"/>
    <s v="Low"/>
    <x v="0"/>
  </r>
  <r>
    <n v="49"/>
    <x v="1"/>
    <s v="Travel_Rarely"/>
    <n v="1245"/>
    <x v="1"/>
    <n v="18"/>
    <n v="4"/>
    <s v="Life Sciences"/>
    <n v="1"/>
    <n v="638"/>
    <x v="2"/>
    <s v="Male"/>
    <n v="58"/>
    <n v="2"/>
    <x v="4"/>
    <x v="7"/>
    <x v="2"/>
    <s v="Divorced"/>
    <n v="19502"/>
    <n v="2125"/>
    <n v="1"/>
    <s v="Y"/>
    <s v="Yes"/>
    <n v="17"/>
    <n v="3"/>
    <n v="3"/>
    <n v="80"/>
    <n v="1"/>
    <n v="31"/>
    <n v="5"/>
    <n v="3"/>
    <x v="31"/>
    <n v="9"/>
    <n v="0"/>
    <n v="9"/>
    <s v="46-55"/>
    <s v="Very High"/>
    <s v="16+"/>
    <s v="Senior"/>
    <s v="Standard"/>
    <s v="High"/>
    <x v="0"/>
  </r>
  <r>
    <n v="24"/>
    <x v="1"/>
    <s v="Travel_Rarely"/>
    <n v="691"/>
    <x v="1"/>
    <n v="23"/>
    <n v="3"/>
    <s v="Medical"/>
    <n v="1"/>
    <n v="639"/>
    <x v="0"/>
    <s v="Male"/>
    <n v="89"/>
    <n v="4"/>
    <x v="1"/>
    <x v="1"/>
    <x v="0"/>
    <s v="Married"/>
    <n v="2725"/>
    <n v="21630"/>
    <n v="1"/>
    <s v="Y"/>
    <s v="Yes"/>
    <n v="11"/>
    <n v="3"/>
    <n v="2"/>
    <n v="80"/>
    <n v="2"/>
    <n v="6"/>
    <n v="3"/>
    <n v="3"/>
    <x v="0"/>
    <n v="5"/>
    <n v="1"/>
    <n v="4"/>
    <s v="18-25"/>
    <s v="Low"/>
    <s v="6-10"/>
    <s v="Mid-Level"/>
    <s v="Standard"/>
    <s v="High"/>
    <x v="0"/>
  </r>
  <r>
    <n v="26"/>
    <x v="1"/>
    <s v="Travel_Rarely"/>
    <n v="703"/>
    <x v="0"/>
    <n v="28"/>
    <n v="2"/>
    <s v="Marketing"/>
    <n v="1"/>
    <n v="641"/>
    <x v="3"/>
    <s v="Male"/>
    <n v="66"/>
    <n v="3"/>
    <x v="0"/>
    <x v="0"/>
    <x v="1"/>
    <s v="Married"/>
    <n v="6272"/>
    <n v="7428"/>
    <n v="1"/>
    <s v="Y"/>
    <s v="No"/>
    <n v="20"/>
    <n v="4"/>
    <n v="4"/>
    <n v="80"/>
    <n v="2"/>
    <n v="6"/>
    <n v="5"/>
    <n v="4"/>
    <x v="8"/>
    <n v="3"/>
    <n v="1"/>
    <n v="4"/>
    <s v="26-35"/>
    <s v="High"/>
    <s v="3-5"/>
    <s v="Mid-Level"/>
    <s v="Excellent"/>
    <s v="Low"/>
    <x v="0"/>
  </r>
  <r>
    <n v="24"/>
    <x v="1"/>
    <s v="Travel_Rarely"/>
    <n v="823"/>
    <x v="1"/>
    <n v="17"/>
    <n v="2"/>
    <s v="Other"/>
    <n v="1"/>
    <n v="643"/>
    <x v="2"/>
    <s v="Male"/>
    <n v="94"/>
    <n v="2"/>
    <x v="1"/>
    <x v="2"/>
    <x v="1"/>
    <s v="Married"/>
    <n v="2127"/>
    <n v="9100"/>
    <n v="1"/>
    <s v="Y"/>
    <s v="No"/>
    <n v="21"/>
    <n v="4"/>
    <n v="4"/>
    <n v="80"/>
    <n v="1"/>
    <n v="1"/>
    <n v="2"/>
    <n v="3"/>
    <x v="6"/>
    <n v="0"/>
    <n v="0"/>
    <n v="0"/>
    <s v="18-25"/>
    <s v="Low"/>
    <s v="0-2"/>
    <s v="Junior"/>
    <s v="Excellent"/>
    <s v="Low"/>
    <x v="0"/>
  </r>
  <r>
    <n v="50"/>
    <x v="1"/>
    <s v="Travel_Frequently"/>
    <n v="1246"/>
    <x v="2"/>
    <n v="3"/>
    <n v="3"/>
    <s v="Medical"/>
    <n v="1"/>
    <n v="644"/>
    <x v="3"/>
    <s v="Male"/>
    <n v="99"/>
    <n v="3"/>
    <x v="4"/>
    <x v="5"/>
    <x v="1"/>
    <s v="Married"/>
    <n v="18200"/>
    <n v="7999"/>
    <n v="1"/>
    <s v="Y"/>
    <s v="No"/>
    <n v="11"/>
    <n v="3"/>
    <n v="3"/>
    <n v="80"/>
    <n v="1"/>
    <n v="32"/>
    <n v="2"/>
    <n v="3"/>
    <x v="32"/>
    <n v="5"/>
    <n v="10"/>
    <n v="7"/>
    <s v="46-55"/>
    <s v="Very High"/>
    <s v="16+"/>
    <s v="Senior"/>
    <s v="Standard"/>
    <s v="Low"/>
    <x v="0"/>
  </r>
  <r>
    <n v="25"/>
    <x v="1"/>
    <s v="Travel_Rarely"/>
    <n v="622"/>
    <x v="0"/>
    <n v="13"/>
    <n v="1"/>
    <s v="Medical"/>
    <n v="1"/>
    <n v="645"/>
    <x v="0"/>
    <s v="Male"/>
    <n v="40"/>
    <n v="3"/>
    <x v="1"/>
    <x v="6"/>
    <x v="2"/>
    <s v="Married"/>
    <n v="2096"/>
    <n v="26376"/>
    <n v="1"/>
    <s v="Y"/>
    <s v="No"/>
    <n v="11"/>
    <n v="3"/>
    <n v="3"/>
    <n v="80"/>
    <n v="0"/>
    <n v="7"/>
    <n v="1"/>
    <n v="3"/>
    <x v="5"/>
    <n v="4"/>
    <n v="0"/>
    <n v="6"/>
    <s v="18-25"/>
    <s v="Low"/>
    <s v="6-10"/>
    <s v="Mid-Level"/>
    <s v="Standard"/>
    <s v="High"/>
    <x v="0"/>
  </r>
  <r>
    <n v="24"/>
    <x v="0"/>
    <s v="Travel_Frequently"/>
    <n v="1287"/>
    <x v="1"/>
    <n v="7"/>
    <n v="3"/>
    <s v="Life Sciences"/>
    <n v="1"/>
    <n v="647"/>
    <x v="3"/>
    <s v="Female"/>
    <n v="55"/>
    <n v="3"/>
    <x v="1"/>
    <x v="2"/>
    <x v="2"/>
    <s v="Married"/>
    <n v="2886"/>
    <n v="14168"/>
    <n v="1"/>
    <s v="Y"/>
    <s v="Yes"/>
    <n v="16"/>
    <n v="3"/>
    <n v="4"/>
    <n v="80"/>
    <n v="1"/>
    <n v="6"/>
    <n v="4"/>
    <n v="3"/>
    <x v="0"/>
    <n v="3"/>
    <n v="1"/>
    <n v="2"/>
    <s v="18-25"/>
    <s v="Low"/>
    <s v="6-10"/>
    <s v="Mid-Level"/>
    <s v="Standard"/>
    <s v="High"/>
    <x v="0"/>
  </r>
  <r>
    <n v="30"/>
    <x v="0"/>
    <s v="Travel_Frequently"/>
    <n v="448"/>
    <x v="0"/>
    <n v="12"/>
    <n v="4"/>
    <s v="Life Sciences"/>
    <n v="1"/>
    <n v="648"/>
    <x v="0"/>
    <s v="Male"/>
    <n v="74"/>
    <n v="2"/>
    <x v="1"/>
    <x v="6"/>
    <x v="3"/>
    <s v="Married"/>
    <n v="2033"/>
    <n v="14470"/>
    <n v="1"/>
    <s v="Y"/>
    <s v="No"/>
    <n v="18"/>
    <n v="3"/>
    <n v="3"/>
    <n v="80"/>
    <n v="1"/>
    <n v="1"/>
    <n v="2"/>
    <n v="4"/>
    <x v="6"/>
    <n v="0"/>
    <n v="0"/>
    <n v="0"/>
    <s v="26-35"/>
    <s v="Low"/>
    <s v="0-2"/>
    <s v="Junior"/>
    <s v="Standard"/>
    <s v="Low"/>
    <x v="0"/>
  </r>
  <r>
    <n v="34"/>
    <x v="1"/>
    <s v="Travel_Rarely"/>
    <n v="254"/>
    <x v="1"/>
    <n v="1"/>
    <n v="2"/>
    <s v="Life Sciences"/>
    <n v="1"/>
    <n v="649"/>
    <x v="0"/>
    <s v="Male"/>
    <n v="83"/>
    <n v="2"/>
    <x v="1"/>
    <x v="1"/>
    <x v="0"/>
    <s v="Married"/>
    <n v="3622"/>
    <n v="22794"/>
    <n v="1"/>
    <s v="Y"/>
    <s v="Yes"/>
    <n v="13"/>
    <n v="3"/>
    <n v="4"/>
    <n v="80"/>
    <n v="1"/>
    <n v="6"/>
    <n v="3"/>
    <n v="3"/>
    <x v="0"/>
    <n v="5"/>
    <n v="1"/>
    <n v="3"/>
    <s v="26-35"/>
    <s v="Medium"/>
    <s v="6-10"/>
    <s v="Mid-Level"/>
    <s v="Standard"/>
    <s v="High"/>
    <x v="0"/>
  </r>
  <r>
    <n v="31"/>
    <x v="0"/>
    <s v="Travel_Rarely"/>
    <n v="1365"/>
    <x v="0"/>
    <n v="13"/>
    <n v="4"/>
    <s v="Medical"/>
    <n v="1"/>
    <n v="650"/>
    <x v="0"/>
    <s v="Male"/>
    <n v="46"/>
    <n v="3"/>
    <x v="0"/>
    <x v="0"/>
    <x v="3"/>
    <s v="Divorced"/>
    <n v="4233"/>
    <n v="11512"/>
    <n v="2"/>
    <s v="Y"/>
    <s v="No"/>
    <n v="17"/>
    <n v="3"/>
    <n v="3"/>
    <n v="80"/>
    <n v="0"/>
    <n v="9"/>
    <n v="2"/>
    <n v="1"/>
    <x v="11"/>
    <n v="1"/>
    <n v="1"/>
    <n v="2"/>
    <s v="26-35"/>
    <s v="Medium"/>
    <s v="3-5"/>
    <s v="Mid-Level"/>
    <s v="Standard"/>
    <s v="Low"/>
    <x v="0"/>
  </r>
  <r>
    <n v="35"/>
    <x v="1"/>
    <s v="Travel_Rarely"/>
    <n v="538"/>
    <x v="1"/>
    <n v="25"/>
    <n v="2"/>
    <s v="Other"/>
    <n v="1"/>
    <n v="652"/>
    <x v="3"/>
    <s v="Male"/>
    <n v="54"/>
    <n v="2"/>
    <x v="0"/>
    <x v="2"/>
    <x v="0"/>
    <s v="Single"/>
    <n v="3681"/>
    <n v="14004"/>
    <n v="4"/>
    <s v="Y"/>
    <s v="No"/>
    <n v="14"/>
    <n v="3"/>
    <n v="4"/>
    <n v="80"/>
    <n v="0"/>
    <n v="9"/>
    <n v="3"/>
    <n v="3"/>
    <x v="11"/>
    <n v="2"/>
    <n v="0"/>
    <n v="2"/>
    <s v="26-35"/>
    <s v="Medium"/>
    <s v="3-5"/>
    <s v="Mid-Level"/>
    <s v="Standard"/>
    <s v="High"/>
    <x v="0"/>
  </r>
  <r>
    <n v="31"/>
    <x v="1"/>
    <s v="Travel_Rarely"/>
    <n v="525"/>
    <x v="0"/>
    <n v="6"/>
    <n v="4"/>
    <s v="Medical"/>
    <n v="1"/>
    <n v="653"/>
    <x v="3"/>
    <s v="Male"/>
    <n v="66"/>
    <n v="4"/>
    <x v="0"/>
    <x v="0"/>
    <x v="0"/>
    <s v="Divorced"/>
    <n v="5460"/>
    <n v="6219"/>
    <n v="4"/>
    <s v="Y"/>
    <s v="No"/>
    <n v="22"/>
    <n v="4"/>
    <n v="4"/>
    <n v="80"/>
    <n v="2"/>
    <n v="13"/>
    <n v="4"/>
    <n v="4"/>
    <x v="5"/>
    <n v="7"/>
    <n v="5"/>
    <n v="7"/>
    <s v="26-35"/>
    <s v="Medium"/>
    <s v="6-10"/>
    <s v="Mid-Level"/>
    <s v="Excellent"/>
    <s v="High"/>
    <x v="0"/>
  </r>
  <r>
    <n v="27"/>
    <x v="1"/>
    <s v="Travel_Rarely"/>
    <n v="798"/>
    <x v="1"/>
    <n v="6"/>
    <n v="4"/>
    <s v="Medical"/>
    <n v="1"/>
    <n v="655"/>
    <x v="3"/>
    <s v="Female"/>
    <n v="66"/>
    <n v="2"/>
    <x v="1"/>
    <x v="1"/>
    <x v="2"/>
    <s v="Divorced"/>
    <n v="2187"/>
    <n v="5013"/>
    <n v="0"/>
    <s v="Y"/>
    <s v="No"/>
    <n v="12"/>
    <n v="3"/>
    <n v="3"/>
    <n v="80"/>
    <n v="2"/>
    <n v="6"/>
    <n v="5"/>
    <n v="2"/>
    <x v="8"/>
    <n v="3"/>
    <n v="0"/>
    <n v="3"/>
    <s v="26-35"/>
    <s v="Low"/>
    <s v="3-5"/>
    <s v="Mid-Level"/>
    <s v="Standard"/>
    <s v="High"/>
    <x v="0"/>
  </r>
  <r>
    <n v="37"/>
    <x v="1"/>
    <s v="Travel_Rarely"/>
    <n v="558"/>
    <x v="0"/>
    <n v="2"/>
    <n v="3"/>
    <s v="Marketing"/>
    <n v="1"/>
    <n v="656"/>
    <x v="2"/>
    <s v="Male"/>
    <n v="75"/>
    <n v="3"/>
    <x v="0"/>
    <x v="0"/>
    <x v="2"/>
    <s v="Married"/>
    <n v="9602"/>
    <n v="3010"/>
    <n v="4"/>
    <s v="Y"/>
    <s v="Yes"/>
    <n v="11"/>
    <n v="3"/>
    <n v="3"/>
    <n v="80"/>
    <n v="1"/>
    <n v="17"/>
    <n v="3"/>
    <n v="2"/>
    <x v="11"/>
    <n v="0"/>
    <n v="1"/>
    <n v="0"/>
    <s v="36-45"/>
    <s v="High"/>
    <s v="3-5"/>
    <s v="Senior"/>
    <s v="Standard"/>
    <s v="High"/>
    <x v="0"/>
  </r>
  <r>
    <n v="20"/>
    <x v="1"/>
    <s v="Travel_Rarely"/>
    <n v="959"/>
    <x v="1"/>
    <n v="1"/>
    <n v="3"/>
    <s v="Life Sciences"/>
    <n v="1"/>
    <n v="657"/>
    <x v="2"/>
    <s v="Female"/>
    <n v="83"/>
    <n v="2"/>
    <x v="1"/>
    <x v="1"/>
    <x v="1"/>
    <s v="Single"/>
    <n v="2836"/>
    <n v="11757"/>
    <n v="1"/>
    <s v="Y"/>
    <s v="No"/>
    <n v="13"/>
    <n v="3"/>
    <n v="4"/>
    <n v="80"/>
    <n v="0"/>
    <n v="1"/>
    <n v="0"/>
    <n v="4"/>
    <x v="6"/>
    <n v="0"/>
    <n v="0"/>
    <n v="0"/>
    <s v="18-25"/>
    <s v="Low"/>
    <s v="0-2"/>
    <s v="Junior"/>
    <s v="Standard"/>
    <s v="Low"/>
    <x v="0"/>
  </r>
  <r>
    <n v="42"/>
    <x v="1"/>
    <s v="Travel_Rarely"/>
    <n v="622"/>
    <x v="1"/>
    <n v="2"/>
    <n v="4"/>
    <s v="Life Sciences"/>
    <n v="1"/>
    <n v="659"/>
    <x v="1"/>
    <s v="Female"/>
    <n v="81"/>
    <n v="3"/>
    <x v="0"/>
    <x v="4"/>
    <x v="0"/>
    <s v="Married"/>
    <n v="4089"/>
    <n v="5718"/>
    <n v="1"/>
    <s v="Y"/>
    <s v="No"/>
    <n v="13"/>
    <n v="3"/>
    <n v="2"/>
    <n v="80"/>
    <n v="2"/>
    <n v="10"/>
    <n v="4"/>
    <n v="3"/>
    <x v="1"/>
    <n v="2"/>
    <n v="2"/>
    <n v="2"/>
    <s v="36-45"/>
    <s v="Medium"/>
    <s v="6-10"/>
    <s v="Mid-Level"/>
    <s v="Standard"/>
    <s v="High"/>
    <x v="0"/>
  </r>
  <r>
    <n v="43"/>
    <x v="1"/>
    <s v="Travel_Rarely"/>
    <n v="782"/>
    <x v="1"/>
    <n v="6"/>
    <n v="4"/>
    <s v="Other"/>
    <n v="1"/>
    <n v="661"/>
    <x v="0"/>
    <s v="Male"/>
    <n v="50"/>
    <n v="2"/>
    <x v="3"/>
    <x v="7"/>
    <x v="0"/>
    <s v="Divorced"/>
    <n v="16627"/>
    <n v="2671"/>
    <n v="4"/>
    <s v="Y"/>
    <s v="Yes"/>
    <n v="14"/>
    <n v="3"/>
    <n v="3"/>
    <n v="80"/>
    <n v="1"/>
    <n v="21"/>
    <n v="3"/>
    <n v="2"/>
    <x v="6"/>
    <n v="0"/>
    <n v="0"/>
    <n v="0"/>
    <s v="36-45"/>
    <s v="Very High"/>
    <s v="0-2"/>
    <s v="Senior"/>
    <s v="Standard"/>
    <s v="High"/>
    <x v="0"/>
  </r>
  <r>
    <n v="38"/>
    <x v="1"/>
    <s v="Travel_Rarely"/>
    <n v="362"/>
    <x v="1"/>
    <n v="1"/>
    <n v="1"/>
    <s v="Life Sciences"/>
    <n v="1"/>
    <n v="662"/>
    <x v="1"/>
    <s v="Female"/>
    <n v="43"/>
    <n v="3"/>
    <x v="1"/>
    <x v="1"/>
    <x v="3"/>
    <s v="Single"/>
    <n v="2619"/>
    <n v="14561"/>
    <n v="3"/>
    <s v="Y"/>
    <s v="No"/>
    <n v="17"/>
    <n v="3"/>
    <n v="4"/>
    <n v="80"/>
    <n v="0"/>
    <n v="8"/>
    <n v="3"/>
    <n v="2"/>
    <x v="2"/>
    <n v="0"/>
    <n v="0"/>
    <n v="0"/>
    <s v="36-45"/>
    <s v="Low"/>
    <s v="0-2"/>
    <s v="Mid-Level"/>
    <s v="Standard"/>
    <s v="Low"/>
    <x v="0"/>
  </r>
  <r>
    <n v="43"/>
    <x v="1"/>
    <s v="Travel_Frequently"/>
    <n v="1001"/>
    <x v="1"/>
    <n v="9"/>
    <n v="5"/>
    <s v="Medical"/>
    <n v="1"/>
    <n v="663"/>
    <x v="2"/>
    <s v="Male"/>
    <n v="72"/>
    <n v="3"/>
    <x v="0"/>
    <x v="2"/>
    <x v="2"/>
    <s v="Divorced"/>
    <n v="5679"/>
    <n v="19627"/>
    <n v="3"/>
    <s v="Y"/>
    <s v="Yes"/>
    <n v="13"/>
    <n v="3"/>
    <n v="2"/>
    <n v="80"/>
    <n v="1"/>
    <n v="10"/>
    <n v="3"/>
    <n v="3"/>
    <x v="3"/>
    <n v="7"/>
    <n v="4"/>
    <n v="7"/>
    <s v="36-45"/>
    <s v="Medium"/>
    <s v="6-10"/>
    <s v="Mid-Level"/>
    <s v="Standard"/>
    <s v="High"/>
    <x v="0"/>
  </r>
  <r>
    <n v="48"/>
    <x v="1"/>
    <s v="Travel_Rarely"/>
    <n v="1236"/>
    <x v="1"/>
    <n v="1"/>
    <n v="4"/>
    <s v="Life Sciences"/>
    <n v="1"/>
    <n v="664"/>
    <x v="2"/>
    <s v="Female"/>
    <n v="40"/>
    <n v="2"/>
    <x v="3"/>
    <x v="5"/>
    <x v="3"/>
    <s v="Married"/>
    <n v="15402"/>
    <n v="17997"/>
    <n v="7"/>
    <s v="Y"/>
    <s v="No"/>
    <n v="11"/>
    <n v="3"/>
    <n v="1"/>
    <n v="80"/>
    <n v="1"/>
    <n v="21"/>
    <n v="3"/>
    <n v="1"/>
    <x v="11"/>
    <n v="2"/>
    <n v="0"/>
    <n v="2"/>
    <s v="46-55"/>
    <s v="Very High"/>
    <s v="3-5"/>
    <s v="Senior"/>
    <s v="Standard"/>
    <s v="Low"/>
    <x v="0"/>
  </r>
  <r>
    <n v="44"/>
    <x v="1"/>
    <s v="Travel_Rarely"/>
    <n v="1112"/>
    <x v="2"/>
    <n v="1"/>
    <n v="4"/>
    <s v="Life Sciences"/>
    <n v="1"/>
    <n v="665"/>
    <x v="3"/>
    <s v="Female"/>
    <n v="50"/>
    <n v="2"/>
    <x v="0"/>
    <x v="8"/>
    <x v="2"/>
    <s v="Single"/>
    <n v="5985"/>
    <n v="26894"/>
    <n v="4"/>
    <s v="Y"/>
    <s v="No"/>
    <n v="11"/>
    <n v="3"/>
    <n v="2"/>
    <n v="80"/>
    <n v="0"/>
    <n v="10"/>
    <n v="1"/>
    <n v="4"/>
    <x v="4"/>
    <n v="2"/>
    <n v="0"/>
    <n v="2"/>
    <s v="36-45"/>
    <s v="Medium"/>
    <s v="0-2"/>
    <s v="Mid-Level"/>
    <s v="Standard"/>
    <s v="High"/>
    <x v="0"/>
  </r>
  <r>
    <n v="34"/>
    <x v="1"/>
    <s v="Travel_Rarely"/>
    <n v="204"/>
    <x v="0"/>
    <n v="14"/>
    <n v="3"/>
    <s v="Technical Degree"/>
    <n v="1"/>
    <n v="666"/>
    <x v="1"/>
    <s v="Female"/>
    <n v="31"/>
    <n v="3"/>
    <x v="1"/>
    <x v="6"/>
    <x v="2"/>
    <s v="Divorced"/>
    <n v="2579"/>
    <n v="2912"/>
    <n v="1"/>
    <s v="Y"/>
    <s v="Yes"/>
    <n v="18"/>
    <n v="3"/>
    <n v="4"/>
    <n v="80"/>
    <n v="2"/>
    <n v="8"/>
    <n v="3"/>
    <n v="3"/>
    <x v="3"/>
    <n v="2"/>
    <n v="0"/>
    <n v="6"/>
    <s v="26-35"/>
    <s v="Low"/>
    <s v="6-10"/>
    <s v="Mid-Level"/>
    <s v="Standard"/>
    <s v="High"/>
    <x v="0"/>
  </r>
  <r>
    <n v="27"/>
    <x v="0"/>
    <s v="Travel_Rarely"/>
    <n v="1420"/>
    <x v="0"/>
    <n v="2"/>
    <n v="1"/>
    <s v="Marketing"/>
    <n v="1"/>
    <n v="667"/>
    <x v="1"/>
    <s v="Male"/>
    <n v="85"/>
    <n v="3"/>
    <x v="1"/>
    <x v="6"/>
    <x v="3"/>
    <s v="Divorced"/>
    <n v="3041"/>
    <n v="16346"/>
    <n v="0"/>
    <s v="Y"/>
    <s v="No"/>
    <n v="11"/>
    <n v="3"/>
    <n v="2"/>
    <n v="80"/>
    <n v="1"/>
    <n v="5"/>
    <n v="3"/>
    <n v="3"/>
    <x v="9"/>
    <n v="3"/>
    <n v="0"/>
    <n v="2"/>
    <s v="26-35"/>
    <s v="Medium"/>
    <s v="3-5"/>
    <s v="Junior"/>
    <s v="Standard"/>
    <s v="Low"/>
    <x v="0"/>
  </r>
  <r>
    <n v="21"/>
    <x v="1"/>
    <s v="Travel_Rarely"/>
    <n v="1343"/>
    <x v="0"/>
    <n v="22"/>
    <n v="1"/>
    <s v="Technical Degree"/>
    <n v="1"/>
    <n v="669"/>
    <x v="1"/>
    <s v="Male"/>
    <n v="49"/>
    <n v="3"/>
    <x v="1"/>
    <x v="6"/>
    <x v="2"/>
    <s v="Single"/>
    <n v="3447"/>
    <n v="24444"/>
    <n v="1"/>
    <s v="Y"/>
    <s v="No"/>
    <n v="11"/>
    <n v="3"/>
    <n v="3"/>
    <n v="80"/>
    <n v="0"/>
    <n v="3"/>
    <n v="2"/>
    <n v="3"/>
    <x v="11"/>
    <n v="2"/>
    <n v="1"/>
    <n v="2"/>
    <s v="18-25"/>
    <s v="Medium"/>
    <s v="3-5"/>
    <s v="Junior"/>
    <s v="Standard"/>
    <s v="High"/>
    <x v="0"/>
  </r>
  <r>
    <n v="44"/>
    <x v="1"/>
    <s v="Travel_Rarely"/>
    <n v="1315"/>
    <x v="1"/>
    <n v="3"/>
    <n v="4"/>
    <s v="Other"/>
    <n v="1"/>
    <n v="671"/>
    <x v="2"/>
    <s v="Male"/>
    <n v="35"/>
    <n v="3"/>
    <x v="4"/>
    <x v="5"/>
    <x v="0"/>
    <s v="Married"/>
    <n v="19513"/>
    <n v="9358"/>
    <n v="4"/>
    <s v="Y"/>
    <s v="Yes"/>
    <n v="12"/>
    <n v="3"/>
    <n v="1"/>
    <n v="80"/>
    <n v="1"/>
    <n v="26"/>
    <n v="2"/>
    <n v="4"/>
    <x v="4"/>
    <n v="2"/>
    <n v="0"/>
    <n v="1"/>
    <s v="36-45"/>
    <s v="Very High"/>
    <s v="0-2"/>
    <s v="Senior"/>
    <s v="Standard"/>
    <s v="High"/>
    <x v="0"/>
  </r>
  <r>
    <n v="22"/>
    <x v="1"/>
    <s v="Travel_Rarely"/>
    <n v="604"/>
    <x v="1"/>
    <n v="6"/>
    <n v="1"/>
    <s v="Medical"/>
    <n v="1"/>
    <n v="675"/>
    <x v="3"/>
    <s v="Male"/>
    <n v="69"/>
    <n v="3"/>
    <x v="1"/>
    <x v="1"/>
    <x v="2"/>
    <s v="Married"/>
    <n v="2773"/>
    <n v="12145"/>
    <n v="0"/>
    <s v="Y"/>
    <s v="No"/>
    <n v="20"/>
    <n v="4"/>
    <n v="4"/>
    <n v="80"/>
    <n v="0"/>
    <n v="3"/>
    <n v="3"/>
    <n v="3"/>
    <x v="4"/>
    <n v="2"/>
    <n v="2"/>
    <n v="2"/>
    <s v="18-25"/>
    <s v="Low"/>
    <s v="0-2"/>
    <s v="Junior"/>
    <s v="Excellent"/>
    <s v="High"/>
    <x v="0"/>
  </r>
  <r>
    <n v="33"/>
    <x v="1"/>
    <s v="Travel_Rarely"/>
    <n v="1216"/>
    <x v="0"/>
    <n v="8"/>
    <n v="4"/>
    <s v="Marketing"/>
    <n v="1"/>
    <n v="677"/>
    <x v="1"/>
    <s v="Male"/>
    <n v="39"/>
    <n v="3"/>
    <x v="0"/>
    <x v="0"/>
    <x v="2"/>
    <s v="Divorced"/>
    <n v="7104"/>
    <n v="20431"/>
    <n v="0"/>
    <s v="Y"/>
    <s v="No"/>
    <n v="12"/>
    <n v="3"/>
    <n v="4"/>
    <n v="80"/>
    <n v="0"/>
    <n v="6"/>
    <n v="3"/>
    <n v="3"/>
    <x v="8"/>
    <n v="0"/>
    <n v="1"/>
    <n v="2"/>
    <s v="26-35"/>
    <s v="High"/>
    <s v="3-5"/>
    <s v="Mid-Level"/>
    <s v="Standard"/>
    <s v="High"/>
    <x v="0"/>
  </r>
  <r>
    <n v="32"/>
    <x v="1"/>
    <s v="Travel_Rarely"/>
    <n v="646"/>
    <x v="1"/>
    <n v="9"/>
    <n v="4"/>
    <s v="Life Sciences"/>
    <n v="1"/>
    <n v="679"/>
    <x v="3"/>
    <s v="Female"/>
    <n v="92"/>
    <n v="3"/>
    <x v="0"/>
    <x v="1"/>
    <x v="0"/>
    <s v="Married"/>
    <n v="6322"/>
    <n v="18089"/>
    <n v="1"/>
    <s v="Y"/>
    <s v="Yes"/>
    <n v="12"/>
    <n v="3"/>
    <n v="4"/>
    <n v="80"/>
    <n v="1"/>
    <n v="6"/>
    <n v="2"/>
    <n v="2"/>
    <x v="0"/>
    <n v="4"/>
    <n v="0"/>
    <n v="5"/>
    <s v="26-35"/>
    <s v="High"/>
    <s v="6-10"/>
    <s v="Mid-Level"/>
    <s v="Standard"/>
    <s v="High"/>
    <x v="0"/>
  </r>
  <r>
    <n v="30"/>
    <x v="1"/>
    <s v="Travel_Frequently"/>
    <n v="160"/>
    <x v="1"/>
    <n v="3"/>
    <n v="3"/>
    <s v="Medical"/>
    <n v="1"/>
    <n v="680"/>
    <x v="1"/>
    <s v="Female"/>
    <n v="71"/>
    <n v="3"/>
    <x v="1"/>
    <x v="1"/>
    <x v="2"/>
    <s v="Divorced"/>
    <n v="2083"/>
    <n v="22653"/>
    <n v="1"/>
    <s v="Y"/>
    <s v="No"/>
    <n v="20"/>
    <n v="4"/>
    <n v="3"/>
    <n v="80"/>
    <n v="1"/>
    <n v="1"/>
    <n v="2"/>
    <n v="3"/>
    <x v="6"/>
    <n v="0"/>
    <n v="0"/>
    <n v="0"/>
    <s v="26-35"/>
    <s v="Low"/>
    <s v="0-2"/>
    <s v="Junior"/>
    <s v="Excellent"/>
    <s v="High"/>
    <x v="0"/>
  </r>
  <r>
    <n v="53"/>
    <x v="1"/>
    <s v="Travel_Rarely"/>
    <n v="238"/>
    <x v="0"/>
    <n v="1"/>
    <n v="1"/>
    <s v="Medical"/>
    <n v="1"/>
    <n v="682"/>
    <x v="2"/>
    <s v="Female"/>
    <n v="34"/>
    <n v="3"/>
    <x v="0"/>
    <x v="0"/>
    <x v="3"/>
    <s v="Single"/>
    <n v="8381"/>
    <n v="7507"/>
    <n v="7"/>
    <s v="Y"/>
    <s v="No"/>
    <n v="20"/>
    <n v="4"/>
    <n v="4"/>
    <n v="80"/>
    <n v="0"/>
    <n v="18"/>
    <n v="2"/>
    <n v="4"/>
    <x v="13"/>
    <n v="7"/>
    <n v="8"/>
    <n v="10"/>
    <s v="46-55"/>
    <s v="High"/>
    <s v="11-15"/>
    <s v="Senior"/>
    <s v="Excellent"/>
    <s v="Low"/>
    <x v="0"/>
  </r>
  <r>
    <n v="34"/>
    <x v="1"/>
    <s v="Travel_Rarely"/>
    <n v="1397"/>
    <x v="1"/>
    <n v="1"/>
    <n v="5"/>
    <s v="Life Sciences"/>
    <n v="1"/>
    <n v="683"/>
    <x v="0"/>
    <s v="Male"/>
    <n v="42"/>
    <n v="3"/>
    <x v="1"/>
    <x v="1"/>
    <x v="0"/>
    <s v="Married"/>
    <n v="2691"/>
    <n v="7660"/>
    <n v="1"/>
    <s v="Y"/>
    <s v="No"/>
    <n v="12"/>
    <n v="3"/>
    <n v="4"/>
    <n v="80"/>
    <n v="1"/>
    <n v="10"/>
    <n v="4"/>
    <n v="2"/>
    <x v="1"/>
    <n v="9"/>
    <n v="8"/>
    <n v="8"/>
    <s v="26-35"/>
    <s v="Low"/>
    <s v="6-10"/>
    <s v="Mid-Level"/>
    <s v="Standard"/>
    <s v="High"/>
    <x v="0"/>
  </r>
  <r>
    <n v="45"/>
    <x v="0"/>
    <s v="Travel_Frequently"/>
    <n v="306"/>
    <x v="0"/>
    <n v="26"/>
    <n v="4"/>
    <s v="Life Sciences"/>
    <n v="1"/>
    <n v="684"/>
    <x v="3"/>
    <s v="Female"/>
    <n v="100"/>
    <n v="3"/>
    <x v="0"/>
    <x v="0"/>
    <x v="3"/>
    <s v="Married"/>
    <n v="4286"/>
    <n v="5630"/>
    <n v="2"/>
    <s v="Y"/>
    <s v="No"/>
    <n v="14"/>
    <n v="3"/>
    <n v="4"/>
    <n v="80"/>
    <n v="2"/>
    <n v="5"/>
    <n v="4"/>
    <n v="3"/>
    <x v="6"/>
    <n v="1"/>
    <n v="0"/>
    <n v="0"/>
    <s v="36-45"/>
    <s v="Medium"/>
    <s v="0-2"/>
    <s v="Junior"/>
    <s v="Standard"/>
    <s v="Low"/>
    <x v="0"/>
  </r>
  <r>
    <n v="26"/>
    <x v="1"/>
    <s v="Travel_Rarely"/>
    <n v="991"/>
    <x v="1"/>
    <n v="6"/>
    <n v="3"/>
    <s v="Life Sciences"/>
    <n v="1"/>
    <n v="686"/>
    <x v="1"/>
    <s v="Female"/>
    <n v="71"/>
    <n v="3"/>
    <x v="1"/>
    <x v="2"/>
    <x v="0"/>
    <s v="Married"/>
    <n v="2659"/>
    <n v="17759"/>
    <n v="1"/>
    <s v="Y"/>
    <s v="Yes"/>
    <n v="13"/>
    <n v="3"/>
    <n v="3"/>
    <n v="80"/>
    <n v="1"/>
    <n v="3"/>
    <n v="2"/>
    <n v="3"/>
    <x v="11"/>
    <n v="2"/>
    <n v="0"/>
    <n v="2"/>
    <s v="26-35"/>
    <s v="Low"/>
    <s v="3-5"/>
    <s v="Junior"/>
    <s v="Standard"/>
    <s v="High"/>
    <x v="0"/>
  </r>
  <r>
    <n v="37"/>
    <x v="1"/>
    <s v="Travel_Rarely"/>
    <n v="482"/>
    <x v="1"/>
    <n v="3"/>
    <n v="3"/>
    <s v="Other"/>
    <n v="1"/>
    <n v="689"/>
    <x v="1"/>
    <s v="Male"/>
    <n v="36"/>
    <n v="3"/>
    <x v="2"/>
    <x v="3"/>
    <x v="2"/>
    <s v="Married"/>
    <n v="9434"/>
    <n v="9606"/>
    <n v="1"/>
    <s v="Y"/>
    <s v="No"/>
    <n v="15"/>
    <n v="3"/>
    <n v="3"/>
    <n v="80"/>
    <n v="1"/>
    <n v="10"/>
    <n v="2"/>
    <n v="3"/>
    <x v="1"/>
    <n v="7"/>
    <n v="7"/>
    <n v="8"/>
    <s v="36-45"/>
    <s v="High"/>
    <s v="6-10"/>
    <s v="Mid-Level"/>
    <s v="Standard"/>
    <s v="High"/>
    <x v="0"/>
  </r>
  <r>
    <n v="29"/>
    <x v="1"/>
    <s v="Travel_Rarely"/>
    <n v="1176"/>
    <x v="0"/>
    <n v="3"/>
    <n v="2"/>
    <s v="Medical"/>
    <n v="1"/>
    <n v="690"/>
    <x v="0"/>
    <s v="Female"/>
    <n v="62"/>
    <n v="3"/>
    <x v="0"/>
    <x v="0"/>
    <x v="2"/>
    <s v="Married"/>
    <n v="5561"/>
    <n v="3487"/>
    <n v="1"/>
    <s v="Y"/>
    <s v="No"/>
    <n v="14"/>
    <n v="3"/>
    <n v="1"/>
    <n v="80"/>
    <n v="1"/>
    <n v="6"/>
    <n v="5"/>
    <n v="2"/>
    <x v="0"/>
    <n v="0"/>
    <n v="1"/>
    <n v="2"/>
    <s v="26-35"/>
    <s v="Medium"/>
    <s v="6-10"/>
    <s v="Mid-Level"/>
    <s v="Standard"/>
    <s v="High"/>
    <x v="0"/>
  </r>
  <r>
    <n v="35"/>
    <x v="1"/>
    <s v="Travel_Rarely"/>
    <n v="1017"/>
    <x v="1"/>
    <n v="6"/>
    <n v="4"/>
    <s v="Life Sciences"/>
    <n v="1"/>
    <n v="691"/>
    <x v="0"/>
    <s v="Male"/>
    <n v="82"/>
    <n v="1"/>
    <x v="0"/>
    <x v="1"/>
    <x v="0"/>
    <s v="Single"/>
    <n v="6646"/>
    <n v="19368"/>
    <n v="1"/>
    <s v="Y"/>
    <s v="No"/>
    <n v="13"/>
    <n v="3"/>
    <n v="2"/>
    <n v="80"/>
    <n v="0"/>
    <n v="17"/>
    <n v="3"/>
    <n v="3"/>
    <x v="18"/>
    <n v="11"/>
    <n v="11"/>
    <n v="8"/>
    <s v="26-35"/>
    <s v="High"/>
    <s v="16+"/>
    <s v="Senior"/>
    <s v="Standard"/>
    <s v="High"/>
    <x v="0"/>
  </r>
  <r>
    <n v="33"/>
    <x v="1"/>
    <s v="Travel_Frequently"/>
    <n v="1296"/>
    <x v="1"/>
    <n v="6"/>
    <n v="3"/>
    <s v="Life Sciences"/>
    <n v="1"/>
    <n v="692"/>
    <x v="1"/>
    <s v="Male"/>
    <n v="30"/>
    <n v="3"/>
    <x v="0"/>
    <x v="4"/>
    <x v="0"/>
    <s v="Divorced"/>
    <n v="7725"/>
    <n v="5335"/>
    <n v="3"/>
    <s v="Y"/>
    <s v="No"/>
    <n v="23"/>
    <n v="4"/>
    <n v="3"/>
    <n v="80"/>
    <n v="1"/>
    <n v="15"/>
    <n v="2"/>
    <n v="1"/>
    <x v="20"/>
    <n v="11"/>
    <n v="4"/>
    <n v="7"/>
    <s v="26-35"/>
    <s v="High"/>
    <s v="11-15"/>
    <s v="Mid-Level"/>
    <s v="Excellent"/>
    <s v="High"/>
    <x v="0"/>
  </r>
  <r>
    <n v="54"/>
    <x v="1"/>
    <s v="Travel_Rarely"/>
    <n v="397"/>
    <x v="2"/>
    <n v="19"/>
    <n v="4"/>
    <s v="Medical"/>
    <n v="1"/>
    <n v="698"/>
    <x v="1"/>
    <s v="Male"/>
    <n v="88"/>
    <n v="3"/>
    <x v="2"/>
    <x v="8"/>
    <x v="1"/>
    <s v="Married"/>
    <n v="10725"/>
    <n v="6729"/>
    <n v="2"/>
    <s v="Y"/>
    <s v="No"/>
    <n v="15"/>
    <n v="3"/>
    <n v="3"/>
    <n v="80"/>
    <n v="1"/>
    <n v="16"/>
    <n v="1"/>
    <n v="4"/>
    <x v="7"/>
    <n v="7"/>
    <n v="7"/>
    <n v="1"/>
    <s v="46-55"/>
    <s v="Very High"/>
    <s v="6-10"/>
    <s v="Senior"/>
    <s v="Standard"/>
    <s v="Low"/>
    <x v="0"/>
  </r>
  <r>
    <n v="36"/>
    <x v="1"/>
    <s v="Travel_Rarely"/>
    <n v="913"/>
    <x v="1"/>
    <n v="9"/>
    <n v="2"/>
    <s v="Medical"/>
    <n v="1"/>
    <n v="699"/>
    <x v="0"/>
    <s v="Male"/>
    <n v="48"/>
    <n v="2"/>
    <x v="0"/>
    <x v="3"/>
    <x v="1"/>
    <s v="Divorced"/>
    <n v="8847"/>
    <n v="13934"/>
    <n v="2"/>
    <s v="Y"/>
    <s v="Yes"/>
    <n v="11"/>
    <n v="3"/>
    <n v="3"/>
    <n v="80"/>
    <n v="1"/>
    <n v="13"/>
    <n v="2"/>
    <n v="3"/>
    <x v="11"/>
    <n v="2"/>
    <n v="0"/>
    <n v="2"/>
    <s v="36-45"/>
    <s v="High"/>
    <s v="3-5"/>
    <s v="Mid-Level"/>
    <s v="Standard"/>
    <s v="Low"/>
    <x v="0"/>
  </r>
  <r>
    <n v="27"/>
    <x v="1"/>
    <s v="Travel_Rarely"/>
    <n v="1115"/>
    <x v="1"/>
    <n v="3"/>
    <n v="4"/>
    <s v="Medical"/>
    <n v="1"/>
    <n v="700"/>
    <x v="3"/>
    <s v="Male"/>
    <n v="54"/>
    <n v="2"/>
    <x v="1"/>
    <x v="1"/>
    <x v="0"/>
    <s v="Single"/>
    <n v="2045"/>
    <n v="15174"/>
    <n v="0"/>
    <s v="Y"/>
    <s v="No"/>
    <n v="13"/>
    <n v="3"/>
    <n v="4"/>
    <n v="80"/>
    <n v="0"/>
    <n v="5"/>
    <n v="0"/>
    <n v="3"/>
    <x v="9"/>
    <n v="2"/>
    <n v="1"/>
    <n v="1"/>
    <s v="26-35"/>
    <s v="Low"/>
    <s v="3-5"/>
    <s v="Junior"/>
    <s v="Standard"/>
    <s v="High"/>
    <x v="0"/>
  </r>
  <r>
    <n v="20"/>
    <x v="0"/>
    <s v="Travel_Rarely"/>
    <n v="1362"/>
    <x v="1"/>
    <n v="10"/>
    <n v="1"/>
    <s v="Medical"/>
    <n v="1"/>
    <n v="701"/>
    <x v="2"/>
    <s v="Male"/>
    <n v="32"/>
    <n v="3"/>
    <x v="1"/>
    <x v="1"/>
    <x v="2"/>
    <s v="Single"/>
    <n v="1009"/>
    <n v="26999"/>
    <n v="1"/>
    <s v="Y"/>
    <s v="Yes"/>
    <n v="11"/>
    <n v="3"/>
    <n v="4"/>
    <n v="80"/>
    <n v="0"/>
    <n v="1"/>
    <n v="5"/>
    <n v="3"/>
    <x v="6"/>
    <n v="0"/>
    <n v="1"/>
    <n v="1"/>
    <s v="18-25"/>
    <s v="Low"/>
    <s v="0-2"/>
    <s v="Junior"/>
    <s v="Standard"/>
    <s v="High"/>
    <x v="0"/>
  </r>
  <r>
    <n v="33"/>
    <x v="0"/>
    <s v="Travel_Frequently"/>
    <n v="1076"/>
    <x v="1"/>
    <n v="3"/>
    <n v="3"/>
    <s v="Life Sciences"/>
    <n v="1"/>
    <n v="702"/>
    <x v="3"/>
    <s v="Male"/>
    <n v="70"/>
    <n v="3"/>
    <x v="1"/>
    <x v="1"/>
    <x v="3"/>
    <s v="Single"/>
    <n v="3348"/>
    <n v="3164"/>
    <n v="1"/>
    <s v="Y"/>
    <s v="Yes"/>
    <n v="11"/>
    <n v="3"/>
    <n v="1"/>
    <n v="80"/>
    <n v="0"/>
    <n v="10"/>
    <n v="3"/>
    <n v="3"/>
    <x v="1"/>
    <n v="8"/>
    <n v="9"/>
    <n v="7"/>
    <s v="26-35"/>
    <s v="Medium"/>
    <s v="6-10"/>
    <s v="Mid-Level"/>
    <s v="Standard"/>
    <s v="Low"/>
    <x v="0"/>
  </r>
  <r>
    <n v="35"/>
    <x v="1"/>
    <s v="Non-Travel"/>
    <n v="727"/>
    <x v="1"/>
    <n v="3"/>
    <n v="3"/>
    <s v="Life Sciences"/>
    <n v="1"/>
    <n v="704"/>
    <x v="1"/>
    <s v="Male"/>
    <n v="41"/>
    <n v="2"/>
    <x v="1"/>
    <x v="2"/>
    <x v="2"/>
    <s v="Married"/>
    <n v="1281"/>
    <n v="16900"/>
    <n v="1"/>
    <s v="Y"/>
    <s v="No"/>
    <n v="18"/>
    <n v="3"/>
    <n v="3"/>
    <n v="80"/>
    <n v="2"/>
    <n v="1"/>
    <n v="3"/>
    <n v="3"/>
    <x v="6"/>
    <n v="0"/>
    <n v="0"/>
    <n v="0"/>
    <s v="26-35"/>
    <s v="Low"/>
    <s v="0-2"/>
    <s v="Junior"/>
    <s v="Standard"/>
    <s v="High"/>
    <x v="0"/>
  </r>
  <r>
    <n v="23"/>
    <x v="1"/>
    <s v="Travel_Rarely"/>
    <n v="885"/>
    <x v="1"/>
    <n v="4"/>
    <n v="3"/>
    <s v="Medical"/>
    <n v="1"/>
    <n v="705"/>
    <x v="3"/>
    <s v="Male"/>
    <n v="58"/>
    <n v="4"/>
    <x v="1"/>
    <x v="1"/>
    <x v="3"/>
    <s v="Married"/>
    <n v="2819"/>
    <n v="8544"/>
    <n v="2"/>
    <s v="Y"/>
    <s v="No"/>
    <n v="16"/>
    <n v="3"/>
    <n v="1"/>
    <n v="80"/>
    <n v="1"/>
    <n v="5"/>
    <n v="3"/>
    <n v="4"/>
    <x v="11"/>
    <n v="2"/>
    <n v="0"/>
    <n v="2"/>
    <s v="18-25"/>
    <s v="Low"/>
    <s v="3-5"/>
    <s v="Junior"/>
    <s v="Standard"/>
    <s v="Low"/>
    <x v="0"/>
  </r>
  <r>
    <n v="25"/>
    <x v="1"/>
    <s v="Travel_Rarely"/>
    <n v="810"/>
    <x v="0"/>
    <n v="8"/>
    <n v="3"/>
    <s v="Life Sciences"/>
    <n v="1"/>
    <n v="707"/>
    <x v="2"/>
    <s v="Male"/>
    <n v="57"/>
    <n v="4"/>
    <x v="0"/>
    <x v="0"/>
    <x v="1"/>
    <s v="Married"/>
    <n v="4851"/>
    <n v="15678"/>
    <n v="0"/>
    <s v="Y"/>
    <s v="No"/>
    <n v="22"/>
    <n v="4"/>
    <n v="3"/>
    <n v="80"/>
    <n v="1"/>
    <n v="4"/>
    <n v="4"/>
    <n v="3"/>
    <x v="11"/>
    <n v="2"/>
    <n v="1"/>
    <n v="2"/>
    <s v="18-25"/>
    <s v="Medium"/>
    <s v="3-5"/>
    <s v="Junior"/>
    <s v="Excellent"/>
    <s v="Low"/>
    <x v="0"/>
  </r>
  <r>
    <n v="38"/>
    <x v="1"/>
    <s v="Travel_Rarely"/>
    <n v="243"/>
    <x v="0"/>
    <n v="7"/>
    <n v="4"/>
    <s v="Marketing"/>
    <n v="1"/>
    <n v="709"/>
    <x v="2"/>
    <s v="Female"/>
    <n v="46"/>
    <n v="2"/>
    <x v="0"/>
    <x v="0"/>
    <x v="0"/>
    <s v="Single"/>
    <n v="4028"/>
    <n v="7791"/>
    <n v="0"/>
    <s v="Y"/>
    <s v="No"/>
    <n v="20"/>
    <n v="4"/>
    <n v="1"/>
    <n v="80"/>
    <n v="0"/>
    <n v="8"/>
    <n v="2"/>
    <n v="3"/>
    <x v="5"/>
    <n v="7"/>
    <n v="0"/>
    <n v="5"/>
    <s v="36-45"/>
    <s v="Medium"/>
    <s v="6-10"/>
    <s v="Mid-Level"/>
    <s v="Excellent"/>
    <s v="High"/>
    <x v="0"/>
  </r>
  <r>
    <n v="29"/>
    <x v="1"/>
    <s v="Travel_Frequently"/>
    <n v="806"/>
    <x v="1"/>
    <n v="1"/>
    <n v="4"/>
    <s v="Life Sciences"/>
    <n v="1"/>
    <n v="710"/>
    <x v="0"/>
    <s v="Male"/>
    <n v="76"/>
    <n v="1"/>
    <x v="1"/>
    <x v="1"/>
    <x v="0"/>
    <s v="Divorced"/>
    <n v="2720"/>
    <n v="18959"/>
    <n v="1"/>
    <s v="Y"/>
    <s v="No"/>
    <n v="18"/>
    <n v="3"/>
    <n v="4"/>
    <n v="80"/>
    <n v="1"/>
    <n v="10"/>
    <n v="5"/>
    <n v="3"/>
    <x v="1"/>
    <n v="7"/>
    <n v="2"/>
    <n v="8"/>
    <s v="26-35"/>
    <s v="Low"/>
    <s v="6-10"/>
    <s v="Mid-Level"/>
    <s v="Standard"/>
    <s v="High"/>
    <x v="0"/>
  </r>
  <r>
    <n v="48"/>
    <x v="1"/>
    <s v="Travel_Rarely"/>
    <n v="817"/>
    <x v="0"/>
    <n v="2"/>
    <n v="1"/>
    <s v="Marketing"/>
    <n v="1"/>
    <n v="712"/>
    <x v="0"/>
    <s v="Male"/>
    <n v="56"/>
    <n v="4"/>
    <x v="0"/>
    <x v="0"/>
    <x v="1"/>
    <s v="Married"/>
    <n v="8120"/>
    <n v="18597"/>
    <n v="3"/>
    <s v="Y"/>
    <s v="No"/>
    <n v="12"/>
    <n v="3"/>
    <n v="4"/>
    <n v="80"/>
    <n v="0"/>
    <n v="12"/>
    <n v="3"/>
    <n v="3"/>
    <x v="4"/>
    <n v="2"/>
    <n v="2"/>
    <n v="2"/>
    <s v="46-55"/>
    <s v="High"/>
    <s v="0-2"/>
    <s v="Mid-Level"/>
    <s v="Standard"/>
    <s v="Low"/>
    <x v="0"/>
  </r>
  <r>
    <n v="27"/>
    <x v="1"/>
    <s v="Travel_Frequently"/>
    <n v="1410"/>
    <x v="0"/>
    <n v="3"/>
    <n v="1"/>
    <s v="Medical"/>
    <n v="1"/>
    <n v="714"/>
    <x v="2"/>
    <s v="Female"/>
    <n v="71"/>
    <n v="4"/>
    <x v="0"/>
    <x v="0"/>
    <x v="0"/>
    <s v="Divorced"/>
    <n v="4647"/>
    <n v="16673"/>
    <n v="1"/>
    <s v="Y"/>
    <s v="Yes"/>
    <n v="20"/>
    <n v="4"/>
    <n v="2"/>
    <n v="80"/>
    <n v="2"/>
    <n v="6"/>
    <n v="3"/>
    <n v="3"/>
    <x v="0"/>
    <n v="5"/>
    <n v="0"/>
    <n v="4"/>
    <s v="26-35"/>
    <s v="Medium"/>
    <s v="6-10"/>
    <s v="Mid-Level"/>
    <s v="Excellent"/>
    <s v="High"/>
    <x v="0"/>
  </r>
  <r>
    <n v="37"/>
    <x v="1"/>
    <s v="Travel_Rarely"/>
    <n v="1225"/>
    <x v="1"/>
    <n v="10"/>
    <n v="2"/>
    <s v="Life Sciences"/>
    <n v="1"/>
    <n v="715"/>
    <x v="2"/>
    <s v="Male"/>
    <n v="80"/>
    <n v="4"/>
    <x v="1"/>
    <x v="1"/>
    <x v="0"/>
    <s v="Single"/>
    <n v="4680"/>
    <n v="15232"/>
    <n v="3"/>
    <s v="Y"/>
    <s v="No"/>
    <n v="17"/>
    <n v="3"/>
    <n v="1"/>
    <n v="80"/>
    <n v="0"/>
    <n v="4"/>
    <n v="2"/>
    <n v="3"/>
    <x v="6"/>
    <n v="0"/>
    <n v="0"/>
    <n v="0"/>
    <s v="36-45"/>
    <s v="Medium"/>
    <s v="0-2"/>
    <s v="Junior"/>
    <s v="Standard"/>
    <s v="High"/>
    <x v="0"/>
  </r>
  <r>
    <n v="50"/>
    <x v="1"/>
    <s v="Travel_Rarely"/>
    <n v="1207"/>
    <x v="1"/>
    <n v="28"/>
    <n v="1"/>
    <s v="Medical"/>
    <n v="1"/>
    <n v="716"/>
    <x v="2"/>
    <s v="Male"/>
    <n v="74"/>
    <n v="4"/>
    <x v="1"/>
    <x v="2"/>
    <x v="2"/>
    <s v="Married"/>
    <n v="3221"/>
    <n v="3297"/>
    <n v="1"/>
    <s v="Y"/>
    <s v="Yes"/>
    <n v="11"/>
    <n v="3"/>
    <n v="3"/>
    <n v="80"/>
    <n v="3"/>
    <n v="20"/>
    <n v="3"/>
    <n v="3"/>
    <x v="23"/>
    <n v="8"/>
    <n v="3"/>
    <n v="8"/>
    <s v="46-55"/>
    <s v="Medium"/>
    <s v="16+"/>
    <s v="Senior"/>
    <s v="Standard"/>
    <s v="High"/>
    <x v="0"/>
  </r>
  <r>
    <n v="34"/>
    <x v="1"/>
    <s v="Travel_Rarely"/>
    <n v="1442"/>
    <x v="1"/>
    <n v="9"/>
    <n v="3"/>
    <s v="Medical"/>
    <n v="1"/>
    <n v="717"/>
    <x v="2"/>
    <s v="Female"/>
    <n v="46"/>
    <n v="2"/>
    <x v="2"/>
    <x v="4"/>
    <x v="1"/>
    <s v="Single"/>
    <n v="8621"/>
    <n v="17654"/>
    <n v="1"/>
    <s v="Y"/>
    <s v="No"/>
    <n v="14"/>
    <n v="3"/>
    <n v="2"/>
    <n v="80"/>
    <n v="0"/>
    <n v="9"/>
    <n v="3"/>
    <n v="4"/>
    <x v="3"/>
    <n v="7"/>
    <n v="7"/>
    <n v="7"/>
    <s v="26-35"/>
    <s v="High"/>
    <s v="6-10"/>
    <s v="Mid-Level"/>
    <s v="Standard"/>
    <s v="Low"/>
    <x v="0"/>
  </r>
  <r>
    <n v="24"/>
    <x v="0"/>
    <s v="Travel_Rarely"/>
    <n v="693"/>
    <x v="0"/>
    <n v="3"/>
    <n v="2"/>
    <s v="Life Sciences"/>
    <n v="1"/>
    <n v="720"/>
    <x v="3"/>
    <s v="Female"/>
    <n v="65"/>
    <n v="3"/>
    <x v="0"/>
    <x v="0"/>
    <x v="2"/>
    <s v="Single"/>
    <n v="4577"/>
    <n v="24785"/>
    <n v="9"/>
    <s v="Y"/>
    <s v="No"/>
    <n v="14"/>
    <n v="3"/>
    <n v="1"/>
    <n v="80"/>
    <n v="0"/>
    <n v="4"/>
    <n v="3"/>
    <n v="3"/>
    <x v="4"/>
    <n v="2"/>
    <n v="2"/>
    <n v="0"/>
    <s v="18-25"/>
    <s v="Medium"/>
    <s v="0-2"/>
    <s v="Junior"/>
    <s v="Standard"/>
    <s v="High"/>
    <x v="0"/>
  </r>
  <r>
    <n v="39"/>
    <x v="1"/>
    <s v="Travel_Rarely"/>
    <n v="408"/>
    <x v="1"/>
    <n v="2"/>
    <n v="4"/>
    <s v="Technical Degree"/>
    <n v="1"/>
    <n v="721"/>
    <x v="2"/>
    <s v="Female"/>
    <n v="80"/>
    <n v="2"/>
    <x v="0"/>
    <x v="4"/>
    <x v="2"/>
    <s v="Single"/>
    <n v="4553"/>
    <n v="20978"/>
    <n v="1"/>
    <s v="Y"/>
    <s v="No"/>
    <n v="11"/>
    <n v="3"/>
    <n v="1"/>
    <n v="80"/>
    <n v="0"/>
    <n v="20"/>
    <n v="4"/>
    <n v="3"/>
    <x v="23"/>
    <n v="7"/>
    <n v="11"/>
    <n v="10"/>
    <s v="36-45"/>
    <s v="Medium"/>
    <s v="16+"/>
    <s v="Senior"/>
    <s v="Standard"/>
    <s v="High"/>
    <x v="0"/>
  </r>
  <r>
    <n v="32"/>
    <x v="1"/>
    <s v="Travel_Rarely"/>
    <n v="929"/>
    <x v="0"/>
    <n v="10"/>
    <n v="3"/>
    <s v="Marketing"/>
    <n v="1"/>
    <n v="722"/>
    <x v="2"/>
    <s v="Male"/>
    <n v="55"/>
    <n v="3"/>
    <x v="0"/>
    <x v="0"/>
    <x v="0"/>
    <s v="Single"/>
    <n v="5396"/>
    <n v="21703"/>
    <n v="1"/>
    <s v="Y"/>
    <s v="No"/>
    <n v="12"/>
    <n v="3"/>
    <n v="4"/>
    <n v="80"/>
    <n v="0"/>
    <n v="10"/>
    <n v="2"/>
    <n v="2"/>
    <x v="1"/>
    <n v="7"/>
    <n v="0"/>
    <n v="8"/>
    <s v="26-35"/>
    <s v="Medium"/>
    <s v="6-10"/>
    <s v="Mid-Level"/>
    <s v="Standard"/>
    <s v="High"/>
    <x v="0"/>
  </r>
  <r>
    <n v="50"/>
    <x v="0"/>
    <s v="Travel_Frequently"/>
    <n v="562"/>
    <x v="0"/>
    <n v="8"/>
    <n v="2"/>
    <s v="Technical Degree"/>
    <n v="1"/>
    <n v="723"/>
    <x v="0"/>
    <s v="Male"/>
    <n v="50"/>
    <n v="3"/>
    <x v="0"/>
    <x v="0"/>
    <x v="2"/>
    <s v="Married"/>
    <n v="6796"/>
    <n v="23452"/>
    <n v="3"/>
    <s v="Y"/>
    <s v="Yes"/>
    <n v="14"/>
    <n v="3"/>
    <n v="1"/>
    <n v="80"/>
    <n v="1"/>
    <n v="18"/>
    <n v="4"/>
    <n v="3"/>
    <x v="9"/>
    <n v="3"/>
    <n v="1"/>
    <n v="3"/>
    <s v="46-55"/>
    <s v="High"/>
    <s v="3-5"/>
    <s v="Senior"/>
    <s v="Standard"/>
    <s v="High"/>
    <x v="0"/>
  </r>
  <r>
    <n v="38"/>
    <x v="1"/>
    <s v="Travel_Rarely"/>
    <n v="827"/>
    <x v="1"/>
    <n v="1"/>
    <n v="4"/>
    <s v="Life Sciences"/>
    <n v="1"/>
    <n v="724"/>
    <x v="0"/>
    <s v="Female"/>
    <n v="33"/>
    <n v="4"/>
    <x v="0"/>
    <x v="4"/>
    <x v="0"/>
    <s v="Single"/>
    <n v="7625"/>
    <n v="19383"/>
    <n v="0"/>
    <s v="Y"/>
    <s v="No"/>
    <n v="13"/>
    <n v="3"/>
    <n v="3"/>
    <n v="80"/>
    <n v="0"/>
    <n v="10"/>
    <n v="4"/>
    <n v="2"/>
    <x v="7"/>
    <n v="7"/>
    <n v="1"/>
    <n v="8"/>
    <s v="36-45"/>
    <s v="High"/>
    <s v="6-10"/>
    <s v="Mid-Level"/>
    <s v="Standard"/>
    <s v="High"/>
    <x v="0"/>
  </r>
  <r>
    <n v="27"/>
    <x v="1"/>
    <s v="Travel_Rarely"/>
    <n v="608"/>
    <x v="1"/>
    <n v="1"/>
    <n v="2"/>
    <s v="Life Sciences"/>
    <n v="1"/>
    <n v="725"/>
    <x v="1"/>
    <s v="Female"/>
    <n v="68"/>
    <n v="3"/>
    <x v="2"/>
    <x v="3"/>
    <x v="3"/>
    <s v="Married"/>
    <n v="7412"/>
    <n v="6009"/>
    <n v="1"/>
    <s v="Y"/>
    <s v="No"/>
    <n v="11"/>
    <n v="3"/>
    <n v="4"/>
    <n v="80"/>
    <n v="0"/>
    <n v="9"/>
    <n v="3"/>
    <n v="3"/>
    <x v="7"/>
    <n v="7"/>
    <n v="0"/>
    <n v="7"/>
    <s v="26-35"/>
    <s v="High"/>
    <s v="6-10"/>
    <s v="Mid-Level"/>
    <s v="Standard"/>
    <s v="Low"/>
    <x v="0"/>
  </r>
  <r>
    <n v="32"/>
    <x v="1"/>
    <s v="Travel_Rarely"/>
    <n v="1018"/>
    <x v="1"/>
    <n v="3"/>
    <n v="2"/>
    <s v="Life Sciences"/>
    <n v="1"/>
    <n v="727"/>
    <x v="1"/>
    <s v="Female"/>
    <n v="39"/>
    <n v="3"/>
    <x v="2"/>
    <x v="7"/>
    <x v="0"/>
    <s v="Single"/>
    <n v="11159"/>
    <n v="19373"/>
    <n v="3"/>
    <s v="Y"/>
    <s v="No"/>
    <n v="15"/>
    <n v="3"/>
    <n v="4"/>
    <n v="80"/>
    <n v="0"/>
    <n v="10"/>
    <n v="6"/>
    <n v="3"/>
    <x v="5"/>
    <n v="7"/>
    <n v="7"/>
    <n v="7"/>
    <s v="26-35"/>
    <s v="Very High"/>
    <s v="6-10"/>
    <s v="Mid-Level"/>
    <s v="Standard"/>
    <s v="High"/>
    <x v="0"/>
  </r>
  <r>
    <n v="47"/>
    <x v="1"/>
    <s v="Travel_Rarely"/>
    <n v="703"/>
    <x v="0"/>
    <n v="14"/>
    <n v="4"/>
    <s v="Marketing"/>
    <n v="1"/>
    <n v="728"/>
    <x v="2"/>
    <s v="Male"/>
    <n v="42"/>
    <n v="3"/>
    <x v="0"/>
    <x v="0"/>
    <x v="3"/>
    <s v="Single"/>
    <n v="4960"/>
    <n v="11825"/>
    <n v="2"/>
    <s v="Y"/>
    <s v="No"/>
    <n v="12"/>
    <n v="3"/>
    <n v="4"/>
    <n v="80"/>
    <n v="0"/>
    <n v="20"/>
    <n v="2"/>
    <n v="3"/>
    <x v="5"/>
    <n v="7"/>
    <n v="1"/>
    <n v="7"/>
    <s v="46-55"/>
    <s v="Medium"/>
    <s v="6-10"/>
    <s v="Senior"/>
    <s v="Standard"/>
    <s v="Low"/>
    <x v="0"/>
  </r>
  <r>
    <n v="40"/>
    <x v="1"/>
    <s v="Travel_Frequently"/>
    <n v="580"/>
    <x v="0"/>
    <n v="5"/>
    <n v="4"/>
    <s v="Life Sciences"/>
    <n v="1"/>
    <n v="729"/>
    <x v="2"/>
    <s v="Male"/>
    <n v="48"/>
    <n v="2"/>
    <x v="2"/>
    <x v="0"/>
    <x v="3"/>
    <s v="Married"/>
    <n v="10475"/>
    <n v="23772"/>
    <n v="5"/>
    <s v="Y"/>
    <s v="Yes"/>
    <n v="21"/>
    <n v="4"/>
    <n v="3"/>
    <n v="80"/>
    <n v="1"/>
    <n v="20"/>
    <n v="2"/>
    <n v="3"/>
    <x v="29"/>
    <n v="13"/>
    <n v="1"/>
    <n v="12"/>
    <s v="36-45"/>
    <s v="Very High"/>
    <s v="16+"/>
    <s v="Senior"/>
    <s v="Excellent"/>
    <s v="Low"/>
    <x v="0"/>
  </r>
  <r>
    <n v="53"/>
    <x v="1"/>
    <s v="Travel_Rarely"/>
    <n v="970"/>
    <x v="1"/>
    <n v="7"/>
    <n v="3"/>
    <s v="Life Sciences"/>
    <n v="1"/>
    <n v="730"/>
    <x v="1"/>
    <s v="Male"/>
    <n v="59"/>
    <n v="4"/>
    <x v="3"/>
    <x v="7"/>
    <x v="2"/>
    <s v="Married"/>
    <n v="14814"/>
    <n v="13514"/>
    <n v="3"/>
    <s v="Y"/>
    <s v="No"/>
    <n v="19"/>
    <n v="3"/>
    <n v="3"/>
    <n v="80"/>
    <n v="0"/>
    <n v="32"/>
    <n v="3"/>
    <n v="3"/>
    <x v="8"/>
    <n v="1"/>
    <n v="1"/>
    <n v="3"/>
    <s v="46-55"/>
    <s v="Very High"/>
    <s v="3-5"/>
    <s v="Senior"/>
    <s v="Standard"/>
    <s v="High"/>
    <x v="0"/>
  </r>
  <r>
    <n v="41"/>
    <x v="1"/>
    <s v="Travel_Rarely"/>
    <n v="427"/>
    <x v="2"/>
    <n v="10"/>
    <n v="4"/>
    <s v="Human Resources"/>
    <n v="1"/>
    <n v="731"/>
    <x v="0"/>
    <s v="Male"/>
    <n v="73"/>
    <n v="2"/>
    <x v="4"/>
    <x v="5"/>
    <x v="0"/>
    <s v="Divorced"/>
    <n v="19141"/>
    <n v="8861"/>
    <n v="3"/>
    <s v="Y"/>
    <s v="No"/>
    <n v="15"/>
    <n v="3"/>
    <n v="2"/>
    <n v="80"/>
    <n v="3"/>
    <n v="23"/>
    <n v="2"/>
    <n v="2"/>
    <x v="17"/>
    <n v="6"/>
    <n v="12"/>
    <n v="6"/>
    <s v="36-45"/>
    <s v="Very High"/>
    <s v="16+"/>
    <s v="Senior"/>
    <s v="Standard"/>
    <s v="High"/>
    <x v="0"/>
  </r>
  <r>
    <n v="60"/>
    <x v="1"/>
    <s v="Travel_Rarely"/>
    <n v="1179"/>
    <x v="0"/>
    <n v="16"/>
    <n v="4"/>
    <s v="Marketing"/>
    <n v="1"/>
    <n v="732"/>
    <x v="3"/>
    <s v="Male"/>
    <n v="84"/>
    <n v="3"/>
    <x v="0"/>
    <x v="0"/>
    <x v="3"/>
    <s v="Single"/>
    <n v="5405"/>
    <n v="11924"/>
    <n v="8"/>
    <s v="Y"/>
    <s v="No"/>
    <n v="14"/>
    <n v="3"/>
    <n v="4"/>
    <n v="80"/>
    <n v="0"/>
    <n v="10"/>
    <n v="1"/>
    <n v="3"/>
    <x v="4"/>
    <n v="2"/>
    <n v="2"/>
    <n v="2"/>
    <s v="56+"/>
    <s v="Medium"/>
    <s v="0-2"/>
    <s v="Mid-Level"/>
    <s v="Standard"/>
    <s v="Low"/>
    <x v="0"/>
  </r>
  <r>
    <n v="27"/>
    <x v="1"/>
    <s v="Travel_Frequently"/>
    <n v="294"/>
    <x v="1"/>
    <n v="10"/>
    <n v="2"/>
    <s v="Life Sciences"/>
    <n v="1"/>
    <n v="733"/>
    <x v="2"/>
    <s v="Male"/>
    <n v="32"/>
    <n v="3"/>
    <x v="2"/>
    <x v="3"/>
    <x v="3"/>
    <s v="Divorced"/>
    <n v="8793"/>
    <n v="4809"/>
    <n v="1"/>
    <s v="Y"/>
    <s v="No"/>
    <n v="21"/>
    <n v="4"/>
    <n v="3"/>
    <n v="80"/>
    <n v="2"/>
    <n v="9"/>
    <n v="4"/>
    <n v="2"/>
    <x v="7"/>
    <n v="7"/>
    <n v="1"/>
    <n v="7"/>
    <s v="26-35"/>
    <s v="High"/>
    <s v="6-10"/>
    <s v="Mid-Level"/>
    <s v="Excellent"/>
    <s v="Low"/>
    <x v="0"/>
  </r>
  <r>
    <n v="41"/>
    <x v="1"/>
    <s v="Travel_Rarely"/>
    <n v="314"/>
    <x v="2"/>
    <n v="1"/>
    <n v="3"/>
    <s v="Human Resources"/>
    <n v="1"/>
    <n v="734"/>
    <x v="2"/>
    <s v="Male"/>
    <n v="59"/>
    <n v="2"/>
    <x v="4"/>
    <x v="5"/>
    <x v="2"/>
    <s v="Married"/>
    <n v="19189"/>
    <n v="19562"/>
    <n v="1"/>
    <s v="Y"/>
    <s v="No"/>
    <n v="12"/>
    <n v="3"/>
    <n v="2"/>
    <n v="80"/>
    <n v="1"/>
    <n v="22"/>
    <n v="3"/>
    <n v="3"/>
    <x v="14"/>
    <n v="7"/>
    <n v="2"/>
    <n v="10"/>
    <s v="36-45"/>
    <s v="Very High"/>
    <s v="16+"/>
    <s v="Senior"/>
    <s v="Standard"/>
    <s v="High"/>
    <x v="0"/>
  </r>
  <r>
    <n v="50"/>
    <x v="1"/>
    <s v="Travel_Rarely"/>
    <n v="316"/>
    <x v="0"/>
    <n v="8"/>
    <n v="4"/>
    <s v="Marketing"/>
    <n v="1"/>
    <n v="738"/>
    <x v="2"/>
    <s v="Male"/>
    <n v="54"/>
    <n v="3"/>
    <x v="1"/>
    <x v="6"/>
    <x v="1"/>
    <s v="Married"/>
    <n v="3875"/>
    <n v="9983"/>
    <n v="7"/>
    <s v="Y"/>
    <s v="No"/>
    <n v="15"/>
    <n v="3"/>
    <n v="4"/>
    <n v="80"/>
    <n v="1"/>
    <n v="4"/>
    <n v="2"/>
    <n v="3"/>
    <x v="4"/>
    <n v="2"/>
    <n v="2"/>
    <n v="2"/>
    <s v="46-55"/>
    <s v="Medium"/>
    <s v="0-2"/>
    <s v="Junior"/>
    <s v="Standard"/>
    <s v="Low"/>
    <x v="0"/>
  </r>
  <r>
    <n v="28"/>
    <x v="0"/>
    <s v="Travel_Rarely"/>
    <n v="654"/>
    <x v="1"/>
    <n v="1"/>
    <n v="2"/>
    <s v="Life Sciences"/>
    <n v="1"/>
    <n v="741"/>
    <x v="3"/>
    <s v="Female"/>
    <n v="67"/>
    <n v="1"/>
    <x v="1"/>
    <x v="1"/>
    <x v="1"/>
    <s v="Single"/>
    <n v="2216"/>
    <n v="3872"/>
    <n v="7"/>
    <s v="Y"/>
    <s v="Yes"/>
    <n v="13"/>
    <n v="3"/>
    <n v="4"/>
    <n v="80"/>
    <n v="0"/>
    <n v="10"/>
    <n v="4"/>
    <n v="3"/>
    <x v="5"/>
    <n v="7"/>
    <n v="3"/>
    <n v="7"/>
    <s v="26-35"/>
    <s v="Low"/>
    <s v="6-10"/>
    <s v="Mid-Level"/>
    <s v="Standard"/>
    <s v="Low"/>
    <x v="0"/>
  </r>
  <r>
    <n v="36"/>
    <x v="1"/>
    <s v="Non-Travel"/>
    <n v="427"/>
    <x v="1"/>
    <n v="8"/>
    <n v="3"/>
    <s v="Life Sciences"/>
    <n v="1"/>
    <n v="742"/>
    <x v="3"/>
    <s v="Female"/>
    <n v="63"/>
    <n v="4"/>
    <x v="2"/>
    <x v="7"/>
    <x v="3"/>
    <s v="Married"/>
    <n v="11713"/>
    <n v="20335"/>
    <n v="9"/>
    <s v="Y"/>
    <s v="No"/>
    <n v="14"/>
    <n v="3"/>
    <n v="1"/>
    <n v="80"/>
    <n v="1"/>
    <n v="10"/>
    <n v="2"/>
    <n v="3"/>
    <x v="3"/>
    <n v="7"/>
    <n v="0"/>
    <n v="5"/>
    <s v="36-45"/>
    <s v="Very High"/>
    <s v="6-10"/>
    <s v="Mid-Level"/>
    <s v="Standard"/>
    <s v="Low"/>
    <x v="0"/>
  </r>
  <r>
    <n v="38"/>
    <x v="1"/>
    <s v="Travel_Rarely"/>
    <n v="168"/>
    <x v="1"/>
    <n v="1"/>
    <n v="3"/>
    <s v="Life Sciences"/>
    <n v="1"/>
    <n v="743"/>
    <x v="1"/>
    <s v="Female"/>
    <n v="81"/>
    <n v="3"/>
    <x v="2"/>
    <x v="3"/>
    <x v="2"/>
    <s v="Single"/>
    <n v="7861"/>
    <n v="15397"/>
    <n v="4"/>
    <s v="Y"/>
    <s v="Yes"/>
    <n v="14"/>
    <n v="3"/>
    <n v="4"/>
    <n v="80"/>
    <n v="0"/>
    <n v="10"/>
    <n v="4"/>
    <n v="4"/>
    <x v="6"/>
    <n v="0"/>
    <n v="0"/>
    <n v="0"/>
    <s v="36-45"/>
    <s v="High"/>
    <s v="0-2"/>
    <s v="Mid-Level"/>
    <s v="Standard"/>
    <s v="High"/>
    <x v="0"/>
  </r>
  <r>
    <n v="44"/>
    <x v="1"/>
    <s v="Non-Travel"/>
    <n v="381"/>
    <x v="1"/>
    <n v="24"/>
    <n v="3"/>
    <s v="Medical"/>
    <n v="1"/>
    <n v="744"/>
    <x v="3"/>
    <s v="Male"/>
    <n v="49"/>
    <n v="1"/>
    <x v="1"/>
    <x v="2"/>
    <x v="2"/>
    <s v="Single"/>
    <n v="3708"/>
    <n v="2104"/>
    <n v="2"/>
    <s v="Y"/>
    <s v="No"/>
    <n v="14"/>
    <n v="3"/>
    <n v="3"/>
    <n v="80"/>
    <n v="0"/>
    <n v="9"/>
    <n v="5"/>
    <n v="3"/>
    <x v="8"/>
    <n v="2"/>
    <n v="1"/>
    <n v="4"/>
    <s v="36-45"/>
    <s v="Medium"/>
    <s v="3-5"/>
    <s v="Mid-Level"/>
    <s v="Standard"/>
    <s v="High"/>
    <x v="0"/>
  </r>
  <r>
    <n v="47"/>
    <x v="1"/>
    <s v="Travel_Frequently"/>
    <n v="217"/>
    <x v="0"/>
    <n v="3"/>
    <n v="3"/>
    <s v="Medical"/>
    <n v="1"/>
    <n v="746"/>
    <x v="2"/>
    <s v="Female"/>
    <n v="49"/>
    <n v="3"/>
    <x v="3"/>
    <x v="0"/>
    <x v="2"/>
    <s v="Divorced"/>
    <n v="13770"/>
    <n v="10225"/>
    <n v="9"/>
    <s v="Y"/>
    <s v="Yes"/>
    <n v="12"/>
    <n v="3"/>
    <n v="4"/>
    <n v="80"/>
    <n v="2"/>
    <n v="28"/>
    <n v="2"/>
    <n v="2"/>
    <x v="14"/>
    <n v="2"/>
    <n v="11"/>
    <n v="13"/>
    <s v="46-55"/>
    <s v="Very High"/>
    <s v="16+"/>
    <s v="Senior"/>
    <s v="Standard"/>
    <s v="High"/>
    <x v="0"/>
  </r>
  <r>
    <n v="30"/>
    <x v="1"/>
    <s v="Travel_Rarely"/>
    <n v="501"/>
    <x v="0"/>
    <n v="27"/>
    <n v="5"/>
    <s v="Marketing"/>
    <n v="1"/>
    <n v="747"/>
    <x v="1"/>
    <s v="Male"/>
    <n v="99"/>
    <n v="3"/>
    <x v="0"/>
    <x v="0"/>
    <x v="0"/>
    <s v="Divorced"/>
    <n v="5304"/>
    <n v="25275"/>
    <n v="7"/>
    <s v="Y"/>
    <s v="No"/>
    <n v="23"/>
    <n v="4"/>
    <n v="4"/>
    <n v="80"/>
    <n v="1"/>
    <n v="10"/>
    <n v="2"/>
    <n v="2"/>
    <x v="3"/>
    <n v="7"/>
    <n v="7"/>
    <n v="7"/>
    <s v="26-35"/>
    <s v="Medium"/>
    <s v="6-10"/>
    <s v="Mid-Level"/>
    <s v="Excellent"/>
    <s v="High"/>
    <x v="0"/>
  </r>
  <r>
    <n v="29"/>
    <x v="1"/>
    <s v="Travel_Rarely"/>
    <n v="1396"/>
    <x v="0"/>
    <n v="10"/>
    <n v="3"/>
    <s v="Life Sciences"/>
    <n v="1"/>
    <n v="749"/>
    <x v="1"/>
    <s v="Male"/>
    <n v="99"/>
    <n v="3"/>
    <x v="1"/>
    <x v="6"/>
    <x v="2"/>
    <s v="Single"/>
    <n v="2642"/>
    <n v="2755"/>
    <n v="1"/>
    <s v="Y"/>
    <s v="No"/>
    <n v="11"/>
    <n v="3"/>
    <n v="3"/>
    <n v="80"/>
    <n v="0"/>
    <n v="1"/>
    <n v="6"/>
    <n v="3"/>
    <x v="6"/>
    <n v="0"/>
    <n v="0"/>
    <n v="0"/>
    <s v="26-35"/>
    <s v="Low"/>
    <s v="0-2"/>
    <s v="Junior"/>
    <s v="Standard"/>
    <s v="High"/>
    <x v="0"/>
  </r>
  <r>
    <n v="42"/>
    <x v="0"/>
    <s v="Travel_Frequently"/>
    <n v="933"/>
    <x v="1"/>
    <n v="19"/>
    <n v="3"/>
    <s v="Medical"/>
    <n v="1"/>
    <n v="752"/>
    <x v="1"/>
    <s v="Male"/>
    <n v="57"/>
    <n v="4"/>
    <x v="1"/>
    <x v="1"/>
    <x v="2"/>
    <s v="Divorced"/>
    <n v="2759"/>
    <n v="20366"/>
    <n v="6"/>
    <s v="Y"/>
    <s v="Yes"/>
    <n v="12"/>
    <n v="3"/>
    <n v="4"/>
    <n v="80"/>
    <n v="0"/>
    <n v="7"/>
    <n v="2"/>
    <n v="3"/>
    <x v="4"/>
    <n v="2"/>
    <n v="2"/>
    <n v="2"/>
    <s v="36-45"/>
    <s v="Low"/>
    <s v="0-2"/>
    <s v="Mid-Level"/>
    <s v="Standard"/>
    <s v="High"/>
    <x v="0"/>
  </r>
  <r>
    <n v="43"/>
    <x v="1"/>
    <s v="Travel_Frequently"/>
    <n v="775"/>
    <x v="0"/>
    <n v="15"/>
    <n v="3"/>
    <s v="Life Sciences"/>
    <n v="1"/>
    <n v="754"/>
    <x v="2"/>
    <s v="Male"/>
    <n v="47"/>
    <n v="2"/>
    <x v="0"/>
    <x v="0"/>
    <x v="0"/>
    <s v="Married"/>
    <n v="6804"/>
    <n v="23683"/>
    <n v="3"/>
    <s v="Y"/>
    <s v="No"/>
    <n v="18"/>
    <n v="3"/>
    <n v="3"/>
    <n v="80"/>
    <n v="1"/>
    <n v="7"/>
    <n v="5"/>
    <n v="3"/>
    <x v="4"/>
    <n v="2"/>
    <n v="2"/>
    <n v="2"/>
    <s v="36-45"/>
    <s v="High"/>
    <s v="0-2"/>
    <s v="Mid-Level"/>
    <s v="Standard"/>
    <s v="High"/>
    <x v="0"/>
  </r>
  <r>
    <n v="34"/>
    <x v="1"/>
    <s v="Travel_Rarely"/>
    <n v="970"/>
    <x v="1"/>
    <n v="8"/>
    <n v="2"/>
    <s v="Medical"/>
    <n v="1"/>
    <n v="757"/>
    <x v="0"/>
    <s v="Female"/>
    <n v="96"/>
    <n v="3"/>
    <x v="0"/>
    <x v="4"/>
    <x v="2"/>
    <s v="Single"/>
    <n v="6142"/>
    <n v="7360"/>
    <n v="3"/>
    <s v="Y"/>
    <s v="No"/>
    <n v="11"/>
    <n v="3"/>
    <n v="4"/>
    <n v="80"/>
    <n v="0"/>
    <n v="10"/>
    <n v="2"/>
    <n v="3"/>
    <x v="8"/>
    <n v="1"/>
    <n v="4"/>
    <n v="3"/>
    <s v="26-35"/>
    <s v="High"/>
    <s v="3-5"/>
    <s v="Mid-Level"/>
    <s v="Standard"/>
    <s v="High"/>
    <x v="0"/>
  </r>
  <r>
    <n v="23"/>
    <x v="1"/>
    <s v="Travel_Rarely"/>
    <n v="650"/>
    <x v="1"/>
    <n v="9"/>
    <n v="1"/>
    <s v="Medical"/>
    <n v="1"/>
    <n v="758"/>
    <x v="0"/>
    <s v="Male"/>
    <n v="37"/>
    <n v="3"/>
    <x v="1"/>
    <x v="2"/>
    <x v="3"/>
    <s v="Married"/>
    <n v="2500"/>
    <n v="4344"/>
    <n v="1"/>
    <s v="Y"/>
    <s v="No"/>
    <n v="14"/>
    <n v="3"/>
    <n v="4"/>
    <n v="80"/>
    <n v="1"/>
    <n v="5"/>
    <n v="2"/>
    <n v="4"/>
    <x v="9"/>
    <n v="3"/>
    <n v="0"/>
    <n v="2"/>
    <s v="18-25"/>
    <s v="Low"/>
    <s v="3-5"/>
    <s v="Junior"/>
    <s v="Standard"/>
    <s v="Low"/>
    <x v="0"/>
  </r>
  <r>
    <n v="39"/>
    <x v="1"/>
    <s v="Travel_Rarely"/>
    <n v="141"/>
    <x v="2"/>
    <n v="3"/>
    <n v="3"/>
    <s v="Human Resources"/>
    <n v="1"/>
    <n v="760"/>
    <x v="1"/>
    <s v="Female"/>
    <n v="44"/>
    <n v="4"/>
    <x v="0"/>
    <x v="8"/>
    <x v="1"/>
    <s v="Married"/>
    <n v="6389"/>
    <n v="18767"/>
    <n v="9"/>
    <s v="Y"/>
    <s v="No"/>
    <n v="15"/>
    <n v="3"/>
    <n v="3"/>
    <n v="80"/>
    <n v="1"/>
    <n v="12"/>
    <n v="3"/>
    <n v="1"/>
    <x v="3"/>
    <n v="3"/>
    <n v="3"/>
    <n v="6"/>
    <s v="36-45"/>
    <s v="High"/>
    <s v="6-10"/>
    <s v="Mid-Level"/>
    <s v="Standard"/>
    <s v="Low"/>
    <x v="0"/>
  </r>
  <r>
    <n v="56"/>
    <x v="1"/>
    <s v="Travel_Rarely"/>
    <n v="832"/>
    <x v="1"/>
    <n v="9"/>
    <n v="3"/>
    <s v="Medical"/>
    <n v="1"/>
    <n v="762"/>
    <x v="1"/>
    <s v="Male"/>
    <n v="81"/>
    <n v="3"/>
    <x v="3"/>
    <x v="4"/>
    <x v="0"/>
    <s v="Married"/>
    <n v="11103"/>
    <n v="20420"/>
    <n v="7"/>
    <s v="Y"/>
    <s v="No"/>
    <n v="11"/>
    <n v="3"/>
    <n v="3"/>
    <n v="80"/>
    <n v="0"/>
    <n v="30"/>
    <n v="1"/>
    <n v="2"/>
    <x v="1"/>
    <n v="7"/>
    <n v="1"/>
    <n v="1"/>
    <s v="56+"/>
    <s v="Very High"/>
    <s v="6-10"/>
    <s v="Senior"/>
    <s v="Standard"/>
    <s v="High"/>
    <x v="0"/>
  </r>
  <r>
    <n v="40"/>
    <x v="1"/>
    <s v="Travel_Rarely"/>
    <n v="804"/>
    <x v="1"/>
    <n v="2"/>
    <n v="1"/>
    <s v="Medical"/>
    <n v="1"/>
    <n v="763"/>
    <x v="2"/>
    <s v="Female"/>
    <n v="86"/>
    <n v="2"/>
    <x v="1"/>
    <x v="1"/>
    <x v="0"/>
    <s v="Single"/>
    <n v="2342"/>
    <n v="22929"/>
    <n v="0"/>
    <s v="Y"/>
    <s v="Yes"/>
    <n v="20"/>
    <n v="4"/>
    <n v="4"/>
    <n v="80"/>
    <n v="0"/>
    <n v="5"/>
    <n v="2"/>
    <n v="2"/>
    <x v="9"/>
    <n v="2"/>
    <n v="2"/>
    <n v="3"/>
    <s v="36-45"/>
    <s v="Low"/>
    <s v="3-5"/>
    <s v="Junior"/>
    <s v="Excellent"/>
    <s v="High"/>
    <x v="0"/>
  </r>
  <r>
    <n v="27"/>
    <x v="1"/>
    <s v="Travel_Rarely"/>
    <n v="975"/>
    <x v="1"/>
    <n v="7"/>
    <n v="3"/>
    <s v="Medical"/>
    <n v="1"/>
    <n v="764"/>
    <x v="2"/>
    <s v="Female"/>
    <n v="55"/>
    <n v="2"/>
    <x v="0"/>
    <x v="4"/>
    <x v="3"/>
    <s v="Single"/>
    <n v="6811"/>
    <n v="23398"/>
    <n v="8"/>
    <s v="Y"/>
    <s v="No"/>
    <n v="19"/>
    <n v="3"/>
    <n v="1"/>
    <n v="80"/>
    <n v="0"/>
    <n v="9"/>
    <n v="2"/>
    <n v="1"/>
    <x v="5"/>
    <n v="6"/>
    <n v="0"/>
    <n v="7"/>
    <s v="26-35"/>
    <s v="High"/>
    <s v="6-10"/>
    <s v="Mid-Level"/>
    <s v="Standard"/>
    <s v="Low"/>
    <x v="0"/>
  </r>
  <r>
    <n v="29"/>
    <x v="1"/>
    <s v="Travel_Rarely"/>
    <n v="1090"/>
    <x v="0"/>
    <n v="10"/>
    <n v="3"/>
    <s v="Marketing"/>
    <n v="1"/>
    <n v="766"/>
    <x v="2"/>
    <s v="Male"/>
    <n v="83"/>
    <n v="3"/>
    <x v="1"/>
    <x v="6"/>
    <x v="1"/>
    <s v="Divorced"/>
    <n v="2297"/>
    <n v="17967"/>
    <n v="1"/>
    <s v="Y"/>
    <s v="No"/>
    <n v="14"/>
    <n v="3"/>
    <n v="4"/>
    <n v="80"/>
    <n v="2"/>
    <n v="2"/>
    <n v="2"/>
    <n v="3"/>
    <x v="4"/>
    <n v="2"/>
    <n v="2"/>
    <n v="2"/>
    <s v="26-35"/>
    <s v="Low"/>
    <s v="0-2"/>
    <s v="Junior"/>
    <s v="Standard"/>
    <s v="Low"/>
    <x v="0"/>
  </r>
  <r>
    <n v="53"/>
    <x v="1"/>
    <s v="Travel_Rarely"/>
    <n v="346"/>
    <x v="1"/>
    <n v="6"/>
    <n v="3"/>
    <s v="Life Sciences"/>
    <n v="1"/>
    <n v="769"/>
    <x v="2"/>
    <s v="Male"/>
    <n v="86"/>
    <n v="3"/>
    <x v="0"/>
    <x v="2"/>
    <x v="0"/>
    <s v="Single"/>
    <n v="2450"/>
    <n v="10919"/>
    <n v="2"/>
    <s v="Y"/>
    <s v="No"/>
    <n v="17"/>
    <n v="3"/>
    <n v="4"/>
    <n v="80"/>
    <n v="0"/>
    <n v="19"/>
    <n v="4"/>
    <n v="3"/>
    <x v="4"/>
    <n v="2"/>
    <n v="2"/>
    <n v="2"/>
    <s v="46-55"/>
    <s v="Low"/>
    <s v="0-2"/>
    <s v="Senior"/>
    <s v="Standard"/>
    <s v="High"/>
    <x v="0"/>
  </r>
  <r>
    <n v="35"/>
    <x v="1"/>
    <s v="Non-Travel"/>
    <n v="1225"/>
    <x v="1"/>
    <n v="2"/>
    <n v="4"/>
    <s v="Life Sciences"/>
    <n v="1"/>
    <n v="771"/>
    <x v="2"/>
    <s v="Female"/>
    <n v="61"/>
    <n v="3"/>
    <x v="0"/>
    <x v="4"/>
    <x v="3"/>
    <s v="Divorced"/>
    <n v="5093"/>
    <n v="4761"/>
    <n v="2"/>
    <s v="Y"/>
    <s v="No"/>
    <n v="11"/>
    <n v="3"/>
    <n v="1"/>
    <n v="80"/>
    <n v="1"/>
    <n v="16"/>
    <n v="2"/>
    <n v="4"/>
    <x v="6"/>
    <n v="0"/>
    <n v="0"/>
    <n v="0"/>
    <s v="26-35"/>
    <s v="Medium"/>
    <s v="0-2"/>
    <s v="Senior"/>
    <s v="Standard"/>
    <s v="Low"/>
    <x v="0"/>
  </r>
  <r>
    <n v="32"/>
    <x v="1"/>
    <s v="Travel_Frequently"/>
    <n v="430"/>
    <x v="1"/>
    <n v="24"/>
    <n v="4"/>
    <s v="Life Sciences"/>
    <n v="1"/>
    <n v="772"/>
    <x v="3"/>
    <s v="Male"/>
    <n v="80"/>
    <n v="3"/>
    <x v="0"/>
    <x v="2"/>
    <x v="0"/>
    <s v="Married"/>
    <n v="5309"/>
    <n v="21146"/>
    <n v="1"/>
    <s v="Y"/>
    <s v="No"/>
    <n v="15"/>
    <n v="3"/>
    <n v="4"/>
    <n v="80"/>
    <n v="2"/>
    <n v="10"/>
    <n v="2"/>
    <n v="3"/>
    <x v="1"/>
    <n v="8"/>
    <n v="4"/>
    <n v="7"/>
    <s v="26-35"/>
    <s v="Medium"/>
    <s v="6-10"/>
    <s v="Mid-Level"/>
    <s v="Standard"/>
    <s v="High"/>
    <x v="0"/>
  </r>
  <r>
    <n v="38"/>
    <x v="1"/>
    <s v="Travel_Rarely"/>
    <n v="268"/>
    <x v="1"/>
    <n v="2"/>
    <n v="5"/>
    <s v="Medical"/>
    <n v="1"/>
    <n v="773"/>
    <x v="2"/>
    <s v="Male"/>
    <n v="92"/>
    <n v="3"/>
    <x v="1"/>
    <x v="1"/>
    <x v="2"/>
    <s v="Married"/>
    <n v="3057"/>
    <n v="20471"/>
    <n v="6"/>
    <s v="Y"/>
    <s v="Yes"/>
    <n v="13"/>
    <n v="3"/>
    <n v="2"/>
    <n v="80"/>
    <n v="1"/>
    <n v="6"/>
    <n v="0"/>
    <n v="1"/>
    <x v="6"/>
    <n v="0"/>
    <n v="0"/>
    <n v="1"/>
    <s v="36-45"/>
    <s v="Medium"/>
    <s v="0-2"/>
    <s v="Mid-Level"/>
    <s v="Standard"/>
    <s v="High"/>
    <x v="0"/>
  </r>
  <r>
    <n v="34"/>
    <x v="1"/>
    <s v="Travel_Rarely"/>
    <n v="167"/>
    <x v="1"/>
    <n v="8"/>
    <n v="5"/>
    <s v="Life Sciences"/>
    <n v="1"/>
    <n v="775"/>
    <x v="0"/>
    <s v="Female"/>
    <n v="32"/>
    <n v="3"/>
    <x v="0"/>
    <x v="3"/>
    <x v="3"/>
    <s v="Divorced"/>
    <n v="5121"/>
    <n v="4187"/>
    <n v="3"/>
    <s v="Y"/>
    <s v="No"/>
    <n v="14"/>
    <n v="3"/>
    <n v="3"/>
    <n v="80"/>
    <n v="1"/>
    <n v="7"/>
    <n v="3"/>
    <n v="3"/>
    <x v="2"/>
    <n v="0"/>
    <n v="0"/>
    <n v="0"/>
    <s v="26-35"/>
    <s v="Medium"/>
    <s v="0-2"/>
    <s v="Mid-Level"/>
    <s v="Standard"/>
    <s v="Low"/>
    <x v="0"/>
  </r>
  <r>
    <n v="52"/>
    <x v="1"/>
    <s v="Travel_Rarely"/>
    <n v="621"/>
    <x v="0"/>
    <n v="3"/>
    <n v="4"/>
    <s v="Marketing"/>
    <n v="1"/>
    <n v="776"/>
    <x v="1"/>
    <s v="Male"/>
    <n v="31"/>
    <n v="2"/>
    <x v="3"/>
    <x v="5"/>
    <x v="3"/>
    <s v="Married"/>
    <n v="16856"/>
    <n v="10084"/>
    <n v="1"/>
    <s v="Y"/>
    <s v="No"/>
    <n v="11"/>
    <n v="3"/>
    <n v="1"/>
    <n v="80"/>
    <n v="0"/>
    <n v="34"/>
    <n v="3"/>
    <n v="4"/>
    <x v="33"/>
    <n v="6"/>
    <n v="1"/>
    <n v="16"/>
    <s v="46-55"/>
    <s v="Very High"/>
    <s v="16+"/>
    <s v="Senior"/>
    <s v="Standard"/>
    <s v="Low"/>
    <x v="0"/>
  </r>
  <r>
    <n v="33"/>
    <x v="0"/>
    <s v="Travel_Rarely"/>
    <n v="527"/>
    <x v="1"/>
    <n v="1"/>
    <n v="4"/>
    <s v="Other"/>
    <n v="1"/>
    <n v="780"/>
    <x v="2"/>
    <s v="Male"/>
    <n v="63"/>
    <n v="3"/>
    <x v="1"/>
    <x v="1"/>
    <x v="0"/>
    <s v="Single"/>
    <n v="2686"/>
    <n v="5207"/>
    <n v="1"/>
    <s v="Y"/>
    <s v="Yes"/>
    <n v="13"/>
    <n v="3"/>
    <n v="3"/>
    <n v="80"/>
    <n v="0"/>
    <n v="10"/>
    <n v="2"/>
    <n v="2"/>
    <x v="1"/>
    <n v="9"/>
    <n v="7"/>
    <n v="8"/>
    <s v="26-35"/>
    <s v="Low"/>
    <s v="6-10"/>
    <s v="Mid-Level"/>
    <s v="Standard"/>
    <s v="High"/>
    <x v="0"/>
  </r>
  <r>
    <n v="25"/>
    <x v="1"/>
    <s v="Travel_Rarely"/>
    <n v="883"/>
    <x v="0"/>
    <n v="26"/>
    <n v="1"/>
    <s v="Medical"/>
    <n v="1"/>
    <n v="781"/>
    <x v="1"/>
    <s v="Female"/>
    <n v="32"/>
    <n v="3"/>
    <x v="0"/>
    <x v="0"/>
    <x v="0"/>
    <s v="Single"/>
    <n v="6180"/>
    <n v="22807"/>
    <n v="1"/>
    <s v="Y"/>
    <s v="No"/>
    <n v="23"/>
    <n v="4"/>
    <n v="2"/>
    <n v="80"/>
    <n v="0"/>
    <n v="6"/>
    <n v="5"/>
    <n v="2"/>
    <x v="0"/>
    <n v="5"/>
    <n v="1"/>
    <n v="4"/>
    <s v="18-25"/>
    <s v="High"/>
    <s v="6-10"/>
    <s v="Mid-Level"/>
    <s v="Excellent"/>
    <s v="High"/>
    <x v="0"/>
  </r>
  <r>
    <n v="45"/>
    <x v="1"/>
    <s v="Travel_Rarely"/>
    <n v="954"/>
    <x v="0"/>
    <n v="2"/>
    <n v="2"/>
    <s v="Technical Degree"/>
    <n v="1"/>
    <n v="783"/>
    <x v="0"/>
    <s v="Male"/>
    <n v="46"/>
    <n v="1"/>
    <x v="0"/>
    <x v="6"/>
    <x v="2"/>
    <s v="Single"/>
    <n v="6632"/>
    <n v="12388"/>
    <n v="0"/>
    <s v="Y"/>
    <s v="No"/>
    <n v="13"/>
    <n v="3"/>
    <n v="1"/>
    <n v="80"/>
    <n v="0"/>
    <n v="9"/>
    <n v="3"/>
    <n v="3"/>
    <x v="3"/>
    <n v="7"/>
    <n v="3"/>
    <n v="1"/>
    <s v="36-45"/>
    <s v="High"/>
    <s v="6-10"/>
    <s v="Mid-Level"/>
    <s v="Standard"/>
    <s v="High"/>
    <x v="0"/>
  </r>
  <r>
    <n v="23"/>
    <x v="1"/>
    <s v="Travel_Rarely"/>
    <n v="310"/>
    <x v="1"/>
    <n v="10"/>
    <n v="1"/>
    <s v="Medical"/>
    <n v="1"/>
    <n v="784"/>
    <x v="3"/>
    <s v="Male"/>
    <n v="79"/>
    <n v="4"/>
    <x v="1"/>
    <x v="1"/>
    <x v="2"/>
    <s v="Single"/>
    <n v="3505"/>
    <n v="19630"/>
    <n v="1"/>
    <s v="Y"/>
    <s v="No"/>
    <n v="18"/>
    <n v="3"/>
    <n v="4"/>
    <n v="80"/>
    <n v="0"/>
    <n v="2"/>
    <n v="3"/>
    <n v="3"/>
    <x v="4"/>
    <n v="2"/>
    <n v="0"/>
    <n v="2"/>
    <s v="18-25"/>
    <s v="Medium"/>
    <s v="0-2"/>
    <s v="Junior"/>
    <s v="Standard"/>
    <s v="High"/>
    <x v="0"/>
  </r>
  <r>
    <n v="47"/>
    <x v="0"/>
    <s v="Travel_Frequently"/>
    <n v="719"/>
    <x v="0"/>
    <n v="27"/>
    <n v="2"/>
    <s v="Life Sciences"/>
    <n v="1"/>
    <n v="785"/>
    <x v="0"/>
    <s v="Female"/>
    <n v="77"/>
    <n v="4"/>
    <x v="0"/>
    <x v="0"/>
    <x v="2"/>
    <s v="Single"/>
    <n v="6397"/>
    <n v="10339"/>
    <n v="4"/>
    <s v="Y"/>
    <s v="Yes"/>
    <n v="12"/>
    <n v="3"/>
    <n v="4"/>
    <n v="80"/>
    <n v="0"/>
    <n v="8"/>
    <n v="2"/>
    <n v="3"/>
    <x v="8"/>
    <n v="4"/>
    <n v="1"/>
    <n v="3"/>
    <s v="46-55"/>
    <s v="High"/>
    <s v="3-5"/>
    <s v="Mid-Level"/>
    <s v="Standard"/>
    <s v="High"/>
    <x v="0"/>
  </r>
  <r>
    <n v="34"/>
    <x v="1"/>
    <s v="Travel_Rarely"/>
    <n v="304"/>
    <x v="0"/>
    <n v="2"/>
    <n v="3"/>
    <s v="Other"/>
    <n v="1"/>
    <n v="786"/>
    <x v="2"/>
    <s v="Male"/>
    <n v="60"/>
    <n v="3"/>
    <x v="0"/>
    <x v="0"/>
    <x v="0"/>
    <s v="Single"/>
    <n v="6274"/>
    <n v="18686"/>
    <n v="1"/>
    <s v="Y"/>
    <s v="No"/>
    <n v="22"/>
    <n v="4"/>
    <n v="3"/>
    <n v="80"/>
    <n v="0"/>
    <n v="6"/>
    <n v="5"/>
    <n v="3"/>
    <x v="0"/>
    <n v="5"/>
    <n v="1"/>
    <n v="4"/>
    <s v="26-35"/>
    <s v="High"/>
    <s v="6-10"/>
    <s v="Mid-Level"/>
    <s v="Excellent"/>
    <s v="High"/>
    <x v="0"/>
  </r>
  <r>
    <n v="55"/>
    <x v="0"/>
    <s v="Travel_Rarely"/>
    <n v="725"/>
    <x v="1"/>
    <n v="2"/>
    <n v="3"/>
    <s v="Medical"/>
    <n v="1"/>
    <n v="787"/>
    <x v="2"/>
    <s v="Male"/>
    <n v="78"/>
    <n v="3"/>
    <x v="4"/>
    <x v="5"/>
    <x v="3"/>
    <s v="Married"/>
    <n v="19859"/>
    <n v="21199"/>
    <n v="5"/>
    <s v="Y"/>
    <s v="Yes"/>
    <n v="13"/>
    <n v="3"/>
    <n v="4"/>
    <n v="80"/>
    <n v="1"/>
    <n v="24"/>
    <n v="2"/>
    <n v="3"/>
    <x v="8"/>
    <n v="2"/>
    <n v="1"/>
    <n v="4"/>
    <s v="46-55"/>
    <s v="Very High"/>
    <s v="3-5"/>
    <s v="Senior"/>
    <s v="Standard"/>
    <s v="Low"/>
    <x v="0"/>
  </r>
  <r>
    <n v="36"/>
    <x v="1"/>
    <s v="Non-Travel"/>
    <n v="1434"/>
    <x v="0"/>
    <n v="8"/>
    <n v="4"/>
    <s v="Life Sciences"/>
    <n v="1"/>
    <n v="789"/>
    <x v="3"/>
    <s v="Male"/>
    <n v="76"/>
    <n v="2"/>
    <x v="2"/>
    <x v="0"/>
    <x v="3"/>
    <s v="Single"/>
    <n v="7587"/>
    <n v="14229"/>
    <n v="1"/>
    <s v="Y"/>
    <s v="No"/>
    <n v="15"/>
    <n v="3"/>
    <n v="2"/>
    <n v="80"/>
    <n v="0"/>
    <n v="10"/>
    <n v="1"/>
    <n v="3"/>
    <x v="1"/>
    <n v="7"/>
    <n v="0"/>
    <n v="9"/>
    <s v="36-45"/>
    <s v="High"/>
    <s v="6-10"/>
    <s v="Mid-Level"/>
    <s v="Standard"/>
    <s v="Low"/>
    <x v="0"/>
  </r>
  <r>
    <n v="52"/>
    <x v="1"/>
    <s v="Non-Travel"/>
    <n v="715"/>
    <x v="1"/>
    <n v="19"/>
    <n v="4"/>
    <s v="Medical"/>
    <n v="1"/>
    <n v="791"/>
    <x v="2"/>
    <s v="Male"/>
    <n v="41"/>
    <n v="3"/>
    <x v="1"/>
    <x v="1"/>
    <x v="0"/>
    <s v="Married"/>
    <n v="4258"/>
    <n v="26589"/>
    <n v="0"/>
    <s v="Y"/>
    <s v="No"/>
    <n v="18"/>
    <n v="3"/>
    <n v="1"/>
    <n v="80"/>
    <n v="1"/>
    <n v="5"/>
    <n v="3"/>
    <n v="3"/>
    <x v="9"/>
    <n v="3"/>
    <n v="1"/>
    <n v="2"/>
    <s v="46-55"/>
    <s v="Medium"/>
    <s v="3-5"/>
    <s v="Junior"/>
    <s v="Standard"/>
    <s v="High"/>
    <x v="0"/>
  </r>
  <r>
    <n v="26"/>
    <x v="1"/>
    <s v="Travel_Frequently"/>
    <n v="575"/>
    <x v="1"/>
    <n v="1"/>
    <n v="2"/>
    <s v="Life Sciences"/>
    <n v="1"/>
    <n v="792"/>
    <x v="3"/>
    <s v="Female"/>
    <n v="71"/>
    <n v="1"/>
    <x v="1"/>
    <x v="2"/>
    <x v="0"/>
    <s v="Divorced"/>
    <n v="4364"/>
    <n v="5288"/>
    <n v="3"/>
    <s v="Y"/>
    <s v="No"/>
    <n v="14"/>
    <n v="3"/>
    <n v="1"/>
    <n v="80"/>
    <n v="1"/>
    <n v="5"/>
    <n v="2"/>
    <n v="3"/>
    <x v="4"/>
    <n v="2"/>
    <n v="2"/>
    <n v="0"/>
    <s v="26-35"/>
    <s v="Medium"/>
    <s v="0-2"/>
    <s v="Junior"/>
    <s v="Standard"/>
    <s v="High"/>
    <x v="0"/>
  </r>
  <r>
    <n v="29"/>
    <x v="1"/>
    <s v="Travel_Rarely"/>
    <n v="657"/>
    <x v="1"/>
    <n v="27"/>
    <n v="3"/>
    <s v="Medical"/>
    <n v="1"/>
    <n v="793"/>
    <x v="0"/>
    <s v="Female"/>
    <n v="66"/>
    <n v="3"/>
    <x v="0"/>
    <x v="4"/>
    <x v="2"/>
    <s v="Married"/>
    <n v="4335"/>
    <n v="25549"/>
    <n v="4"/>
    <s v="Y"/>
    <s v="No"/>
    <n v="12"/>
    <n v="3"/>
    <n v="1"/>
    <n v="80"/>
    <n v="1"/>
    <n v="11"/>
    <n v="3"/>
    <n v="2"/>
    <x v="3"/>
    <n v="7"/>
    <n v="1"/>
    <n v="1"/>
    <s v="26-35"/>
    <s v="Medium"/>
    <s v="6-10"/>
    <s v="Mid-Level"/>
    <s v="Standard"/>
    <s v="High"/>
    <x v="0"/>
  </r>
  <r>
    <n v="26"/>
    <x v="0"/>
    <s v="Travel_Rarely"/>
    <n v="1146"/>
    <x v="0"/>
    <n v="8"/>
    <n v="3"/>
    <s v="Technical Degree"/>
    <n v="1"/>
    <n v="796"/>
    <x v="2"/>
    <s v="Male"/>
    <n v="38"/>
    <n v="2"/>
    <x v="0"/>
    <x v="0"/>
    <x v="3"/>
    <s v="Single"/>
    <n v="5326"/>
    <n v="3064"/>
    <n v="6"/>
    <s v="Y"/>
    <s v="No"/>
    <n v="17"/>
    <n v="3"/>
    <n v="3"/>
    <n v="80"/>
    <n v="0"/>
    <n v="6"/>
    <n v="2"/>
    <n v="2"/>
    <x v="9"/>
    <n v="3"/>
    <n v="1"/>
    <n v="2"/>
    <s v="26-35"/>
    <s v="Medium"/>
    <s v="3-5"/>
    <s v="Mid-Level"/>
    <s v="Standard"/>
    <s v="Low"/>
    <x v="0"/>
  </r>
  <r>
    <n v="34"/>
    <x v="1"/>
    <s v="Travel_Rarely"/>
    <n v="182"/>
    <x v="1"/>
    <n v="1"/>
    <n v="4"/>
    <s v="Life Sciences"/>
    <n v="1"/>
    <n v="797"/>
    <x v="0"/>
    <s v="Female"/>
    <n v="72"/>
    <n v="4"/>
    <x v="1"/>
    <x v="1"/>
    <x v="0"/>
    <s v="Single"/>
    <n v="3280"/>
    <n v="13551"/>
    <n v="2"/>
    <s v="Y"/>
    <s v="No"/>
    <n v="16"/>
    <n v="3"/>
    <n v="3"/>
    <n v="80"/>
    <n v="0"/>
    <n v="10"/>
    <n v="2"/>
    <n v="3"/>
    <x v="9"/>
    <n v="2"/>
    <n v="1"/>
    <n v="3"/>
    <s v="26-35"/>
    <s v="Medium"/>
    <s v="3-5"/>
    <s v="Mid-Level"/>
    <s v="Standard"/>
    <s v="High"/>
    <x v="0"/>
  </r>
  <r>
    <n v="54"/>
    <x v="1"/>
    <s v="Travel_Rarely"/>
    <n v="376"/>
    <x v="1"/>
    <n v="19"/>
    <n v="4"/>
    <s v="Medical"/>
    <n v="1"/>
    <n v="799"/>
    <x v="2"/>
    <s v="Female"/>
    <n v="95"/>
    <n v="3"/>
    <x v="0"/>
    <x v="3"/>
    <x v="3"/>
    <s v="Divorced"/>
    <n v="5485"/>
    <n v="22670"/>
    <n v="9"/>
    <s v="Y"/>
    <s v="Yes"/>
    <n v="11"/>
    <n v="3"/>
    <n v="2"/>
    <n v="80"/>
    <n v="2"/>
    <n v="9"/>
    <n v="4"/>
    <n v="3"/>
    <x v="8"/>
    <n v="3"/>
    <n v="1"/>
    <n v="4"/>
    <s v="46-55"/>
    <s v="Medium"/>
    <s v="3-5"/>
    <s v="Mid-Level"/>
    <s v="Standard"/>
    <s v="Low"/>
    <x v="0"/>
  </r>
  <r>
    <n v="27"/>
    <x v="1"/>
    <s v="Travel_Frequently"/>
    <n v="829"/>
    <x v="0"/>
    <n v="8"/>
    <n v="1"/>
    <s v="Marketing"/>
    <n v="1"/>
    <n v="800"/>
    <x v="1"/>
    <s v="Male"/>
    <n v="84"/>
    <n v="3"/>
    <x v="0"/>
    <x v="0"/>
    <x v="0"/>
    <s v="Married"/>
    <n v="4342"/>
    <n v="24008"/>
    <n v="0"/>
    <s v="Y"/>
    <s v="No"/>
    <n v="19"/>
    <n v="3"/>
    <n v="2"/>
    <n v="80"/>
    <n v="1"/>
    <n v="5"/>
    <n v="3"/>
    <n v="3"/>
    <x v="9"/>
    <n v="2"/>
    <n v="1"/>
    <n v="1"/>
    <s v="26-35"/>
    <s v="Medium"/>
    <s v="3-5"/>
    <s v="Junior"/>
    <s v="Standard"/>
    <s v="High"/>
    <x v="0"/>
  </r>
  <r>
    <n v="37"/>
    <x v="1"/>
    <s v="Travel_Rarely"/>
    <n v="571"/>
    <x v="1"/>
    <n v="10"/>
    <n v="1"/>
    <s v="Life Sciences"/>
    <n v="1"/>
    <n v="802"/>
    <x v="2"/>
    <s v="Female"/>
    <n v="82"/>
    <n v="3"/>
    <x v="1"/>
    <x v="1"/>
    <x v="3"/>
    <s v="Divorced"/>
    <n v="2782"/>
    <n v="19905"/>
    <n v="0"/>
    <s v="Y"/>
    <s v="Yes"/>
    <n v="13"/>
    <n v="3"/>
    <n v="2"/>
    <n v="80"/>
    <n v="2"/>
    <n v="6"/>
    <n v="3"/>
    <n v="2"/>
    <x v="8"/>
    <n v="3"/>
    <n v="4"/>
    <n v="3"/>
    <s v="36-45"/>
    <s v="Low"/>
    <s v="3-5"/>
    <s v="Mid-Level"/>
    <s v="Standard"/>
    <s v="Low"/>
    <x v="0"/>
  </r>
  <r>
    <n v="38"/>
    <x v="1"/>
    <s v="Travel_Frequently"/>
    <n v="240"/>
    <x v="1"/>
    <n v="2"/>
    <n v="4"/>
    <s v="Life Sciences"/>
    <n v="1"/>
    <n v="803"/>
    <x v="3"/>
    <s v="Female"/>
    <n v="75"/>
    <n v="4"/>
    <x v="0"/>
    <x v="3"/>
    <x v="3"/>
    <s v="Single"/>
    <n v="5980"/>
    <n v="26085"/>
    <n v="6"/>
    <s v="Y"/>
    <s v="Yes"/>
    <n v="12"/>
    <n v="3"/>
    <n v="4"/>
    <n v="80"/>
    <n v="0"/>
    <n v="17"/>
    <n v="2"/>
    <n v="3"/>
    <x v="15"/>
    <n v="7"/>
    <n v="4"/>
    <n v="12"/>
    <s v="36-45"/>
    <s v="Medium"/>
    <s v="11-15"/>
    <s v="Senior"/>
    <s v="Standard"/>
    <s v="Low"/>
    <x v="0"/>
  </r>
  <r>
    <n v="34"/>
    <x v="1"/>
    <s v="Travel_Rarely"/>
    <n v="121"/>
    <x v="1"/>
    <n v="2"/>
    <n v="4"/>
    <s v="Medical"/>
    <n v="1"/>
    <n v="804"/>
    <x v="1"/>
    <s v="Female"/>
    <n v="86"/>
    <n v="2"/>
    <x v="1"/>
    <x v="1"/>
    <x v="3"/>
    <s v="Single"/>
    <n v="4381"/>
    <n v="7530"/>
    <n v="1"/>
    <s v="Y"/>
    <s v="No"/>
    <n v="11"/>
    <n v="3"/>
    <n v="3"/>
    <n v="80"/>
    <n v="0"/>
    <n v="6"/>
    <n v="3"/>
    <n v="3"/>
    <x v="0"/>
    <n v="5"/>
    <n v="1"/>
    <n v="3"/>
    <s v="26-35"/>
    <s v="Medium"/>
    <s v="6-10"/>
    <s v="Mid-Level"/>
    <s v="Standard"/>
    <s v="Low"/>
    <x v="0"/>
  </r>
  <r>
    <n v="35"/>
    <x v="1"/>
    <s v="Travel_Rarely"/>
    <n v="384"/>
    <x v="0"/>
    <n v="8"/>
    <n v="4"/>
    <s v="Life Sciences"/>
    <n v="1"/>
    <n v="805"/>
    <x v="3"/>
    <s v="Female"/>
    <n v="72"/>
    <n v="3"/>
    <x v="1"/>
    <x v="6"/>
    <x v="0"/>
    <s v="Married"/>
    <n v="2572"/>
    <n v="20317"/>
    <n v="1"/>
    <s v="Y"/>
    <s v="No"/>
    <n v="16"/>
    <n v="3"/>
    <n v="2"/>
    <n v="80"/>
    <n v="1"/>
    <n v="3"/>
    <n v="1"/>
    <n v="2"/>
    <x v="11"/>
    <n v="2"/>
    <n v="0"/>
    <n v="2"/>
    <s v="26-35"/>
    <s v="Low"/>
    <s v="3-5"/>
    <s v="Junior"/>
    <s v="Standard"/>
    <s v="High"/>
    <x v="0"/>
  </r>
  <r>
    <n v="30"/>
    <x v="1"/>
    <s v="Travel_Rarely"/>
    <n v="921"/>
    <x v="1"/>
    <n v="1"/>
    <n v="3"/>
    <s v="Life Sciences"/>
    <n v="1"/>
    <n v="806"/>
    <x v="2"/>
    <s v="Male"/>
    <n v="38"/>
    <n v="1"/>
    <x v="1"/>
    <x v="2"/>
    <x v="2"/>
    <s v="Married"/>
    <n v="3833"/>
    <n v="24375"/>
    <n v="3"/>
    <s v="Y"/>
    <s v="No"/>
    <n v="21"/>
    <n v="4"/>
    <n v="3"/>
    <n v="80"/>
    <n v="2"/>
    <n v="7"/>
    <n v="2"/>
    <n v="3"/>
    <x v="4"/>
    <n v="2"/>
    <n v="0"/>
    <n v="2"/>
    <s v="26-35"/>
    <s v="Medium"/>
    <s v="0-2"/>
    <s v="Mid-Level"/>
    <s v="Excellent"/>
    <s v="High"/>
    <x v="0"/>
  </r>
  <r>
    <n v="40"/>
    <x v="1"/>
    <s v="Travel_Frequently"/>
    <n v="791"/>
    <x v="1"/>
    <n v="2"/>
    <n v="2"/>
    <s v="Medical"/>
    <n v="1"/>
    <n v="807"/>
    <x v="1"/>
    <s v="Female"/>
    <n v="38"/>
    <n v="4"/>
    <x v="0"/>
    <x v="4"/>
    <x v="1"/>
    <s v="Married"/>
    <n v="4244"/>
    <n v="9931"/>
    <n v="1"/>
    <s v="Y"/>
    <s v="No"/>
    <n v="24"/>
    <n v="4"/>
    <n v="4"/>
    <n v="80"/>
    <n v="1"/>
    <n v="8"/>
    <n v="2"/>
    <n v="3"/>
    <x v="3"/>
    <n v="7"/>
    <n v="3"/>
    <n v="7"/>
    <s v="36-45"/>
    <s v="Medium"/>
    <s v="6-10"/>
    <s v="Mid-Level"/>
    <s v="Excellent"/>
    <s v="Low"/>
    <x v="0"/>
  </r>
  <r>
    <n v="34"/>
    <x v="1"/>
    <s v="Travel_Rarely"/>
    <n v="1111"/>
    <x v="0"/>
    <n v="8"/>
    <n v="2"/>
    <s v="Life Sciences"/>
    <n v="1"/>
    <n v="808"/>
    <x v="1"/>
    <s v="Female"/>
    <n v="93"/>
    <n v="3"/>
    <x v="0"/>
    <x v="0"/>
    <x v="3"/>
    <s v="Married"/>
    <n v="6500"/>
    <n v="13305"/>
    <n v="5"/>
    <s v="Y"/>
    <s v="No"/>
    <n v="17"/>
    <n v="3"/>
    <n v="2"/>
    <n v="80"/>
    <n v="1"/>
    <n v="6"/>
    <n v="1"/>
    <n v="3"/>
    <x v="11"/>
    <n v="2"/>
    <n v="1"/>
    <n v="2"/>
    <s v="26-35"/>
    <s v="High"/>
    <s v="3-5"/>
    <s v="Mid-Level"/>
    <s v="Standard"/>
    <s v="Low"/>
    <x v="0"/>
  </r>
  <r>
    <n v="42"/>
    <x v="1"/>
    <s v="Travel_Frequently"/>
    <n v="570"/>
    <x v="1"/>
    <n v="8"/>
    <n v="3"/>
    <s v="Life Sciences"/>
    <n v="1"/>
    <n v="809"/>
    <x v="0"/>
    <s v="Male"/>
    <n v="66"/>
    <n v="3"/>
    <x v="4"/>
    <x v="5"/>
    <x v="0"/>
    <s v="Divorced"/>
    <n v="18430"/>
    <n v="16225"/>
    <n v="1"/>
    <s v="Y"/>
    <s v="No"/>
    <n v="13"/>
    <n v="3"/>
    <n v="2"/>
    <n v="80"/>
    <n v="1"/>
    <n v="24"/>
    <n v="4"/>
    <n v="2"/>
    <x v="25"/>
    <n v="7"/>
    <n v="14"/>
    <n v="9"/>
    <s v="36-45"/>
    <s v="Very High"/>
    <s v="16+"/>
    <s v="Senior"/>
    <s v="Standard"/>
    <s v="High"/>
    <x v="0"/>
  </r>
  <r>
    <n v="23"/>
    <x v="0"/>
    <s v="Travel_Rarely"/>
    <n v="1243"/>
    <x v="1"/>
    <n v="6"/>
    <n v="3"/>
    <s v="Life Sciences"/>
    <n v="1"/>
    <n v="811"/>
    <x v="1"/>
    <s v="Male"/>
    <n v="63"/>
    <n v="4"/>
    <x v="1"/>
    <x v="2"/>
    <x v="3"/>
    <s v="Married"/>
    <n v="1601"/>
    <n v="3445"/>
    <n v="1"/>
    <s v="Y"/>
    <s v="Yes"/>
    <n v="21"/>
    <n v="4"/>
    <n v="3"/>
    <n v="80"/>
    <n v="2"/>
    <n v="1"/>
    <n v="2"/>
    <n v="3"/>
    <x v="2"/>
    <n v="0"/>
    <n v="0"/>
    <n v="0"/>
    <s v="18-25"/>
    <s v="Low"/>
    <s v="0-2"/>
    <s v="Junior"/>
    <s v="Excellent"/>
    <s v="Low"/>
    <x v="1"/>
  </r>
  <r>
    <n v="24"/>
    <x v="1"/>
    <s v="Non-Travel"/>
    <n v="1092"/>
    <x v="1"/>
    <n v="9"/>
    <n v="3"/>
    <s v="Life Sciences"/>
    <n v="1"/>
    <n v="812"/>
    <x v="1"/>
    <s v="Male"/>
    <n v="60"/>
    <n v="2"/>
    <x v="1"/>
    <x v="2"/>
    <x v="1"/>
    <s v="Divorced"/>
    <n v="2694"/>
    <n v="26551"/>
    <n v="1"/>
    <s v="Y"/>
    <s v="No"/>
    <n v="11"/>
    <n v="3"/>
    <n v="3"/>
    <n v="80"/>
    <n v="3"/>
    <n v="1"/>
    <n v="4"/>
    <n v="3"/>
    <x v="6"/>
    <n v="0"/>
    <n v="0"/>
    <n v="0"/>
    <s v="18-25"/>
    <s v="Low"/>
    <s v="0-2"/>
    <s v="Junior"/>
    <s v="Standard"/>
    <s v="Low"/>
    <x v="0"/>
  </r>
  <r>
    <n v="52"/>
    <x v="1"/>
    <s v="Travel_Rarely"/>
    <n v="1325"/>
    <x v="1"/>
    <n v="11"/>
    <n v="4"/>
    <s v="Life Sciences"/>
    <n v="1"/>
    <n v="813"/>
    <x v="2"/>
    <s v="Female"/>
    <n v="82"/>
    <n v="3"/>
    <x v="0"/>
    <x v="2"/>
    <x v="2"/>
    <s v="Married"/>
    <n v="3149"/>
    <n v="21821"/>
    <n v="8"/>
    <s v="Y"/>
    <s v="No"/>
    <n v="20"/>
    <n v="4"/>
    <n v="2"/>
    <n v="80"/>
    <n v="1"/>
    <n v="9"/>
    <n v="3"/>
    <n v="3"/>
    <x v="8"/>
    <n v="2"/>
    <n v="1"/>
    <n v="4"/>
    <s v="46-55"/>
    <s v="Medium"/>
    <s v="3-5"/>
    <s v="Mid-Level"/>
    <s v="Excellent"/>
    <s v="High"/>
    <x v="0"/>
  </r>
  <r>
    <n v="50"/>
    <x v="1"/>
    <s v="Travel_Rarely"/>
    <n v="691"/>
    <x v="1"/>
    <n v="2"/>
    <n v="3"/>
    <s v="Medical"/>
    <n v="1"/>
    <n v="815"/>
    <x v="1"/>
    <s v="Male"/>
    <n v="64"/>
    <n v="3"/>
    <x v="3"/>
    <x v="7"/>
    <x v="2"/>
    <s v="Married"/>
    <n v="17639"/>
    <n v="6881"/>
    <n v="5"/>
    <s v="Y"/>
    <s v="No"/>
    <n v="16"/>
    <n v="3"/>
    <n v="4"/>
    <n v="80"/>
    <n v="0"/>
    <n v="30"/>
    <n v="3"/>
    <n v="3"/>
    <x v="9"/>
    <n v="3"/>
    <n v="0"/>
    <n v="3"/>
    <s v="46-55"/>
    <s v="Very High"/>
    <s v="3-5"/>
    <s v="Senior"/>
    <s v="Standard"/>
    <s v="High"/>
    <x v="0"/>
  </r>
  <r>
    <n v="29"/>
    <x v="0"/>
    <s v="Travel_Rarely"/>
    <n v="805"/>
    <x v="1"/>
    <n v="1"/>
    <n v="2"/>
    <s v="Life Sciences"/>
    <n v="1"/>
    <n v="816"/>
    <x v="0"/>
    <s v="Female"/>
    <n v="36"/>
    <n v="2"/>
    <x v="1"/>
    <x v="2"/>
    <x v="3"/>
    <s v="Married"/>
    <n v="2319"/>
    <n v="6689"/>
    <n v="1"/>
    <s v="Y"/>
    <s v="Yes"/>
    <n v="11"/>
    <n v="3"/>
    <n v="4"/>
    <n v="80"/>
    <n v="1"/>
    <n v="1"/>
    <n v="1"/>
    <n v="3"/>
    <x v="6"/>
    <n v="0"/>
    <n v="0"/>
    <n v="0"/>
    <s v="26-35"/>
    <s v="Low"/>
    <s v="0-2"/>
    <s v="Junior"/>
    <s v="Standard"/>
    <s v="Low"/>
    <x v="1"/>
  </r>
  <r>
    <n v="33"/>
    <x v="1"/>
    <s v="Travel_Rarely"/>
    <n v="213"/>
    <x v="1"/>
    <n v="7"/>
    <n v="3"/>
    <s v="Medical"/>
    <n v="1"/>
    <n v="817"/>
    <x v="1"/>
    <s v="Male"/>
    <n v="49"/>
    <n v="3"/>
    <x v="2"/>
    <x v="7"/>
    <x v="2"/>
    <s v="Married"/>
    <n v="11691"/>
    <n v="25995"/>
    <n v="0"/>
    <s v="Y"/>
    <s v="No"/>
    <n v="11"/>
    <n v="3"/>
    <n v="4"/>
    <n v="80"/>
    <n v="0"/>
    <n v="14"/>
    <n v="3"/>
    <n v="4"/>
    <x v="20"/>
    <n v="9"/>
    <n v="3"/>
    <n v="7"/>
    <s v="26-35"/>
    <s v="Very High"/>
    <s v="11-15"/>
    <s v="Mid-Level"/>
    <s v="Standard"/>
    <s v="High"/>
    <x v="0"/>
  </r>
  <r>
    <n v="33"/>
    <x v="0"/>
    <s v="Travel_Rarely"/>
    <n v="118"/>
    <x v="0"/>
    <n v="16"/>
    <n v="3"/>
    <s v="Marketing"/>
    <n v="1"/>
    <n v="819"/>
    <x v="3"/>
    <s v="Female"/>
    <n v="69"/>
    <n v="3"/>
    <x v="0"/>
    <x v="0"/>
    <x v="3"/>
    <s v="Single"/>
    <n v="5324"/>
    <n v="26507"/>
    <n v="5"/>
    <s v="Y"/>
    <s v="No"/>
    <n v="15"/>
    <n v="3"/>
    <n v="3"/>
    <n v="80"/>
    <n v="0"/>
    <n v="6"/>
    <n v="3"/>
    <n v="3"/>
    <x v="11"/>
    <n v="2"/>
    <n v="0"/>
    <n v="2"/>
    <s v="26-35"/>
    <s v="Medium"/>
    <s v="3-5"/>
    <s v="Mid-Level"/>
    <s v="Standard"/>
    <s v="Low"/>
    <x v="0"/>
  </r>
  <r>
    <n v="47"/>
    <x v="1"/>
    <s v="Travel_Rarely"/>
    <n v="202"/>
    <x v="1"/>
    <n v="2"/>
    <n v="2"/>
    <s v="Other"/>
    <n v="1"/>
    <n v="820"/>
    <x v="1"/>
    <s v="Female"/>
    <n v="33"/>
    <n v="3"/>
    <x v="3"/>
    <x v="5"/>
    <x v="0"/>
    <s v="Married"/>
    <n v="16752"/>
    <n v="12982"/>
    <n v="1"/>
    <s v="Y"/>
    <s v="Yes"/>
    <n v="11"/>
    <n v="3"/>
    <n v="3"/>
    <n v="80"/>
    <n v="1"/>
    <n v="26"/>
    <n v="3"/>
    <n v="2"/>
    <x v="34"/>
    <n v="14"/>
    <n v="3"/>
    <n v="0"/>
    <s v="46-55"/>
    <s v="Very High"/>
    <s v="16+"/>
    <s v="Senior"/>
    <s v="Standard"/>
    <s v="High"/>
    <x v="0"/>
  </r>
  <r>
    <n v="36"/>
    <x v="1"/>
    <s v="Travel_Rarely"/>
    <n v="676"/>
    <x v="1"/>
    <n v="1"/>
    <n v="3"/>
    <s v="Other"/>
    <n v="1"/>
    <n v="823"/>
    <x v="1"/>
    <s v="Female"/>
    <n v="35"/>
    <n v="3"/>
    <x v="0"/>
    <x v="3"/>
    <x v="1"/>
    <s v="Married"/>
    <n v="5228"/>
    <n v="23361"/>
    <n v="0"/>
    <s v="Y"/>
    <s v="No"/>
    <n v="15"/>
    <n v="3"/>
    <n v="1"/>
    <n v="80"/>
    <n v="1"/>
    <n v="10"/>
    <n v="2"/>
    <n v="3"/>
    <x v="7"/>
    <n v="7"/>
    <n v="0"/>
    <n v="5"/>
    <s v="36-45"/>
    <s v="Medium"/>
    <s v="6-10"/>
    <s v="Mid-Level"/>
    <s v="Standard"/>
    <s v="Low"/>
    <x v="0"/>
  </r>
  <r>
    <n v="29"/>
    <x v="1"/>
    <s v="Travel_Rarely"/>
    <n v="1252"/>
    <x v="1"/>
    <n v="23"/>
    <n v="2"/>
    <s v="Life Sciences"/>
    <n v="1"/>
    <n v="824"/>
    <x v="1"/>
    <s v="Male"/>
    <n v="81"/>
    <n v="4"/>
    <x v="1"/>
    <x v="1"/>
    <x v="2"/>
    <s v="Married"/>
    <n v="2700"/>
    <n v="23779"/>
    <n v="1"/>
    <s v="Y"/>
    <s v="No"/>
    <n v="24"/>
    <n v="4"/>
    <n v="3"/>
    <n v="80"/>
    <n v="1"/>
    <n v="10"/>
    <n v="3"/>
    <n v="3"/>
    <x v="1"/>
    <n v="7"/>
    <n v="0"/>
    <n v="7"/>
    <s v="26-35"/>
    <s v="Low"/>
    <s v="6-10"/>
    <s v="Mid-Level"/>
    <s v="Excellent"/>
    <s v="High"/>
    <x v="0"/>
  </r>
  <r>
    <n v="58"/>
    <x v="0"/>
    <s v="Travel_Rarely"/>
    <n v="286"/>
    <x v="1"/>
    <n v="2"/>
    <n v="4"/>
    <s v="Life Sciences"/>
    <n v="1"/>
    <n v="825"/>
    <x v="2"/>
    <s v="Male"/>
    <n v="31"/>
    <n v="3"/>
    <x v="4"/>
    <x v="7"/>
    <x v="1"/>
    <s v="Single"/>
    <n v="19246"/>
    <n v="25761"/>
    <n v="7"/>
    <s v="Y"/>
    <s v="Yes"/>
    <n v="12"/>
    <n v="3"/>
    <n v="4"/>
    <n v="80"/>
    <n v="0"/>
    <n v="40"/>
    <n v="2"/>
    <n v="3"/>
    <x v="31"/>
    <n v="15"/>
    <n v="13"/>
    <n v="8"/>
    <s v="56+"/>
    <s v="Very High"/>
    <s v="16+"/>
    <s v="Senior"/>
    <s v="Standard"/>
    <s v="Low"/>
    <x v="0"/>
  </r>
  <r>
    <n v="35"/>
    <x v="1"/>
    <s v="Travel_Rarely"/>
    <n v="1258"/>
    <x v="1"/>
    <n v="1"/>
    <n v="4"/>
    <s v="Life Sciences"/>
    <n v="1"/>
    <n v="826"/>
    <x v="2"/>
    <s v="Female"/>
    <n v="40"/>
    <n v="4"/>
    <x v="1"/>
    <x v="1"/>
    <x v="2"/>
    <s v="Single"/>
    <n v="2506"/>
    <n v="13301"/>
    <n v="3"/>
    <s v="Y"/>
    <s v="No"/>
    <n v="13"/>
    <n v="3"/>
    <n v="3"/>
    <n v="80"/>
    <n v="0"/>
    <n v="7"/>
    <n v="0"/>
    <n v="3"/>
    <x v="4"/>
    <n v="2"/>
    <n v="2"/>
    <n v="2"/>
    <s v="26-35"/>
    <s v="Low"/>
    <s v="0-2"/>
    <s v="Mid-Level"/>
    <s v="Standard"/>
    <s v="High"/>
    <x v="0"/>
  </r>
  <r>
    <n v="42"/>
    <x v="1"/>
    <s v="Travel_Rarely"/>
    <n v="932"/>
    <x v="1"/>
    <n v="1"/>
    <n v="2"/>
    <s v="Life Sciences"/>
    <n v="1"/>
    <n v="827"/>
    <x v="2"/>
    <s v="Female"/>
    <n v="43"/>
    <n v="2"/>
    <x v="0"/>
    <x v="3"/>
    <x v="0"/>
    <s v="Married"/>
    <n v="6062"/>
    <n v="4051"/>
    <n v="9"/>
    <s v="Y"/>
    <s v="Yes"/>
    <n v="13"/>
    <n v="3"/>
    <n v="4"/>
    <n v="80"/>
    <n v="1"/>
    <n v="8"/>
    <n v="4"/>
    <n v="3"/>
    <x v="9"/>
    <n v="3"/>
    <n v="0"/>
    <n v="2"/>
    <s v="36-45"/>
    <s v="High"/>
    <s v="3-5"/>
    <s v="Mid-Level"/>
    <s v="Standard"/>
    <s v="High"/>
    <x v="0"/>
  </r>
  <r>
    <n v="28"/>
    <x v="0"/>
    <s v="Travel_Rarely"/>
    <n v="890"/>
    <x v="1"/>
    <n v="2"/>
    <n v="4"/>
    <s v="Medical"/>
    <n v="1"/>
    <n v="828"/>
    <x v="1"/>
    <s v="Male"/>
    <n v="46"/>
    <n v="3"/>
    <x v="1"/>
    <x v="1"/>
    <x v="2"/>
    <s v="Single"/>
    <n v="4382"/>
    <n v="16374"/>
    <n v="6"/>
    <s v="Y"/>
    <s v="No"/>
    <n v="17"/>
    <n v="3"/>
    <n v="4"/>
    <n v="80"/>
    <n v="0"/>
    <n v="5"/>
    <n v="3"/>
    <n v="2"/>
    <x v="4"/>
    <n v="2"/>
    <n v="2"/>
    <n v="1"/>
    <s v="26-35"/>
    <s v="Medium"/>
    <s v="0-2"/>
    <s v="Junior"/>
    <s v="Standard"/>
    <s v="High"/>
    <x v="0"/>
  </r>
  <r>
    <n v="36"/>
    <x v="1"/>
    <s v="Travel_Rarely"/>
    <n v="1041"/>
    <x v="2"/>
    <n v="13"/>
    <n v="3"/>
    <s v="Human Resources"/>
    <n v="1"/>
    <n v="829"/>
    <x v="1"/>
    <s v="Male"/>
    <n v="36"/>
    <n v="3"/>
    <x v="1"/>
    <x v="8"/>
    <x v="1"/>
    <s v="Married"/>
    <n v="2143"/>
    <n v="25527"/>
    <n v="4"/>
    <s v="Y"/>
    <s v="No"/>
    <n v="13"/>
    <n v="3"/>
    <n v="2"/>
    <n v="80"/>
    <n v="1"/>
    <n v="8"/>
    <n v="2"/>
    <n v="3"/>
    <x v="8"/>
    <n v="2"/>
    <n v="0"/>
    <n v="4"/>
    <s v="36-45"/>
    <s v="Low"/>
    <s v="3-5"/>
    <s v="Mid-Level"/>
    <s v="Standard"/>
    <s v="Low"/>
    <x v="0"/>
  </r>
  <r>
    <n v="32"/>
    <x v="1"/>
    <s v="Travel_Rarely"/>
    <n v="859"/>
    <x v="1"/>
    <n v="4"/>
    <n v="3"/>
    <s v="Life Sciences"/>
    <n v="1"/>
    <n v="830"/>
    <x v="1"/>
    <s v="Female"/>
    <n v="98"/>
    <n v="2"/>
    <x v="0"/>
    <x v="3"/>
    <x v="2"/>
    <s v="Married"/>
    <n v="6162"/>
    <n v="19124"/>
    <n v="1"/>
    <s v="Y"/>
    <s v="No"/>
    <n v="12"/>
    <n v="3"/>
    <n v="3"/>
    <n v="80"/>
    <n v="1"/>
    <n v="14"/>
    <n v="3"/>
    <n v="3"/>
    <x v="13"/>
    <n v="13"/>
    <n v="6"/>
    <n v="8"/>
    <s v="26-35"/>
    <s v="High"/>
    <s v="11-15"/>
    <s v="Mid-Level"/>
    <s v="Standard"/>
    <s v="High"/>
    <x v="0"/>
  </r>
  <r>
    <n v="40"/>
    <x v="1"/>
    <s v="Travel_Frequently"/>
    <n v="720"/>
    <x v="1"/>
    <n v="16"/>
    <n v="4"/>
    <s v="Medical"/>
    <n v="1"/>
    <n v="832"/>
    <x v="3"/>
    <s v="Male"/>
    <n v="51"/>
    <n v="2"/>
    <x v="0"/>
    <x v="2"/>
    <x v="2"/>
    <s v="Single"/>
    <n v="5094"/>
    <n v="11983"/>
    <n v="6"/>
    <s v="Y"/>
    <s v="No"/>
    <n v="14"/>
    <n v="3"/>
    <n v="4"/>
    <n v="80"/>
    <n v="0"/>
    <n v="10"/>
    <n v="6"/>
    <n v="3"/>
    <x v="6"/>
    <n v="0"/>
    <n v="0"/>
    <n v="0"/>
    <s v="36-45"/>
    <s v="Medium"/>
    <s v="0-2"/>
    <s v="Mid-Level"/>
    <s v="Standard"/>
    <s v="High"/>
    <x v="0"/>
  </r>
  <r>
    <n v="30"/>
    <x v="1"/>
    <s v="Travel_Rarely"/>
    <n v="946"/>
    <x v="1"/>
    <n v="2"/>
    <n v="3"/>
    <s v="Medical"/>
    <n v="1"/>
    <n v="833"/>
    <x v="1"/>
    <s v="Female"/>
    <n v="52"/>
    <n v="2"/>
    <x v="0"/>
    <x v="3"/>
    <x v="0"/>
    <s v="Single"/>
    <n v="6877"/>
    <n v="20234"/>
    <n v="5"/>
    <s v="Y"/>
    <s v="Yes"/>
    <n v="24"/>
    <n v="4"/>
    <n v="2"/>
    <n v="80"/>
    <n v="0"/>
    <n v="12"/>
    <n v="4"/>
    <n v="2"/>
    <x v="2"/>
    <n v="0"/>
    <n v="0"/>
    <n v="0"/>
    <s v="26-35"/>
    <s v="High"/>
    <s v="0-2"/>
    <s v="Mid-Level"/>
    <s v="Excellent"/>
    <s v="High"/>
    <x v="0"/>
  </r>
  <r>
    <n v="45"/>
    <x v="1"/>
    <s v="Travel_Rarely"/>
    <n v="252"/>
    <x v="1"/>
    <n v="2"/>
    <n v="3"/>
    <s v="Life Sciences"/>
    <n v="1"/>
    <n v="834"/>
    <x v="0"/>
    <s v="Female"/>
    <n v="95"/>
    <n v="2"/>
    <x v="1"/>
    <x v="1"/>
    <x v="2"/>
    <s v="Single"/>
    <n v="2274"/>
    <n v="6153"/>
    <n v="1"/>
    <s v="Y"/>
    <s v="No"/>
    <n v="14"/>
    <n v="3"/>
    <n v="4"/>
    <n v="80"/>
    <n v="0"/>
    <n v="1"/>
    <n v="3"/>
    <n v="3"/>
    <x v="6"/>
    <n v="0"/>
    <n v="0"/>
    <n v="0"/>
    <s v="36-45"/>
    <s v="Low"/>
    <s v="0-2"/>
    <s v="Junior"/>
    <s v="Standard"/>
    <s v="High"/>
    <x v="0"/>
  </r>
  <r>
    <n v="42"/>
    <x v="1"/>
    <s v="Travel_Rarely"/>
    <n v="933"/>
    <x v="1"/>
    <n v="29"/>
    <n v="3"/>
    <s v="Life Sciences"/>
    <n v="1"/>
    <n v="836"/>
    <x v="0"/>
    <s v="Male"/>
    <n v="98"/>
    <n v="3"/>
    <x v="0"/>
    <x v="3"/>
    <x v="1"/>
    <s v="Married"/>
    <n v="4434"/>
    <n v="11806"/>
    <n v="1"/>
    <s v="Y"/>
    <s v="No"/>
    <n v="13"/>
    <n v="3"/>
    <n v="4"/>
    <n v="80"/>
    <n v="1"/>
    <n v="10"/>
    <n v="3"/>
    <n v="2"/>
    <x v="7"/>
    <n v="8"/>
    <n v="7"/>
    <n v="8"/>
    <s v="36-45"/>
    <s v="Medium"/>
    <s v="6-10"/>
    <s v="Mid-Level"/>
    <s v="Standard"/>
    <s v="Low"/>
    <x v="0"/>
  </r>
  <r>
    <n v="38"/>
    <x v="1"/>
    <s v="Travel_Frequently"/>
    <n v="471"/>
    <x v="1"/>
    <n v="12"/>
    <n v="3"/>
    <s v="Life Sciences"/>
    <n v="1"/>
    <n v="837"/>
    <x v="3"/>
    <s v="Male"/>
    <n v="45"/>
    <n v="2"/>
    <x v="0"/>
    <x v="4"/>
    <x v="3"/>
    <s v="Divorced"/>
    <n v="6288"/>
    <n v="4284"/>
    <n v="2"/>
    <s v="Y"/>
    <s v="No"/>
    <n v="15"/>
    <n v="3"/>
    <n v="3"/>
    <n v="80"/>
    <n v="1"/>
    <n v="13"/>
    <n v="3"/>
    <n v="2"/>
    <x v="9"/>
    <n v="3"/>
    <n v="1"/>
    <n v="2"/>
    <s v="36-45"/>
    <s v="High"/>
    <s v="3-5"/>
    <s v="Mid-Level"/>
    <s v="Standard"/>
    <s v="Low"/>
    <x v="0"/>
  </r>
  <r>
    <n v="34"/>
    <x v="1"/>
    <s v="Travel_Frequently"/>
    <n v="702"/>
    <x v="1"/>
    <n v="16"/>
    <n v="4"/>
    <s v="Life Sciences"/>
    <n v="1"/>
    <n v="838"/>
    <x v="1"/>
    <s v="Female"/>
    <n v="100"/>
    <n v="2"/>
    <x v="1"/>
    <x v="1"/>
    <x v="0"/>
    <s v="Single"/>
    <n v="2553"/>
    <n v="8306"/>
    <n v="1"/>
    <s v="Y"/>
    <s v="No"/>
    <n v="16"/>
    <n v="3"/>
    <n v="3"/>
    <n v="80"/>
    <n v="0"/>
    <n v="6"/>
    <n v="3"/>
    <n v="3"/>
    <x v="8"/>
    <n v="2"/>
    <n v="1"/>
    <n v="3"/>
    <s v="26-35"/>
    <s v="Low"/>
    <s v="3-5"/>
    <s v="Mid-Level"/>
    <s v="Standard"/>
    <s v="High"/>
    <x v="0"/>
  </r>
  <r>
    <n v="49"/>
    <x v="0"/>
    <s v="Travel_Rarely"/>
    <n v="1184"/>
    <x v="0"/>
    <n v="11"/>
    <n v="3"/>
    <s v="Marketing"/>
    <n v="1"/>
    <n v="840"/>
    <x v="1"/>
    <s v="Female"/>
    <n v="43"/>
    <n v="3"/>
    <x v="2"/>
    <x v="0"/>
    <x v="0"/>
    <s v="Married"/>
    <n v="7654"/>
    <n v="5860"/>
    <n v="1"/>
    <s v="Y"/>
    <s v="No"/>
    <n v="18"/>
    <n v="3"/>
    <n v="1"/>
    <n v="80"/>
    <n v="2"/>
    <n v="9"/>
    <n v="3"/>
    <n v="4"/>
    <x v="7"/>
    <n v="8"/>
    <n v="7"/>
    <n v="7"/>
    <s v="46-55"/>
    <s v="High"/>
    <s v="6-10"/>
    <s v="Mid-Level"/>
    <s v="Standard"/>
    <s v="High"/>
    <x v="0"/>
  </r>
  <r>
    <n v="55"/>
    <x v="0"/>
    <s v="Travel_Rarely"/>
    <n v="436"/>
    <x v="0"/>
    <n v="2"/>
    <n v="1"/>
    <s v="Medical"/>
    <n v="1"/>
    <n v="842"/>
    <x v="1"/>
    <s v="Male"/>
    <n v="37"/>
    <n v="3"/>
    <x v="0"/>
    <x v="0"/>
    <x v="0"/>
    <s v="Single"/>
    <n v="5160"/>
    <n v="21519"/>
    <n v="4"/>
    <s v="Y"/>
    <s v="No"/>
    <n v="16"/>
    <n v="3"/>
    <n v="3"/>
    <n v="80"/>
    <n v="0"/>
    <n v="12"/>
    <n v="3"/>
    <n v="2"/>
    <x v="7"/>
    <n v="7"/>
    <n v="7"/>
    <n v="3"/>
    <s v="46-55"/>
    <s v="Medium"/>
    <s v="6-10"/>
    <s v="Mid-Level"/>
    <s v="Standard"/>
    <s v="High"/>
    <x v="0"/>
  </r>
  <r>
    <n v="43"/>
    <x v="1"/>
    <s v="Travel_Rarely"/>
    <n v="589"/>
    <x v="1"/>
    <n v="14"/>
    <n v="2"/>
    <s v="Life Sciences"/>
    <n v="1"/>
    <n v="843"/>
    <x v="0"/>
    <s v="Male"/>
    <n v="94"/>
    <n v="3"/>
    <x v="3"/>
    <x v="7"/>
    <x v="3"/>
    <s v="Married"/>
    <n v="17159"/>
    <n v="5200"/>
    <n v="6"/>
    <s v="Y"/>
    <s v="No"/>
    <n v="24"/>
    <n v="4"/>
    <n v="3"/>
    <n v="80"/>
    <n v="1"/>
    <n v="22"/>
    <n v="3"/>
    <n v="3"/>
    <x v="9"/>
    <n v="1"/>
    <n v="1"/>
    <n v="0"/>
    <s v="36-45"/>
    <s v="Very High"/>
    <s v="3-5"/>
    <s v="Senior"/>
    <s v="Excellent"/>
    <s v="Low"/>
    <x v="0"/>
  </r>
  <r>
    <n v="27"/>
    <x v="1"/>
    <s v="Travel_Rarely"/>
    <n v="269"/>
    <x v="1"/>
    <n v="5"/>
    <n v="1"/>
    <s v="Technical Degree"/>
    <n v="1"/>
    <n v="844"/>
    <x v="1"/>
    <s v="Male"/>
    <n v="42"/>
    <n v="2"/>
    <x v="2"/>
    <x v="7"/>
    <x v="0"/>
    <s v="Divorced"/>
    <n v="12808"/>
    <n v="8842"/>
    <n v="1"/>
    <s v="Y"/>
    <s v="Yes"/>
    <n v="16"/>
    <n v="3"/>
    <n v="2"/>
    <n v="80"/>
    <n v="1"/>
    <n v="9"/>
    <n v="3"/>
    <n v="3"/>
    <x v="7"/>
    <n v="8"/>
    <n v="0"/>
    <n v="8"/>
    <s v="26-35"/>
    <s v="Very High"/>
    <s v="6-10"/>
    <s v="Mid-Level"/>
    <s v="Standard"/>
    <s v="High"/>
    <x v="0"/>
  </r>
  <r>
    <n v="35"/>
    <x v="1"/>
    <s v="Travel_Rarely"/>
    <n v="950"/>
    <x v="1"/>
    <n v="7"/>
    <n v="3"/>
    <s v="Other"/>
    <n v="1"/>
    <n v="845"/>
    <x v="1"/>
    <s v="Male"/>
    <n v="59"/>
    <n v="3"/>
    <x v="2"/>
    <x v="3"/>
    <x v="2"/>
    <s v="Single"/>
    <n v="10221"/>
    <n v="18869"/>
    <n v="3"/>
    <s v="Y"/>
    <s v="No"/>
    <n v="21"/>
    <n v="4"/>
    <n v="2"/>
    <n v="80"/>
    <n v="0"/>
    <n v="17"/>
    <n v="3"/>
    <n v="4"/>
    <x v="3"/>
    <n v="5"/>
    <n v="1"/>
    <n v="6"/>
    <s v="26-35"/>
    <s v="Very High"/>
    <s v="6-10"/>
    <s v="Senior"/>
    <s v="Excellent"/>
    <s v="High"/>
    <x v="0"/>
  </r>
  <r>
    <n v="28"/>
    <x v="1"/>
    <s v="Travel_Rarely"/>
    <n v="760"/>
    <x v="0"/>
    <n v="2"/>
    <n v="4"/>
    <s v="Marketing"/>
    <n v="1"/>
    <n v="846"/>
    <x v="0"/>
    <s v="Female"/>
    <n v="81"/>
    <n v="3"/>
    <x v="0"/>
    <x v="0"/>
    <x v="1"/>
    <s v="Married"/>
    <n v="4779"/>
    <n v="3698"/>
    <n v="1"/>
    <s v="Y"/>
    <s v="Yes"/>
    <n v="20"/>
    <n v="4"/>
    <n v="1"/>
    <n v="80"/>
    <n v="0"/>
    <n v="8"/>
    <n v="2"/>
    <n v="3"/>
    <x v="3"/>
    <n v="7"/>
    <n v="7"/>
    <n v="5"/>
    <s v="26-35"/>
    <s v="Medium"/>
    <s v="6-10"/>
    <s v="Mid-Level"/>
    <s v="Excellent"/>
    <s v="Low"/>
    <x v="0"/>
  </r>
  <r>
    <n v="34"/>
    <x v="1"/>
    <s v="Travel_Rarely"/>
    <n v="829"/>
    <x v="2"/>
    <n v="3"/>
    <n v="2"/>
    <s v="Human Resources"/>
    <n v="1"/>
    <n v="847"/>
    <x v="1"/>
    <s v="Male"/>
    <n v="88"/>
    <n v="3"/>
    <x v="1"/>
    <x v="8"/>
    <x v="0"/>
    <s v="Married"/>
    <n v="3737"/>
    <n v="2243"/>
    <n v="0"/>
    <s v="Y"/>
    <s v="No"/>
    <n v="19"/>
    <n v="3"/>
    <n v="3"/>
    <n v="80"/>
    <n v="1"/>
    <n v="4"/>
    <n v="1"/>
    <n v="1"/>
    <x v="11"/>
    <n v="2"/>
    <n v="0"/>
    <n v="2"/>
    <s v="26-35"/>
    <s v="Medium"/>
    <s v="3-5"/>
    <s v="Junior"/>
    <s v="Standard"/>
    <s v="High"/>
    <x v="0"/>
  </r>
  <r>
    <n v="26"/>
    <x v="0"/>
    <s v="Travel_Frequently"/>
    <n v="887"/>
    <x v="1"/>
    <n v="5"/>
    <n v="2"/>
    <s v="Medical"/>
    <n v="1"/>
    <n v="848"/>
    <x v="1"/>
    <s v="Female"/>
    <n v="88"/>
    <n v="2"/>
    <x v="1"/>
    <x v="1"/>
    <x v="2"/>
    <s v="Married"/>
    <n v="2366"/>
    <n v="20898"/>
    <n v="1"/>
    <s v="Y"/>
    <s v="Yes"/>
    <n v="14"/>
    <n v="3"/>
    <n v="1"/>
    <n v="80"/>
    <n v="1"/>
    <n v="8"/>
    <n v="2"/>
    <n v="3"/>
    <x v="3"/>
    <n v="7"/>
    <n v="1"/>
    <n v="7"/>
    <s v="26-35"/>
    <s v="Low"/>
    <s v="6-10"/>
    <s v="Mid-Level"/>
    <s v="Standard"/>
    <s v="High"/>
    <x v="0"/>
  </r>
  <r>
    <n v="27"/>
    <x v="1"/>
    <s v="Non-Travel"/>
    <n v="443"/>
    <x v="1"/>
    <n v="3"/>
    <n v="3"/>
    <s v="Medical"/>
    <n v="1"/>
    <n v="850"/>
    <x v="2"/>
    <s v="Male"/>
    <n v="50"/>
    <n v="3"/>
    <x v="1"/>
    <x v="1"/>
    <x v="0"/>
    <s v="Married"/>
    <n v="1706"/>
    <n v="16571"/>
    <n v="1"/>
    <s v="Y"/>
    <s v="No"/>
    <n v="11"/>
    <n v="3"/>
    <n v="3"/>
    <n v="80"/>
    <n v="3"/>
    <n v="0"/>
    <n v="6"/>
    <n v="2"/>
    <x v="2"/>
    <n v="0"/>
    <n v="0"/>
    <n v="0"/>
    <s v="26-35"/>
    <s v="Low"/>
    <s v="0-2"/>
    <s v="Junior"/>
    <s v="Standard"/>
    <s v="High"/>
    <x v="0"/>
  </r>
  <r>
    <n v="51"/>
    <x v="1"/>
    <s v="Travel_Rarely"/>
    <n v="1318"/>
    <x v="0"/>
    <n v="26"/>
    <n v="4"/>
    <s v="Marketing"/>
    <n v="1"/>
    <n v="851"/>
    <x v="3"/>
    <s v="Female"/>
    <n v="66"/>
    <n v="3"/>
    <x v="3"/>
    <x v="5"/>
    <x v="2"/>
    <s v="Married"/>
    <n v="16307"/>
    <n v="5594"/>
    <n v="2"/>
    <s v="Y"/>
    <s v="No"/>
    <n v="14"/>
    <n v="3"/>
    <n v="3"/>
    <n v="80"/>
    <n v="1"/>
    <n v="29"/>
    <n v="2"/>
    <n v="2"/>
    <x v="23"/>
    <n v="6"/>
    <n v="4"/>
    <n v="17"/>
    <s v="46-55"/>
    <s v="Very High"/>
    <s v="16+"/>
    <s v="Senior"/>
    <s v="Standard"/>
    <s v="High"/>
    <x v="0"/>
  </r>
  <r>
    <n v="44"/>
    <x v="1"/>
    <s v="Travel_Rarely"/>
    <n v="625"/>
    <x v="1"/>
    <n v="4"/>
    <n v="3"/>
    <s v="Medical"/>
    <n v="1"/>
    <n v="852"/>
    <x v="2"/>
    <s v="Male"/>
    <n v="50"/>
    <n v="3"/>
    <x v="0"/>
    <x v="4"/>
    <x v="1"/>
    <s v="Single"/>
    <n v="5933"/>
    <n v="5197"/>
    <n v="9"/>
    <s v="Y"/>
    <s v="No"/>
    <n v="12"/>
    <n v="3"/>
    <n v="4"/>
    <n v="80"/>
    <n v="0"/>
    <n v="10"/>
    <n v="2"/>
    <n v="2"/>
    <x v="8"/>
    <n v="2"/>
    <n v="2"/>
    <n v="3"/>
    <s v="36-45"/>
    <s v="Medium"/>
    <s v="3-5"/>
    <s v="Mid-Level"/>
    <s v="Standard"/>
    <s v="Low"/>
    <x v="0"/>
  </r>
  <r>
    <n v="25"/>
    <x v="1"/>
    <s v="Travel_Rarely"/>
    <n v="180"/>
    <x v="1"/>
    <n v="2"/>
    <n v="1"/>
    <s v="Medical"/>
    <n v="1"/>
    <n v="854"/>
    <x v="3"/>
    <s v="Male"/>
    <n v="65"/>
    <n v="4"/>
    <x v="1"/>
    <x v="1"/>
    <x v="3"/>
    <s v="Single"/>
    <n v="3424"/>
    <n v="21632"/>
    <n v="7"/>
    <s v="Y"/>
    <s v="No"/>
    <n v="13"/>
    <n v="3"/>
    <n v="3"/>
    <n v="80"/>
    <n v="0"/>
    <n v="6"/>
    <n v="3"/>
    <n v="2"/>
    <x v="9"/>
    <n v="3"/>
    <n v="0"/>
    <n v="1"/>
    <s v="18-25"/>
    <s v="Medium"/>
    <s v="3-5"/>
    <s v="Mid-Level"/>
    <s v="Standard"/>
    <s v="Low"/>
    <x v="0"/>
  </r>
  <r>
    <n v="33"/>
    <x v="1"/>
    <s v="Travel_Rarely"/>
    <n v="586"/>
    <x v="0"/>
    <n v="1"/>
    <n v="3"/>
    <s v="Medical"/>
    <n v="1"/>
    <n v="855"/>
    <x v="3"/>
    <s v="Male"/>
    <n v="48"/>
    <n v="4"/>
    <x v="0"/>
    <x v="0"/>
    <x v="3"/>
    <s v="Divorced"/>
    <n v="4037"/>
    <n v="21816"/>
    <n v="1"/>
    <s v="Y"/>
    <s v="No"/>
    <n v="22"/>
    <n v="4"/>
    <n v="1"/>
    <n v="80"/>
    <n v="1"/>
    <n v="9"/>
    <n v="5"/>
    <n v="3"/>
    <x v="7"/>
    <n v="8"/>
    <n v="0"/>
    <n v="8"/>
    <s v="26-35"/>
    <s v="Medium"/>
    <s v="6-10"/>
    <s v="Mid-Level"/>
    <s v="Excellent"/>
    <s v="Low"/>
    <x v="0"/>
  </r>
  <r>
    <n v="35"/>
    <x v="1"/>
    <s v="Travel_Rarely"/>
    <n v="1343"/>
    <x v="1"/>
    <n v="27"/>
    <n v="1"/>
    <s v="Medical"/>
    <n v="1"/>
    <n v="856"/>
    <x v="1"/>
    <s v="Female"/>
    <n v="53"/>
    <n v="2"/>
    <x v="1"/>
    <x v="1"/>
    <x v="3"/>
    <s v="Single"/>
    <n v="2559"/>
    <n v="17852"/>
    <n v="1"/>
    <s v="Y"/>
    <s v="No"/>
    <n v="11"/>
    <n v="3"/>
    <n v="4"/>
    <n v="80"/>
    <n v="0"/>
    <n v="6"/>
    <n v="3"/>
    <n v="2"/>
    <x v="0"/>
    <n v="5"/>
    <n v="1"/>
    <n v="1"/>
    <s v="26-35"/>
    <s v="Low"/>
    <s v="6-10"/>
    <s v="Mid-Level"/>
    <s v="Standard"/>
    <s v="Low"/>
    <x v="0"/>
  </r>
  <r>
    <n v="36"/>
    <x v="1"/>
    <s v="Travel_Rarely"/>
    <n v="928"/>
    <x v="0"/>
    <n v="1"/>
    <n v="2"/>
    <s v="Life Sciences"/>
    <n v="1"/>
    <n v="857"/>
    <x v="0"/>
    <s v="Male"/>
    <n v="56"/>
    <n v="3"/>
    <x v="0"/>
    <x v="0"/>
    <x v="0"/>
    <s v="Married"/>
    <n v="6201"/>
    <n v="2823"/>
    <n v="1"/>
    <s v="Y"/>
    <s v="Yes"/>
    <n v="14"/>
    <n v="3"/>
    <n v="4"/>
    <n v="80"/>
    <n v="1"/>
    <n v="18"/>
    <n v="1"/>
    <n v="2"/>
    <x v="29"/>
    <n v="14"/>
    <n v="4"/>
    <n v="11"/>
    <s v="36-45"/>
    <s v="High"/>
    <s v="16+"/>
    <s v="Senior"/>
    <s v="Standard"/>
    <s v="High"/>
    <x v="0"/>
  </r>
  <r>
    <n v="32"/>
    <x v="1"/>
    <s v="Travel_Rarely"/>
    <n v="117"/>
    <x v="0"/>
    <n v="13"/>
    <n v="4"/>
    <s v="Life Sciences"/>
    <n v="1"/>
    <n v="859"/>
    <x v="0"/>
    <s v="Male"/>
    <n v="73"/>
    <n v="3"/>
    <x v="0"/>
    <x v="0"/>
    <x v="0"/>
    <s v="Divorced"/>
    <n v="4403"/>
    <n v="9250"/>
    <n v="2"/>
    <s v="Y"/>
    <s v="No"/>
    <n v="11"/>
    <n v="3"/>
    <n v="3"/>
    <n v="80"/>
    <n v="1"/>
    <n v="8"/>
    <n v="3"/>
    <n v="2"/>
    <x v="8"/>
    <n v="2"/>
    <n v="0"/>
    <n v="3"/>
    <s v="26-35"/>
    <s v="Medium"/>
    <s v="3-5"/>
    <s v="Mid-Level"/>
    <s v="Standard"/>
    <s v="High"/>
    <x v="0"/>
  </r>
  <r>
    <n v="30"/>
    <x v="1"/>
    <s v="Travel_Frequently"/>
    <n v="1012"/>
    <x v="1"/>
    <n v="5"/>
    <n v="4"/>
    <s v="Life Sciences"/>
    <n v="1"/>
    <n v="861"/>
    <x v="0"/>
    <s v="Male"/>
    <n v="75"/>
    <n v="2"/>
    <x v="1"/>
    <x v="1"/>
    <x v="0"/>
    <s v="Divorced"/>
    <n v="3761"/>
    <n v="2373"/>
    <n v="9"/>
    <s v="Y"/>
    <s v="No"/>
    <n v="12"/>
    <n v="3"/>
    <n v="2"/>
    <n v="80"/>
    <n v="1"/>
    <n v="10"/>
    <n v="3"/>
    <n v="2"/>
    <x v="8"/>
    <n v="4"/>
    <n v="0"/>
    <n v="3"/>
    <s v="26-35"/>
    <s v="Medium"/>
    <s v="3-5"/>
    <s v="Mid-Level"/>
    <s v="Standard"/>
    <s v="High"/>
    <x v="0"/>
  </r>
  <r>
    <n v="53"/>
    <x v="1"/>
    <s v="Travel_Rarely"/>
    <n v="661"/>
    <x v="0"/>
    <n v="7"/>
    <n v="2"/>
    <s v="Marketing"/>
    <n v="1"/>
    <n v="862"/>
    <x v="3"/>
    <s v="Female"/>
    <n v="78"/>
    <n v="2"/>
    <x v="2"/>
    <x v="0"/>
    <x v="0"/>
    <s v="Married"/>
    <n v="10934"/>
    <n v="20715"/>
    <n v="7"/>
    <s v="Y"/>
    <s v="Yes"/>
    <n v="18"/>
    <n v="3"/>
    <n v="4"/>
    <n v="80"/>
    <n v="1"/>
    <n v="35"/>
    <n v="3"/>
    <n v="3"/>
    <x v="8"/>
    <n v="2"/>
    <n v="0"/>
    <n v="4"/>
    <s v="46-55"/>
    <s v="Very High"/>
    <s v="3-5"/>
    <s v="Senior"/>
    <s v="Standard"/>
    <s v="High"/>
    <x v="0"/>
  </r>
  <r>
    <n v="45"/>
    <x v="1"/>
    <s v="Travel_Rarely"/>
    <n v="930"/>
    <x v="0"/>
    <n v="9"/>
    <n v="3"/>
    <s v="Marketing"/>
    <n v="1"/>
    <n v="864"/>
    <x v="2"/>
    <s v="Male"/>
    <n v="74"/>
    <n v="3"/>
    <x v="2"/>
    <x v="0"/>
    <x v="3"/>
    <s v="Divorced"/>
    <n v="10761"/>
    <n v="19239"/>
    <n v="4"/>
    <s v="Y"/>
    <s v="Yes"/>
    <n v="12"/>
    <n v="3"/>
    <n v="3"/>
    <n v="80"/>
    <n v="1"/>
    <n v="18"/>
    <n v="2"/>
    <n v="3"/>
    <x v="8"/>
    <n v="4"/>
    <n v="0"/>
    <n v="2"/>
    <s v="36-45"/>
    <s v="Very High"/>
    <s v="3-5"/>
    <s v="Senior"/>
    <s v="Standard"/>
    <s v="Low"/>
    <x v="0"/>
  </r>
  <r>
    <n v="32"/>
    <x v="1"/>
    <s v="Travel_Rarely"/>
    <n v="638"/>
    <x v="1"/>
    <n v="8"/>
    <n v="2"/>
    <s v="Medical"/>
    <n v="1"/>
    <n v="865"/>
    <x v="1"/>
    <s v="Female"/>
    <n v="91"/>
    <n v="4"/>
    <x v="0"/>
    <x v="1"/>
    <x v="2"/>
    <s v="Married"/>
    <n v="5175"/>
    <n v="22162"/>
    <n v="5"/>
    <s v="Y"/>
    <s v="No"/>
    <n v="12"/>
    <n v="3"/>
    <n v="3"/>
    <n v="80"/>
    <n v="1"/>
    <n v="9"/>
    <n v="3"/>
    <n v="2"/>
    <x v="8"/>
    <n v="3"/>
    <n v="1"/>
    <n v="3"/>
    <s v="26-35"/>
    <s v="Medium"/>
    <s v="3-5"/>
    <s v="Mid-Level"/>
    <s v="Standard"/>
    <s v="High"/>
    <x v="0"/>
  </r>
  <r>
    <n v="52"/>
    <x v="1"/>
    <s v="Travel_Frequently"/>
    <n v="890"/>
    <x v="1"/>
    <n v="25"/>
    <n v="4"/>
    <s v="Medical"/>
    <n v="1"/>
    <n v="867"/>
    <x v="1"/>
    <s v="Female"/>
    <n v="81"/>
    <n v="2"/>
    <x v="3"/>
    <x v="3"/>
    <x v="0"/>
    <s v="Married"/>
    <n v="13826"/>
    <n v="19028"/>
    <n v="3"/>
    <s v="Y"/>
    <s v="No"/>
    <n v="22"/>
    <n v="4"/>
    <n v="3"/>
    <n v="80"/>
    <n v="0"/>
    <n v="31"/>
    <n v="3"/>
    <n v="3"/>
    <x v="7"/>
    <n v="8"/>
    <n v="0"/>
    <n v="0"/>
    <s v="46-55"/>
    <s v="Very High"/>
    <s v="6-10"/>
    <s v="Senior"/>
    <s v="Excellent"/>
    <s v="High"/>
    <x v="0"/>
  </r>
  <r>
    <n v="37"/>
    <x v="1"/>
    <s v="Travel_Rarely"/>
    <n v="342"/>
    <x v="0"/>
    <n v="16"/>
    <n v="4"/>
    <s v="Marketing"/>
    <n v="1"/>
    <n v="868"/>
    <x v="2"/>
    <s v="Male"/>
    <n v="66"/>
    <n v="2"/>
    <x v="0"/>
    <x v="0"/>
    <x v="2"/>
    <s v="Divorced"/>
    <n v="6334"/>
    <n v="24558"/>
    <n v="4"/>
    <s v="Y"/>
    <s v="No"/>
    <n v="19"/>
    <n v="3"/>
    <n v="4"/>
    <n v="80"/>
    <n v="2"/>
    <n v="9"/>
    <n v="2"/>
    <n v="3"/>
    <x v="6"/>
    <n v="0"/>
    <n v="0"/>
    <n v="0"/>
    <s v="36-45"/>
    <s v="High"/>
    <s v="0-2"/>
    <s v="Mid-Level"/>
    <s v="Standard"/>
    <s v="High"/>
    <x v="0"/>
  </r>
  <r>
    <n v="28"/>
    <x v="1"/>
    <s v="Travel_Rarely"/>
    <n v="1169"/>
    <x v="2"/>
    <n v="8"/>
    <n v="2"/>
    <s v="Medical"/>
    <n v="1"/>
    <n v="869"/>
    <x v="0"/>
    <s v="Male"/>
    <n v="63"/>
    <n v="2"/>
    <x v="1"/>
    <x v="8"/>
    <x v="0"/>
    <s v="Divorced"/>
    <n v="4936"/>
    <n v="23965"/>
    <n v="1"/>
    <s v="Y"/>
    <s v="No"/>
    <n v="13"/>
    <n v="3"/>
    <n v="4"/>
    <n v="80"/>
    <n v="1"/>
    <n v="6"/>
    <n v="6"/>
    <n v="3"/>
    <x v="8"/>
    <n v="1"/>
    <n v="0"/>
    <n v="4"/>
    <s v="26-35"/>
    <s v="Medium"/>
    <s v="3-5"/>
    <s v="Mid-Level"/>
    <s v="Standard"/>
    <s v="High"/>
    <x v="0"/>
  </r>
  <r>
    <n v="22"/>
    <x v="1"/>
    <s v="Travel_Rarely"/>
    <n v="1230"/>
    <x v="1"/>
    <n v="1"/>
    <n v="2"/>
    <s v="Life Sciences"/>
    <n v="1"/>
    <n v="872"/>
    <x v="2"/>
    <s v="Male"/>
    <n v="33"/>
    <n v="2"/>
    <x v="0"/>
    <x v="3"/>
    <x v="0"/>
    <s v="Married"/>
    <n v="4775"/>
    <n v="19146"/>
    <n v="6"/>
    <s v="Y"/>
    <s v="No"/>
    <n v="22"/>
    <n v="4"/>
    <n v="1"/>
    <n v="80"/>
    <n v="2"/>
    <n v="4"/>
    <n v="2"/>
    <n v="1"/>
    <x v="4"/>
    <n v="2"/>
    <n v="2"/>
    <n v="2"/>
    <s v="18-25"/>
    <s v="Medium"/>
    <s v="0-2"/>
    <s v="Junior"/>
    <s v="Excellent"/>
    <s v="High"/>
    <x v="0"/>
  </r>
  <r>
    <n v="44"/>
    <x v="1"/>
    <s v="Travel_Rarely"/>
    <n v="986"/>
    <x v="1"/>
    <n v="8"/>
    <n v="4"/>
    <s v="Life Sciences"/>
    <n v="1"/>
    <n v="874"/>
    <x v="3"/>
    <s v="Male"/>
    <n v="62"/>
    <n v="4"/>
    <x v="1"/>
    <x v="2"/>
    <x v="0"/>
    <s v="Married"/>
    <n v="2818"/>
    <n v="5044"/>
    <n v="2"/>
    <s v="Y"/>
    <s v="Yes"/>
    <n v="24"/>
    <n v="4"/>
    <n v="3"/>
    <n v="80"/>
    <n v="1"/>
    <n v="10"/>
    <n v="2"/>
    <n v="2"/>
    <x v="11"/>
    <n v="2"/>
    <n v="0"/>
    <n v="2"/>
    <s v="36-45"/>
    <s v="Low"/>
    <s v="3-5"/>
    <s v="Mid-Level"/>
    <s v="Excellent"/>
    <s v="High"/>
    <x v="0"/>
  </r>
  <r>
    <n v="42"/>
    <x v="1"/>
    <s v="Travel_Frequently"/>
    <n v="1271"/>
    <x v="1"/>
    <n v="2"/>
    <n v="1"/>
    <s v="Medical"/>
    <n v="1"/>
    <n v="875"/>
    <x v="0"/>
    <s v="Male"/>
    <n v="35"/>
    <n v="3"/>
    <x v="1"/>
    <x v="1"/>
    <x v="0"/>
    <s v="Single"/>
    <n v="2515"/>
    <n v="9068"/>
    <n v="5"/>
    <s v="Y"/>
    <s v="Yes"/>
    <n v="14"/>
    <n v="3"/>
    <n v="4"/>
    <n v="80"/>
    <n v="0"/>
    <n v="8"/>
    <n v="2"/>
    <n v="3"/>
    <x v="4"/>
    <n v="1"/>
    <n v="2"/>
    <n v="2"/>
    <s v="36-45"/>
    <s v="Low"/>
    <s v="0-2"/>
    <s v="Mid-Level"/>
    <s v="Standard"/>
    <s v="High"/>
    <x v="0"/>
  </r>
  <r>
    <n v="36"/>
    <x v="1"/>
    <s v="Travel_Rarely"/>
    <n v="1278"/>
    <x v="2"/>
    <n v="8"/>
    <n v="3"/>
    <s v="Life Sciences"/>
    <n v="1"/>
    <n v="878"/>
    <x v="3"/>
    <s v="Male"/>
    <n v="77"/>
    <n v="2"/>
    <x v="1"/>
    <x v="8"/>
    <x v="3"/>
    <s v="Married"/>
    <n v="2342"/>
    <n v="8635"/>
    <n v="0"/>
    <s v="Y"/>
    <s v="No"/>
    <n v="21"/>
    <n v="4"/>
    <n v="3"/>
    <n v="80"/>
    <n v="0"/>
    <n v="6"/>
    <n v="3"/>
    <n v="3"/>
    <x v="8"/>
    <n v="4"/>
    <n v="0"/>
    <n v="3"/>
    <s v="36-45"/>
    <s v="Low"/>
    <s v="3-5"/>
    <s v="Mid-Level"/>
    <s v="Excellent"/>
    <s v="Low"/>
    <x v="0"/>
  </r>
  <r>
    <n v="25"/>
    <x v="1"/>
    <s v="Travel_Rarely"/>
    <n v="141"/>
    <x v="0"/>
    <n v="3"/>
    <n v="1"/>
    <s v="Other"/>
    <n v="1"/>
    <n v="879"/>
    <x v="1"/>
    <s v="Male"/>
    <n v="98"/>
    <n v="3"/>
    <x v="0"/>
    <x v="0"/>
    <x v="3"/>
    <s v="Married"/>
    <n v="4194"/>
    <n v="14363"/>
    <n v="1"/>
    <s v="Y"/>
    <s v="Yes"/>
    <n v="18"/>
    <n v="3"/>
    <n v="4"/>
    <n v="80"/>
    <n v="0"/>
    <n v="5"/>
    <n v="3"/>
    <n v="3"/>
    <x v="8"/>
    <n v="3"/>
    <n v="0"/>
    <n v="3"/>
    <s v="18-25"/>
    <s v="Medium"/>
    <s v="3-5"/>
    <s v="Junior"/>
    <s v="Standard"/>
    <s v="Low"/>
    <x v="0"/>
  </r>
  <r>
    <n v="35"/>
    <x v="1"/>
    <s v="Travel_Rarely"/>
    <n v="607"/>
    <x v="1"/>
    <n v="9"/>
    <n v="3"/>
    <s v="Life Sciences"/>
    <n v="1"/>
    <n v="880"/>
    <x v="2"/>
    <s v="Female"/>
    <n v="66"/>
    <n v="2"/>
    <x v="2"/>
    <x v="3"/>
    <x v="2"/>
    <s v="Married"/>
    <n v="10685"/>
    <n v="23457"/>
    <n v="1"/>
    <s v="Y"/>
    <s v="Yes"/>
    <n v="20"/>
    <n v="4"/>
    <n v="2"/>
    <n v="80"/>
    <n v="1"/>
    <n v="17"/>
    <n v="2"/>
    <n v="3"/>
    <x v="18"/>
    <n v="14"/>
    <n v="5"/>
    <n v="15"/>
    <s v="26-35"/>
    <s v="Very High"/>
    <s v="16+"/>
    <s v="Senior"/>
    <s v="Excellent"/>
    <s v="High"/>
    <x v="0"/>
  </r>
  <r>
    <n v="35"/>
    <x v="0"/>
    <s v="Travel_Frequently"/>
    <n v="130"/>
    <x v="1"/>
    <n v="25"/>
    <n v="4"/>
    <s v="Life Sciences"/>
    <n v="1"/>
    <n v="881"/>
    <x v="2"/>
    <s v="Female"/>
    <n v="96"/>
    <n v="3"/>
    <x v="1"/>
    <x v="1"/>
    <x v="1"/>
    <s v="Divorced"/>
    <n v="2022"/>
    <n v="16612"/>
    <n v="1"/>
    <s v="Y"/>
    <s v="Yes"/>
    <n v="19"/>
    <n v="3"/>
    <n v="1"/>
    <n v="80"/>
    <n v="1"/>
    <n v="10"/>
    <n v="3"/>
    <n v="2"/>
    <x v="1"/>
    <n v="2"/>
    <n v="7"/>
    <n v="8"/>
    <s v="26-35"/>
    <s v="Low"/>
    <s v="6-10"/>
    <s v="Mid-Level"/>
    <s v="Standard"/>
    <s v="Low"/>
    <x v="0"/>
  </r>
  <r>
    <n v="32"/>
    <x v="1"/>
    <s v="Non-Travel"/>
    <n v="300"/>
    <x v="1"/>
    <n v="1"/>
    <n v="3"/>
    <s v="Life Sciences"/>
    <n v="1"/>
    <n v="882"/>
    <x v="2"/>
    <s v="Male"/>
    <n v="61"/>
    <n v="3"/>
    <x v="1"/>
    <x v="2"/>
    <x v="0"/>
    <s v="Divorced"/>
    <n v="2314"/>
    <n v="9148"/>
    <n v="0"/>
    <s v="Y"/>
    <s v="No"/>
    <n v="12"/>
    <n v="3"/>
    <n v="2"/>
    <n v="80"/>
    <n v="1"/>
    <n v="4"/>
    <n v="2"/>
    <n v="3"/>
    <x v="11"/>
    <n v="0"/>
    <n v="0"/>
    <n v="2"/>
    <s v="26-35"/>
    <s v="Low"/>
    <s v="3-5"/>
    <s v="Junior"/>
    <s v="Standard"/>
    <s v="High"/>
    <x v="0"/>
  </r>
  <r>
    <n v="25"/>
    <x v="1"/>
    <s v="Travel_Rarely"/>
    <n v="583"/>
    <x v="0"/>
    <n v="4"/>
    <n v="1"/>
    <s v="Marketing"/>
    <n v="1"/>
    <n v="885"/>
    <x v="1"/>
    <s v="Male"/>
    <n v="87"/>
    <n v="2"/>
    <x v="0"/>
    <x v="0"/>
    <x v="3"/>
    <s v="Married"/>
    <n v="4256"/>
    <n v="18154"/>
    <n v="1"/>
    <s v="Y"/>
    <s v="No"/>
    <n v="12"/>
    <n v="3"/>
    <n v="1"/>
    <n v="80"/>
    <n v="0"/>
    <n v="5"/>
    <n v="1"/>
    <n v="4"/>
    <x v="8"/>
    <n v="2"/>
    <n v="0"/>
    <n v="3"/>
    <s v="18-25"/>
    <s v="Medium"/>
    <s v="3-5"/>
    <s v="Junior"/>
    <s v="Standard"/>
    <s v="Low"/>
    <x v="0"/>
  </r>
  <r>
    <n v="49"/>
    <x v="1"/>
    <s v="Travel_Rarely"/>
    <n v="1418"/>
    <x v="1"/>
    <n v="1"/>
    <n v="3"/>
    <s v="Technical Degree"/>
    <n v="1"/>
    <n v="887"/>
    <x v="1"/>
    <s v="Female"/>
    <n v="36"/>
    <n v="3"/>
    <x v="1"/>
    <x v="1"/>
    <x v="3"/>
    <s v="Married"/>
    <n v="3580"/>
    <n v="10554"/>
    <n v="2"/>
    <s v="Y"/>
    <s v="No"/>
    <n v="16"/>
    <n v="3"/>
    <n v="2"/>
    <n v="80"/>
    <n v="1"/>
    <n v="7"/>
    <n v="2"/>
    <n v="3"/>
    <x v="9"/>
    <n v="2"/>
    <n v="0"/>
    <n v="2"/>
    <s v="46-55"/>
    <s v="Medium"/>
    <s v="3-5"/>
    <s v="Mid-Level"/>
    <s v="Standard"/>
    <s v="Low"/>
    <x v="0"/>
  </r>
  <r>
    <n v="24"/>
    <x v="1"/>
    <s v="Non-Travel"/>
    <n v="1269"/>
    <x v="1"/>
    <n v="4"/>
    <n v="1"/>
    <s v="Life Sciences"/>
    <n v="1"/>
    <n v="888"/>
    <x v="3"/>
    <s v="Male"/>
    <n v="46"/>
    <n v="2"/>
    <x v="1"/>
    <x v="2"/>
    <x v="0"/>
    <s v="Married"/>
    <n v="3162"/>
    <n v="10778"/>
    <n v="0"/>
    <s v="Y"/>
    <s v="No"/>
    <n v="17"/>
    <n v="3"/>
    <n v="4"/>
    <n v="80"/>
    <n v="0"/>
    <n v="6"/>
    <n v="2"/>
    <n v="2"/>
    <x v="8"/>
    <n v="2"/>
    <n v="3"/>
    <n v="4"/>
    <s v="18-25"/>
    <s v="Medium"/>
    <s v="3-5"/>
    <s v="Mid-Level"/>
    <s v="Standard"/>
    <s v="High"/>
    <x v="0"/>
  </r>
  <r>
    <n v="32"/>
    <x v="1"/>
    <s v="Travel_Frequently"/>
    <n v="379"/>
    <x v="0"/>
    <n v="5"/>
    <n v="2"/>
    <s v="Life Sciences"/>
    <n v="1"/>
    <n v="889"/>
    <x v="0"/>
    <s v="Male"/>
    <n v="48"/>
    <n v="3"/>
    <x v="0"/>
    <x v="0"/>
    <x v="1"/>
    <s v="Married"/>
    <n v="6524"/>
    <n v="8891"/>
    <n v="1"/>
    <s v="Y"/>
    <s v="No"/>
    <n v="14"/>
    <n v="3"/>
    <n v="4"/>
    <n v="80"/>
    <n v="1"/>
    <n v="10"/>
    <n v="3"/>
    <n v="3"/>
    <x v="1"/>
    <n v="8"/>
    <n v="5"/>
    <n v="3"/>
    <s v="26-35"/>
    <s v="High"/>
    <s v="6-10"/>
    <s v="Mid-Level"/>
    <s v="Standard"/>
    <s v="Low"/>
    <x v="0"/>
  </r>
  <r>
    <n v="38"/>
    <x v="1"/>
    <s v="Travel_Rarely"/>
    <n v="395"/>
    <x v="0"/>
    <n v="9"/>
    <n v="3"/>
    <s v="Marketing"/>
    <n v="1"/>
    <n v="893"/>
    <x v="0"/>
    <s v="Male"/>
    <n v="98"/>
    <n v="2"/>
    <x v="1"/>
    <x v="6"/>
    <x v="1"/>
    <s v="Married"/>
    <n v="2899"/>
    <n v="12102"/>
    <n v="0"/>
    <s v="Y"/>
    <s v="No"/>
    <n v="19"/>
    <n v="3"/>
    <n v="4"/>
    <n v="80"/>
    <n v="1"/>
    <n v="3"/>
    <n v="3"/>
    <n v="3"/>
    <x v="4"/>
    <n v="2"/>
    <n v="1"/>
    <n v="2"/>
    <s v="36-45"/>
    <s v="Low"/>
    <s v="0-2"/>
    <s v="Junior"/>
    <s v="Standard"/>
    <s v="Low"/>
    <x v="0"/>
  </r>
  <r>
    <n v="42"/>
    <x v="1"/>
    <s v="Travel_Rarely"/>
    <n v="1265"/>
    <x v="1"/>
    <n v="3"/>
    <n v="3"/>
    <s v="Life Sciences"/>
    <n v="1"/>
    <n v="894"/>
    <x v="1"/>
    <s v="Female"/>
    <n v="95"/>
    <n v="4"/>
    <x v="0"/>
    <x v="2"/>
    <x v="0"/>
    <s v="Married"/>
    <n v="5231"/>
    <n v="23726"/>
    <n v="2"/>
    <s v="Y"/>
    <s v="Yes"/>
    <n v="13"/>
    <n v="3"/>
    <n v="2"/>
    <n v="80"/>
    <n v="1"/>
    <n v="17"/>
    <n v="1"/>
    <n v="2"/>
    <x v="8"/>
    <n v="3"/>
    <n v="1"/>
    <n v="3"/>
    <s v="36-45"/>
    <s v="Medium"/>
    <s v="3-5"/>
    <s v="Senior"/>
    <s v="Standard"/>
    <s v="High"/>
    <x v="0"/>
  </r>
  <r>
    <n v="31"/>
    <x v="1"/>
    <s v="Travel_Rarely"/>
    <n v="1222"/>
    <x v="1"/>
    <n v="11"/>
    <n v="4"/>
    <s v="Life Sciences"/>
    <n v="1"/>
    <n v="895"/>
    <x v="2"/>
    <s v="Male"/>
    <n v="48"/>
    <n v="3"/>
    <x v="1"/>
    <x v="1"/>
    <x v="0"/>
    <s v="Married"/>
    <n v="2356"/>
    <n v="14871"/>
    <n v="3"/>
    <s v="Y"/>
    <s v="Yes"/>
    <n v="19"/>
    <n v="3"/>
    <n v="2"/>
    <n v="80"/>
    <n v="1"/>
    <n v="8"/>
    <n v="2"/>
    <n v="3"/>
    <x v="0"/>
    <n v="4"/>
    <n v="0"/>
    <n v="2"/>
    <s v="26-35"/>
    <s v="Low"/>
    <s v="6-10"/>
    <s v="Mid-Level"/>
    <s v="Standard"/>
    <s v="High"/>
    <x v="0"/>
  </r>
  <r>
    <n v="29"/>
    <x v="0"/>
    <s v="Travel_Rarely"/>
    <n v="341"/>
    <x v="0"/>
    <n v="1"/>
    <n v="3"/>
    <s v="Medical"/>
    <n v="1"/>
    <n v="896"/>
    <x v="0"/>
    <s v="Female"/>
    <n v="48"/>
    <n v="2"/>
    <x v="1"/>
    <x v="6"/>
    <x v="2"/>
    <s v="Divorced"/>
    <n v="2800"/>
    <n v="23522"/>
    <n v="6"/>
    <s v="Y"/>
    <s v="Yes"/>
    <n v="19"/>
    <n v="3"/>
    <n v="3"/>
    <n v="80"/>
    <n v="3"/>
    <n v="5"/>
    <n v="3"/>
    <n v="3"/>
    <x v="11"/>
    <n v="2"/>
    <n v="0"/>
    <n v="2"/>
    <s v="26-35"/>
    <s v="Low"/>
    <s v="3-5"/>
    <s v="Junior"/>
    <s v="Standard"/>
    <s v="High"/>
    <x v="0"/>
  </r>
  <r>
    <n v="53"/>
    <x v="1"/>
    <s v="Travel_Rarely"/>
    <n v="868"/>
    <x v="0"/>
    <n v="8"/>
    <n v="3"/>
    <s v="Marketing"/>
    <n v="1"/>
    <n v="897"/>
    <x v="3"/>
    <s v="Male"/>
    <n v="73"/>
    <n v="3"/>
    <x v="3"/>
    <x v="0"/>
    <x v="0"/>
    <s v="Married"/>
    <n v="11836"/>
    <n v="22789"/>
    <n v="5"/>
    <s v="Y"/>
    <s v="No"/>
    <n v="14"/>
    <n v="3"/>
    <n v="3"/>
    <n v="80"/>
    <n v="1"/>
    <n v="28"/>
    <n v="3"/>
    <n v="3"/>
    <x v="4"/>
    <n v="0"/>
    <n v="2"/>
    <n v="2"/>
    <s v="46-55"/>
    <s v="Very High"/>
    <s v="0-2"/>
    <s v="Senior"/>
    <s v="Standard"/>
    <s v="High"/>
    <x v="0"/>
  </r>
  <r>
    <n v="35"/>
    <x v="1"/>
    <s v="Travel_Rarely"/>
    <n v="672"/>
    <x v="1"/>
    <n v="25"/>
    <n v="3"/>
    <s v="Technical Degree"/>
    <n v="1"/>
    <n v="899"/>
    <x v="2"/>
    <s v="Male"/>
    <n v="78"/>
    <n v="2"/>
    <x v="2"/>
    <x v="3"/>
    <x v="1"/>
    <s v="Married"/>
    <n v="10903"/>
    <n v="9129"/>
    <n v="3"/>
    <s v="Y"/>
    <s v="No"/>
    <n v="16"/>
    <n v="3"/>
    <n v="1"/>
    <n v="80"/>
    <n v="0"/>
    <n v="16"/>
    <n v="2"/>
    <n v="3"/>
    <x v="20"/>
    <n v="10"/>
    <n v="4"/>
    <n v="8"/>
    <s v="26-35"/>
    <s v="Very High"/>
    <s v="11-15"/>
    <s v="Senior"/>
    <s v="Standard"/>
    <s v="Low"/>
    <x v="0"/>
  </r>
  <r>
    <n v="37"/>
    <x v="1"/>
    <s v="Travel_Frequently"/>
    <n v="1231"/>
    <x v="0"/>
    <n v="21"/>
    <n v="2"/>
    <s v="Medical"/>
    <n v="1"/>
    <n v="900"/>
    <x v="1"/>
    <s v="Female"/>
    <n v="54"/>
    <n v="3"/>
    <x v="1"/>
    <x v="6"/>
    <x v="0"/>
    <s v="Married"/>
    <n v="2973"/>
    <n v="21222"/>
    <n v="5"/>
    <s v="Y"/>
    <s v="No"/>
    <n v="15"/>
    <n v="3"/>
    <n v="2"/>
    <n v="80"/>
    <n v="1"/>
    <n v="10"/>
    <n v="3"/>
    <n v="3"/>
    <x v="8"/>
    <n v="4"/>
    <n v="0"/>
    <n v="0"/>
    <s v="36-45"/>
    <s v="Low"/>
    <s v="3-5"/>
    <s v="Mid-Level"/>
    <s v="Standard"/>
    <s v="High"/>
    <x v="0"/>
  </r>
  <r>
    <n v="53"/>
    <x v="1"/>
    <s v="Travel_Rarely"/>
    <n v="102"/>
    <x v="1"/>
    <n v="23"/>
    <n v="4"/>
    <s v="Life Sciences"/>
    <n v="1"/>
    <n v="901"/>
    <x v="2"/>
    <s v="Female"/>
    <n v="72"/>
    <n v="3"/>
    <x v="3"/>
    <x v="7"/>
    <x v="0"/>
    <s v="Single"/>
    <n v="14275"/>
    <n v="20206"/>
    <n v="6"/>
    <s v="Y"/>
    <s v="No"/>
    <n v="18"/>
    <n v="3"/>
    <n v="3"/>
    <n v="80"/>
    <n v="0"/>
    <n v="33"/>
    <n v="0"/>
    <n v="3"/>
    <x v="12"/>
    <n v="9"/>
    <n v="3"/>
    <n v="8"/>
    <s v="46-55"/>
    <s v="Very High"/>
    <s v="11-15"/>
    <s v="Senior"/>
    <s v="Standard"/>
    <s v="High"/>
    <x v="0"/>
  </r>
  <r>
    <n v="43"/>
    <x v="1"/>
    <s v="Travel_Frequently"/>
    <n v="422"/>
    <x v="1"/>
    <n v="1"/>
    <n v="3"/>
    <s v="Life Sciences"/>
    <n v="1"/>
    <n v="902"/>
    <x v="2"/>
    <s v="Female"/>
    <n v="33"/>
    <n v="3"/>
    <x v="0"/>
    <x v="4"/>
    <x v="0"/>
    <s v="Married"/>
    <n v="5562"/>
    <n v="21782"/>
    <n v="4"/>
    <s v="Y"/>
    <s v="No"/>
    <n v="13"/>
    <n v="3"/>
    <n v="2"/>
    <n v="80"/>
    <n v="1"/>
    <n v="12"/>
    <n v="2"/>
    <n v="2"/>
    <x v="8"/>
    <n v="2"/>
    <n v="2"/>
    <n v="2"/>
    <s v="36-45"/>
    <s v="Medium"/>
    <s v="3-5"/>
    <s v="Mid-Level"/>
    <s v="Standard"/>
    <s v="High"/>
    <x v="0"/>
  </r>
  <r>
    <n v="47"/>
    <x v="1"/>
    <s v="Travel_Rarely"/>
    <n v="249"/>
    <x v="0"/>
    <n v="2"/>
    <n v="2"/>
    <s v="Marketing"/>
    <n v="1"/>
    <n v="903"/>
    <x v="1"/>
    <s v="Female"/>
    <n v="35"/>
    <n v="3"/>
    <x v="0"/>
    <x v="0"/>
    <x v="0"/>
    <s v="Married"/>
    <n v="4537"/>
    <n v="17783"/>
    <n v="0"/>
    <s v="Y"/>
    <s v="Yes"/>
    <n v="22"/>
    <n v="4"/>
    <n v="1"/>
    <n v="80"/>
    <n v="1"/>
    <n v="8"/>
    <n v="2"/>
    <n v="3"/>
    <x v="5"/>
    <n v="6"/>
    <n v="7"/>
    <n v="7"/>
    <s v="46-55"/>
    <s v="Medium"/>
    <s v="6-10"/>
    <s v="Mid-Level"/>
    <s v="Excellent"/>
    <s v="High"/>
    <x v="0"/>
  </r>
  <r>
    <n v="37"/>
    <x v="1"/>
    <s v="Non-Travel"/>
    <n v="1252"/>
    <x v="0"/>
    <n v="19"/>
    <n v="2"/>
    <s v="Medical"/>
    <n v="1"/>
    <n v="904"/>
    <x v="3"/>
    <s v="Male"/>
    <n v="32"/>
    <n v="3"/>
    <x v="2"/>
    <x v="0"/>
    <x v="1"/>
    <s v="Single"/>
    <n v="7642"/>
    <n v="4814"/>
    <n v="1"/>
    <s v="Y"/>
    <s v="Yes"/>
    <n v="13"/>
    <n v="3"/>
    <n v="4"/>
    <n v="80"/>
    <n v="0"/>
    <n v="10"/>
    <n v="2"/>
    <n v="3"/>
    <x v="1"/>
    <n v="0"/>
    <n v="0"/>
    <n v="9"/>
    <s v="36-45"/>
    <s v="High"/>
    <s v="6-10"/>
    <s v="Mid-Level"/>
    <s v="Standard"/>
    <s v="Low"/>
    <x v="0"/>
  </r>
  <r>
    <n v="50"/>
    <x v="1"/>
    <s v="Non-Travel"/>
    <n v="881"/>
    <x v="1"/>
    <n v="2"/>
    <n v="4"/>
    <s v="Life Sciences"/>
    <n v="1"/>
    <n v="905"/>
    <x v="3"/>
    <s v="Male"/>
    <n v="98"/>
    <n v="3"/>
    <x v="3"/>
    <x v="5"/>
    <x v="3"/>
    <s v="Divorced"/>
    <n v="17924"/>
    <n v="4544"/>
    <n v="1"/>
    <s v="Y"/>
    <s v="No"/>
    <n v="11"/>
    <n v="3"/>
    <n v="4"/>
    <n v="80"/>
    <n v="1"/>
    <n v="31"/>
    <n v="3"/>
    <n v="3"/>
    <x v="31"/>
    <n v="6"/>
    <n v="14"/>
    <n v="7"/>
    <s v="46-55"/>
    <s v="Very High"/>
    <s v="16+"/>
    <s v="Senior"/>
    <s v="Standard"/>
    <s v="Low"/>
    <x v="0"/>
  </r>
  <r>
    <n v="39"/>
    <x v="1"/>
    <s v="Travel_Rarely"/>
    <n v="1383"/>
    <x v="2"/>
    <n v="2"/>
    <n v="3"/>
    <s v="Life Sciences"/>
    <n v="1"/>
    <n v="909"/>
    <x v="2"/>
    <s v="Female"/>
    <n v="42"/>
    <n v="2"/>
    <x v="0"/>
    <x v="8"/>
    <x v="0"/>
    <s v="Married"/>
    <n v="5204"/>
    <n v="7790"/>
    <n v="8"/>
    <s v="Y"/>
    <s v="No"/>
    <n v="11"/>
    <n v="3"/>
    <n v="3"/>
    <n v="80"/>
    <n v="2"/>
    <n v="13"/>
    <n v="2"/>
    <n v="3"/>
    <x v="8"/>
    <n v="4"/>
    <n v="0"/>
    <n v="4"/>
    <s v="36-45"/>
    <s v="Medium"/>
    <s v="3-5"/>
    <s v="Mid-Level"/>
    <s v="Standard"/>
    <s v="High"/>
    <x v="0"/>
  </r>
  <r>
    <n v="33"/>
    <x v="1"/>
    <s v="Travel_Rarely"/>
    <n v="1075"/>
    <x v="2"/>
    <n v="3"/>
    <n v="2"/>
    <s v="Human Resources"/>
    <n v="1"/>
    <n v="910"/>
    <x v="2"/>
    <s v="Male"/>
    <n v="57"/>
    <n v="3"/>
    <x v="1"/>
    <x v="8"/>
    <x v="1"/>
    <s v="Divorced"/>
    <n v="2277"/>
    <n v="22650"/>
    <n v="3"/>
    <s v="Y"/>
    <s v="Yes"/>
    <n v="11"/>
    <n v="3"/>
    <n v="3"/>
    <n v="80"/>
    <n v="1"/>
    <n v="7"/>
    <n v="4"/>
    <n v="4"/>
    <x v="9"/>
    <n v="3"/>
    <n v="0"/>
    <n v="3"/>
    <s v="26-35"/>
    <s v="Low"/>
    <s v="3-5"/>
    <s v="Mid-Level"/>
    <s v="Standard"/>
    <s v="Low"/>
    <x v="0"/>
  </r>
  <r>
    <n v="32"/>
    <x v="0"/>
    <s v="Travel_Rarely"/>
    <n v="374"/>
    <x v="1"/>
    <n v="25"/>
    <n v="4"/>
    <s v="Life Sciences"/>
    <n v="1"/>
    <n v="911"/>
    <x v="3"/>
    <s v="Male"/>
    <n v="87"/>
    <n v="3"/>
    <x v="1"/>
    <x v="2"/>
    <x v="0"/>
    <s v="Single"/>
    <n v="2795"/>
    <n v="18016"/>
    <n v="1"/>
    <s v="Y"/>
    <s v="Yes"/>
    <n v="24"/>
    <n v="4"/>
    <n v="3"/>
    <n v="80"/>
    <n v="0"/>
    <n v="1"/>
    <n v="2"/>
    <n v="1"/>
    <x v="6"/>
    <n v="0"/>
    <n v="0"/>
    <n v="1"/>
    <s v="26-35"/>
    <s v="Low"/>
    <s v="0-2"/>
    <s v="Junior"/>
    <s v="Excellent"/>
    <s v="High"/>
    <x v="0"/>
  </r>
  <r>
    <n v="29"/>
    <x v="1"/>
    <s v="Travel_Rarely"/>
    <n v="1086"/>
    <x v="1"/>
    <n v="7"/>
    <n v="1"/>
    <s v="Medical"/>
    <n v="1"/>
    <n v="912"/>
    <x v="3"/>
    <s v="Female"/>
    <n v="62"/>
    <n v="2"/>
    <x v="1"/>
    <x v="2"/>
    <x v="0"/>
    <s v="Divorced"/>
    <n v="2532"/>
    <n v="6054"/>
    <n v="6"/>
    <s v="Y"/>
    <s v="No"/>
    <n v="14"/>
    <n v="3"/>
    <n v="3"/>
    <n v="80"/>
    <n v="3"/>
    <n v="8"/>
    <n v="5"/>
    <n v="3"/>
    <x v="9"/>
    <n v="3"/>
    <n v="0"/>
    <n v="3"/>
    <s v="26-35"/>
    <s v="Low"/>
    <s v="3-5"/>
    <s v="Mid-Level"/>
    <s v="Standard"/>
    <s v="High"/>
    <x v="0"/>
  </r>
  <r>
    <n v="44"/>
    <x v="1"/>
    <s v="Travel_Rarely"/>
    <n v="661"/>
    <x v="1"/>
    <n v="9"/>
    <n v="2"/>
    <s v="Life Sciences"/>
    <n v="1"/>
    <n v="913"/>
    <x v="0"/>
    <s v="Male"/>
    <n v="61"/>
    <n v="3"/>
    <x v="1"/>
    <x v="1"/>
    <x v="3"/>
    <s v="Married"/>
    <n v="2559"/>
    <n v="7508"/>
    <n v="1"/>
    <s v="Y"/>
    <s v="Yes"/>
    <n v="13"/>
    <n v="3"/>
    <n v="4"/>
    <n v="80"/>
    <n v="0"/>
    <n v="8"/>
    <n v="0"/>
    <n v="3"/>
    <x v="3"/>
    <n v="7"/>
    <n v="7"/>
    <n v="1"/>
    <s v="36-45"/>
    <s v="Low"/>
    <s v="6-10"/>
    <s v="Mid-Level"/>
    <s v="Standard"/>
    <s v="Low"/>
    <x v="0"/>
  </r>
  <r>
    <n v="28"/>
    <x v="1"/>
    <s v="Travel_Rarely"/>
    <n v="821"/>
    <x v="0"/>
    <n v="5"/>
    <n v="4"/>
    <s v="Medical"/>
    <n v="1"/>
    <n v="916"/>
    <x v="3"/>
    <s v="Male"/>
    <n v="98"/>
    <n v="3"/>
    <x v="0"/>
    <x v="0"/>
    <x v="0"/>
    <s v="Single"/>
    <n v="4908"/>
    <n v="24252"/>
    <n v="1"/>
    <s v="Y"/>
    <s v="No"/>
    <n v="14"/>
    <n v="3"/>
    <n v="2"/>
    <n v="80"/>
    <n v="0"/>
    <n v="4"/>
    <n v="3"/>
    <n v="3"/>
    <x v="9"/>
    <n v="2"/>
    <n v="0"/>
    <n v="2"/>
    <s v="26-35"/>
    <s v="Medium"/>
    <s v="3-5"/>
    <s v="Junior"/>
    <s v="Standard"/>
    <s v="High"/>
    <x v="0"/>
  </r>
  <r>
    <n v="58"/>
    <x v="0"/>
    <s v="Travel_Frequently"/>
    <n v="781"/>
    <x v="1"/>
    <n v="2"/>
    <n v="1"/>
    <s v="Life Sciences"/>
    <n v="1"/>
    <n v="918"/>
    <x v="2"/>
    <s v="Male"/>
    <n v="57"/>
    <n v="2"/>
    <x v="1"/>
    <x v="2"/>
    <x v="0"/>
    <s v="Divorced"/>
    <n v="2380"/>
    <n v="13384"/>
    <n v="9"/>
    <s v="Y"/>
    <s v="Yes"/>
    <n v="14"/>
    <n v="3"/>
    <n v="4"/>
    <n v="80"/>
    <n v="1"/>
    <n v="3"/>
    <n v="3"/>
    <n v="2"/>
    <x v="6"/>
    <n v="0"/>
    <n v="0"/>
    <n v="0"/>
    <s v="56+"/>
    <s v="Low"/>
    <s v="0-2"/>
    <s v="Junior"/>
    <s v="Standard"/>
    <s v="High"/>
    <x v="0"/>
  </r>
  <r>
    <n v="43"/>
    <x v="1"/>
    <s v="Travel_Rarely"/>
    <n v="177"/>
    <x v="1"/>
    <n v="8"/>
    <n v="3"/>
    <s v="Life Sciences"/>
    <n v="1"/>
    <n v="920"/>
    <x v="3"/>
    <s v="Female"/>
    <n v="55"/>
    <n v="3"/>
    <x v="0"/>
    <x v="3"/>
    <x v="1"/>
    <s v="Divorced"/>
    <n v="4765"/>
    <n v="23814"/>
    <n v="4"/>
    <s v="Y"/>
    <s v="No"/>
    <n v="21"/>
    <n v="4"/>
    <n v="3"/>
    <n v="80"/>
    <n v="1"/>
    <n v="4"/>
    <n v="2"/>
    <n v="4"/>
    <x v="6"/>
    <n v="0"/>
    <n v="0"/>
    <n v="0"/>
    <s v="36-45"/>
    <s v="Medium"/>
    <s v="0-2"/>
    <s v="Junior"/>
    <s v="Excellent"/>
    <s v="Low"/>
    <x v="0"/>
  </r>
  <r>
    <n v="20"/>
    <x v="0"/>
    <s v="Travel_Rarely"/>
    <n v="500"/>
    <x v="0"/>
    <n v="2"/>
    <n v="3"/>
    <s v="Medical"/>
    <n v="1"/>
    <n v="922"/>
    <x v="1"/>
    <s v="Female"/>
    <n v="49"/>
    <n v="2"/>
    <x v="1"/>
    <x v="6"/>
    <x v="2"/>
    <s v="Single"/>
    <n v="2044"/>
    <n v="22052"/>
    <n v="1"/>
    <s v="Y"/>
    <s v="No"/>
    <n v="13"/>
    <n v="3"/>
    <n v="4"/>
    <n v="80"/>
    <n v="0"/>
    <n v="2"/>
    <n v="3"/>
    <n v="2"/>
    <x v="4"/>
    <n v="2"/>
    <n v="0"/>
    <n v="2"/>
    <s v="18-25"/>
    <s v="Low"/>
    <s v="0-2"/>
    <s v="Junior"/>
    <s v="Standard"/>
    <s v="High"/>
    <x v="0"/>
  </r>
  <r>
    <n v="21"/>
    <x v="0"/>
    <s v="Travel_Rarely"/>
    <n v="1427"/>
    <x v="1"/>
    <n v="18"/>
    <n v="1"/>
    <s v="Other"/>
    <n v="1"/>
    <n v="923"/>
    <x v="2"/>
    <s v="Female"/>
    <n v="65"/>
    <n v="3"/>
    <x v="1"/>
    <x v="1"/>
    <x v="0"/>
    <s v="Single"/>
    <n v="2693"/>
    <n v="8870"/>
    <n v="1"/>
    <s v="Y"/>
    <s v="No"/>
    <n v="19"/>
    <n v="3"/>
    <n v="1"/>
    <n v="80"/>
    <n v="0"/>
    <n v="1"/>
    <n v="3"/>
    <n v="2"/>
    <x v="6"/>
    <n v="0"/>
    <n v="0"/>
    <n v="0"/>
    <s v="18-25"/>
    <s v="Low"/>
    <s v="0-2"/>
    <s v="Junior"/>
    <s v="Standard"/>
    <s v="High"/>
    <x v="0"/>
  </r>
  <r>
    <n v="36"/>
    <x v="1"/>
    <s v="Travel_Rarely"/>
    <n v="1425"/>
    <x v="1"/>
    <n v="14"/>
    <n v="1"/>
    <s v="Life Sciences"/>
    <n v="1"/>
    <n v="924"/>
    <x v="1"/>
    <s v="Male"/>
    <n v="68"/>
    <n v="3"/>
    <x v="0"/>
    <x v="4"/>
    <x v="0"/>
    <s v="Married"/>
    <n v="6586"/>
    <n v="4821"/>
    <n v="0"/>
    <s v="Y"/>
    <s v="Yes"/>
    <n v="17"/>
    <n v="3"/>
    <n v="1"/>
    <n v="80"/>
    <n v="1"/>
    <n v="17"/>
    <n v="2"/>
    <n v="2"/>
    <x v="22"/>
    <n v="8"/>
    <n v="4"/>
    <n v="11"/>
    <s v="36-45"/>
    <s v="High"/>
    <s v="16+"/>
    <s v="Senior"/>
    <s v="Standard"/>
    <s v="High"/>
    <x v="0"/>
  </r>
  <r>
    <n v="47"/>
    <x v="1"/>
    <s v="Travel_Rarely"/>
    <n v="1454"/>
    <x v="0"/>
    <n v="2"/>
    <n v="4"/>
    <s v="Life Sciences"/>
    <n v="1"/>
    <n v="925"/>
    <x v="2"/>
    <s v="Female"/>
    <n v="65"/>
    <n v="2"/>
    <x v="1"/>
    <x v="6"/>
    <x v="0"/>
    <s v="Single"/>
    <n v="3294"/>
    <n v="13137"/>
    <n v="1"/>
    <s v="Y"/>
    <s v="Yes"/>
    <n v="18"/>
    <n v="3"/>
    <n v="1"/>
    <n v="80"/>
    <n v="0"/>
    <n v="3"/>
    <n v="3"/>
    <n v="2"/>
    <x v="11"/>
    <n v="2"/>
    <n v="1"/>
    <n v="2"/>
    <s v="46-55"/>
    <s v="Medium"/>
    <s v="3-5"/>
    <s v="Junior"/>
    <s v="Standard"/>
    <s v="High"/>
    <x v="0"/>
  </r>
  <r>
    <n v="22"/>
    <x v="0"/>
    <s v="Travel_Rarely"/>
    <n v="617"/>
    <x v="1"/>
    <n v="3"/>
    <n v="1"/>
    <s v="Life Sciences"/>
    <n v="1"/>
    <n v="926"/>
    <x v="0"/>
    <s v="Female"/>
    <n v="34"/>
    <n v="3"/>
    <x v="0"/>
    <x v="3"/>
    <x v="2"/>
    <s v="Married"/>
    <n v="4171"/>
    <n v="10022"/>
    <n v="0"/>
    <s v="Y"/>
    <s v="Yes"/>
    <n v="19"/>
    <n v="3"/>
    <n v="1"/>
    <n v="80"/>
    <n v="1"/>
    <n v="4"/>
    <n v="3"/>
    <n v="4"/>
    <x v="11"/>
    <n v="2"/>
    <n v="0"/>
    <n v="2"/>
    <s v="18-25"/>
    <s v="Medium"/>
    <s v="3-5"/>
    <s v="Junior"/>
    <s v="Standard"/>
    <s v="High"/>
    <x v="0"/>
  </r>
  <r>
    <n v="41"/>
    <x v="0"/>
    <s v="Travel_Rarely"/>
    <n v="1085"/>
    <x v="1"/>
    <n v="2"/>
    <n v="4"/>
    <s v="Life Sciences"/>
    <n v="1"/>
    <n v="927"/>
    <x v="0"/>
    <s v="Female"/>
    <n v="57"/>
    <n v="1"/>
    <x v="1"/>
    <x v="2"/>
    <x v="0"/>
    <s v="Divorced"/>
    <n v="2778"/>
    <n v="17725"/>
    <n v="4"/>
    <s v="Y"/>
    <s v="Yes"/>
    <n v="13"/>
    <n v="3"/>
    <n v="3"/>
    <n v="80"/>
    <n v="1"/>
    <n v="10"/>
    <n v="1"/>
    <n v="2"/>
    <x v="5"/>
    <n v="7"/>
    <n v="1"/>
    <n v="0"/>
    <s v="36-45"/>
    <s v="Low"/>
    <s v="6-10"/>
    <s v="Mid-Level"/>
    <s v="Standard"/>
    <s v="High"/>
    <x v="0"/>
  </r>
  <r>
    <n v="28"/>
    <x v="1"/>
    <s v="Travel_Rarely"/>
    <n v="995"/>
    <x v="1"/>
    <n v="9"/>
    <n v="3"/>
    <s v="Medical"/>
    <n v="1"/>
    <n v="930"/>
    <x v="1"/>
    <s v="Female"/>
    <n v="77"/>
    <n v="3"/>
    <x v="1"/>
    <x v="1"/>
    <x v="2"/>
    <s v="Divorced"/>
    <n v="2377"/>
    <n v="9834"/>
    <n v="5"/>
    <s v="Y"/>
    <s v="No"/>
    <n v="18"/>
    <n v="3"/>
    <n v="2"/>
    <n v="80"/>
    <n v="1"/>
    <n v="6"/>
    <n v="2"/>
    <n v="3"/>
    <x v="4"/>
    <n v="2"/>
    <n v="2"/>
    <n v="2"/>
    <s v="26-35"/>
    <s v="Low"/>
    <s v="0-2"/>
    <s v="Mid-Level"/>
    <s v="Standard"/>
    <s v="High"/>
    <x v="0"/>
  </r>
  <r>
    <n v="39"/>
    <x v="0"/>
    <s v="Travel_Rarely"/>
    <n v="1122"/>
    <x v="1"/>
    <n v="6"/>
    <n v="3"/>
    <s v="Medical"/>
    <n v="1"/>
    <n v="932"/>
    <x v="2"/>
    <s v="Male"/>
    <n v="70"/>
    <n v="3"/>
    <x v="1"/>
    <x v="2"/>
    <x v="3"/>
    <s v="Married"/>
    <n v="2404"/>
    <n v="4303"/>
    <n v="7"/>
    <s v="Y"/>
    <s v="Yes"/>
    <n v="21"/>
    <n v="4"/>
    <n v="4"/>
    <n v="80"/>
    <n v="0"/>
    <n v="8"/>
    <n v="2"/>
    <n v="1"/>
    <x v="4"/>
    <n v="2"/>
    <n v="2"/>
    <n v="2"/>
    <s v="36-45"/>
    <s v="Low"/>
    <s v="0-2"/>
    <s v="Mid-Level"/>
    <s v="Excellent"/>
    <s v="Low"/>
    <x v="1"/>
  </r>
  <r>
    <n v="27"/>
    <x v="1"/>
    <s v="Travel_Rarely"/>
    <n v="618"/>
    <x v="1"/>
    <n v="4"/>
    <n v="3"/>
    <s v="Life Sciences"/>
    <n v="1"/>
    <n v="933"/>
    <x v="0"/>
    <s v="Female"/>
    <n v="76"/>
    <n v="3"/>
    <x v="1"/>
    <x v="1"/>
    <x v="2"/>
    <s v="Single"/>
    <n v="2318"/>
    <n v="17808"/>
    <n v="1"/>
    <s v="Y"/>
    <s v="No"/>
    <n v="19"/>
    <n v="3"/>
    <n v="3"/>
    <n v="80"/>
    <n v="0"/>
    <n v="1"/>
    <n v="2"/>
    <n v="3"/>
    <x v="6"/>
    <n v="1"/>
    <n v="0"/>
    <n v="0"/>
    <s v="26-35"/>
    <s v="Low"/>
    <s v="0-2"/>
    <s v="Junior"/>
    <s v="Standard"/>
    <s v="High"/>
    <x v="0"/>
  </r>
  <r>
    <n v="34"/>
    <x v="1"/>
    <s v="Travel_Rarely"/>
    <n v="546"/>
    <x v="1"/>
    <n v="10"/>
    <n v="3"/>
    <s v="Life Sciences"/>
    <n v="1"/>
    <n v="934"/>
    <x v="0"/>
    <s v="Male"/>
    <n v="83"/>
    <n v="3"/>
    <x v="1"/>
    <x v="2"/>
    <x v="1"/>
    <s v="Divorced"/>
    <n v="2008"/>
    <n v="6896"/>
    <n v="1"/>
    <s v="Y"/>
    <s v="No"/>
    <n v="14"/>
    <n v="3"/>
    <n v="2"/>
    <n v="80"/>
    <n v="2"/>
    <n v="1"/>
    <n v="3"/>
    <n v="3"/>
    <x v="6"/>
    <n v="0"/>
    <n v="1"/>
    <n v="0"/>
    <s v="26-35"/>
    <s v="Low"/>
    <s v="0-2"/>
    <s v="Junior"/>
    <s v="Standard"/>
    <s v="Low"/>
    <x v="0"/>
  </r>
  <r>
    <n v="42"/>
    <x v="1"/>
    <s v="Travel_Rarely"/>
    <n v="462"/>
    <x v="0"/>
    <n v="14"/>
    <n v="2"/>
    <s v="Medical"/>
    <n v="1"/>
    <n v="936"/>
    <x v="1"/>
    <s v="Female"/>
    <n v="68"/>
    <n v="2"/>
    <x v="0"/>
    <x v="0"/>
    <x v="2"/>
    <s v="Single"/>
    <n v="6244"/>
    <n v="7824"/>
    <n v="7"/>
    <s v="Y"/>
    <s v="No"/>
    <n v="17"/>
    <n v="3"/>
    <n v="1"/>
    <n v="80"/>
    <n v="0"/>
    <n v="10"/>
    <n v="6"/>
    <n v="3"/>
    <x v="8"/>
    <n v="4"/>
    <n v="0"/>
    <n v="3"/>
    <s v="36-45"/>
    <s v="High"/>
    <s v="3-5"/>
    <s v="Mid-Level"/>
    <s v="Standard"/>
    <s v="High"/>
    <x v="0"/>
  </r>
  <r>
    <n v="33"/>
    <x v="1"/>
    <s v="Travel_Rarely"/>
    <n v="1198"/>
    <x v="1"/>
    <n v="1"/>
    <n v="4"/>
    <s v="Other"/>
    <n v="1"/>
    <n v="939"/>
    <x v="1"/>
    <s v="Male"/>
    <n v="100"/>
    <n v="2"/>
    <x v="1"/>
    <x v="1"/>
    <x v="3"/>
    <s v="Single"/>
    <n v="2799"/>
    <n v="3339"/>
    <n v="3"/>
    <s v="Y"/>
    <s v="Yes"/>
    <n v="11"/>
    <n v="3"/>
    <n v="2"/>
    <n v="80"/>
    <n v="0"/>
    <n v="6"/>
    <n v="1"/>
    <n v="3"/>
    <x v="11"/>
    <n v="2"/>
    <n v="0"/>
    <n v="2"/>
    <s v="26-35"/>
    <s v="Low"/>
    <s v="3-5"/>
    <s v="Mid-Level"/>
    <s v="Standard"/>
    <s v="Low"/>
    <x v="0"/>
  </r>
  <r>
    <n v="58"/>
    <x v="1"/>
    <s v="Travel_Rarely"/>
    <n v="1272"/>
    <x v="1"/>
    <n v="5"/>
    <n v="3"/>
    <s v="Technical Degree"/>
    <n v="1"/>
    <n v="940"/>
    <x v="1"/>
    <s v="Female"/>
    <n v="37"/>
    <n v="2"/>
    <x v="2"/>
    <x v="4"/>
    <x v="1"/>
    <s v="Divorced"/>
    <n v="10552"/>
    <n v="9255"/>
    <n v="2"/>
    <s v="Y"/>
    <s v="Yes"/>
    <n v="13"/>
    <n v="3"/>
    <n v="4"/>
    <n v="80"/>
    <n v="1"/>
    <n v="24"/>
    <n v="3"/>
    <n v="3"/>
    <x v="0"/>
    <n v="0"/>
    <n v="0"/>
    <n v="4"/>
    <s v="56+"/>
    <s v="Very High"/>
    <s v="6-10"/>
    <s v="Senior"/>
    <s v="Standard"/>
    <s v="Low"/>
    <x v="0"/>
  </r>
  <r>
    <n v="31"/>
    <x v="1"/>
    <s v="Travel_Rarely"/>
    <n v="154"/>
    <x v="0"/>
    <n v="7"/>
    <n v="4"/>
    <s v="Life Sciences"/>
    <n v="1"/>
    <n v="941"/>
    <x v="0"/>
    <s v="Male"/>
    <n v="41"/>
    <n v="2"/>
    <x v="1"/>
    <x v="6"/>
    <x v="2"/>
    <s v="Married"/>
    <n v="2329"/>
    <n v="11737"/>
    <n v="3"/>
    <s v="Y"/>
    <s v="No"/>
    <n v="15"/>
    <n v="3"/>
    <n v="2"/>
    <n v="80"/>
    <n v="0"/>
    <n v="13"/>
    <n v="2"/>
    <n v="4"/>
    <x v="5"/>
    <n v="7"/>
    <n v="5"/>
    <n v="2"/>
    <s v="26-35"/>
    <s v="Low"/>
    <s v="6-10"/>
    <s v="Mid-Level"/>
    <s v="Standard"/>
    <s v="High"/>
    <x v="0"/>
  </r>
  <r>
    <n v="35"/>
    <x v="1"/>
    <s v="Travel_Rarely"/>
    <n v="1137"/>
    <x v="1"/>
    <n v="21"/>
    <n v="1"/>
    <s v="Life Sciences"/>
    <n v="1"/>
    <n v="942"/>
    <x v="2"/>
    <s v="Female"/>
    <n v="51"/>
    <n v="3"/>
    <x v="0"/>
    <x v="4"/>
    <x v="0"/>
    <s v="Married"/>
    <n v="4014"/>
    <n v="19170"/>
    <n v="1"/>
    <s v="Y"/>
    <s v="Yes"/>
    <n v="25"/>
    <n v="4"/>
    <n v="4"/>
    <n v="80"/>
    <n v="1"/>
    <n v="10"/>
    <n v="2"/>
    <n v="1"/>
    <x v="1"/>
    <n v="6"/>
    <n v="0"/>
    <n v="7"/>
    <s v="26-35"/>
    <s v="Medium"/>
    <s v="6-10"/>
    <s v="Mid-Level"/>
    <s v="Excellent"/>
    <s v="High"/>
    <x v="0"/>
  </r>
  <r>
    <n v="49"/>
    <x v="1"/>
    <s v="Travel_Rarely"/>
    <n v="527"/>
    <x v="1"/>
    <n v="8"/>
    <n v="2"/>
    <s v="Other"/>
    <n v="1"/>
    <n v="944"/>
    <x v="3"/>
    <s v="Female"/>
    <n v="51"/>
    <n v="3"/>
    <x v="2"/>
    <x v="2"/>
    <x v="1"/>
    <s v="Married"/>
    <n v="7403"/>
    <n v="22477"/>
    <n v="4"/>
    <s v="Y"/>
    <s v="No"/>
    <n v="11"/>
    <n v="3"/>
    <n v="3"/>
    <n v="80"/>
    <n v="1"/>
    <n v="29"/>
    <n v="3"/>
    <n v="2"/>
    <x v="34"/>
    <n v="9"/>
    <n v="1"/>
    <n v="7"/>
    <s v="46-55"/>
    <s v="High"/>
    <s v="16+"/>
    <s v="Senior"/>
    <s v="Standard"/>
    <s v="Low"/>
    <x v="0"/>
  </r>
  <r>
    <n v="48"/>
    <x v="1"/>
    <s v="Travel_Rarely"/>
    <n v="1469"/>
    <x v="1"/>
    <n v="20"/>
    <n v="4"/>
    <s v="Medical"/>
    <n v="1"/>
    <n v="945"/>
    <x v="2"/>
    <s v="Male"/>
    <n v="51"/>
    <n v="3"/>
    <x v="1"/>
    <x v="1"/>
    <x v="2"/>
    <s v="Married"/>
    <n v="2259"/>
    <n v="5543"/>
    <n v="4"/>
    <s v="Y"/>
    <s v="No"/>
    <n v="17"/>
    <n v="3"/>
    <n v="1"/>
    <n v="80"/>
    <n v="2"/>
    <n v="13"/>
    <n v="2"/>
    <n v="2"/>
    <x v="2"/>
    <n v="0"/>
    <n v="0"/>
    <n v="0"/>
    <s v="46-55"/>
    <s v="Low"/>
    <s v="0-2"/>
    <s v="Mid-Level"/>
    <s v="Standard"/>
    <s v="High"/>
    <x v="0"/>
  </r>
  <r>
    <n v="31"/>
    <x v="1"/>
    <s v="Non-Travel"/>
    <n v="1188"/>
    <x v="0"/>
    <n v="20"/>
    <n v="2"/>
    <s v="Marketing"/>
    <n v="1"/>
    <n v="947"/>
    <x v="2"/>
    <s v="Female"/>
    <n v="45"/>
    <n v="3"/>
    <x v="0"/>
    <x v="0"/>
    <x v="2"/>
    <s v="Married"/>
    <n v="6932"/>
    <n v="24406"/>
    <n v="1"/>
    <s v="Y"/>
    <s v="No"/>
    <n v="13"/>
    <n v="3"/>
    <n v="4"/>
    <n v="80"/>
    <n v="1"/>
    <n v="9"/>
    <n v="2"/>
    <n v="2"/>
    <x v="7"/>
    <n v="8"/>
    <n v="0"/>
    <n v="0"/>
    <s v="26-35"/>
    <s v="High"/>
    <s v="6-10"/>
    <s v="Mid-Level"/>
    <s v="Standard"/>
    <s v="High"/>
    <x v="0"/>
  </r>
  <r>
    <n v="36"/>
    <x v="1"/>
    <s v="Travel_Rarely"/>
    <n v="188"/>
    <x v="1"/>
    <n v="7"/>
    <n v="4"/>
    <s v="Other"/>
    <n v="1"/>
    <n v="949"/>
    <x v="0"/>
    <s v="Male"/>
    <n v="65"/>
    <n v="3"/>
    <x v="1"/>
    <x v="1"/>
    <x v="0"/>
    <s v="Single"/>
    <n v="4678"/>
    <n v="23293"/>
    <n v="2"/>
    <s v="Y"/>
    <s v="No"/>
    <n v="18"/>
    <n v="3"/>
    <n v="3"/>
    <n v="80"/>
    <n v="0"/>
    <n v="8"/>
    <n v="6"/>
    <n v="3"/>
    <x v="0"/>
    <n v="2"/>
    <n v="0"/>
    <n v="1"/>
    <s v="36-45"/>
    <s v="Medium"/>
    <s v="6-10"/>
    <s v="Mid-Level"/>
    <s v="Standard"/>
    <s v="High"/>
    <x v="0"/>
  </r>
  <r>
    <n v="38"/>
    <x v="1"/>
    <s v="Travel_Rarely"/>
    <n v="1333"/>
    <x v="1"/>
    <n v="1"/>
    <n v="3"/>
    <s v="Technical Degree"/>
    <n v="1"/>
    <n v="950"/>
    <x v="2"/>
    <s v="Female"/>
    <n v="80"/>
    <n v="3"/>
    <x v="2"/>
    <x v="7"/>
    <x v="3"/>
    <s v="Married"/>
    <n v="13582"/>
    <n v="16292"/>
    <n v="1"/>
    <s v="Y"/>
    <s v="No"/>
    <n v="13"/>
    <n v="3"/>
    <n v="2"/>
    <n v="80"/>
    <n v="1"/>
    <n v="15"/>
    <n v="3"/>
    <n v="3"/>
    <x v="15"/>
    <n v="12"/>
    <n v="5"/>
    <n v="11"/>
    <s v="36-45"/>
    <s v="Very High"/>
    <s v="11-15"/>
    <s v="Mid-Level"/>
    <s v="Standard"/>
    <s v="Low"/>
    <x v="0"/>
  </r>
  <r>
    <n v="32"/>
    <x v="1"/>
    <s v="Non-Travel"/>
    <n v="1184"/>
    <x v="1"/>
    <n v="1"/>
    <n v="3"/>
    <s v="Life Sciences"/>
    <n v="1"/>
    <n v="951"/>
    <x v="1"/>
    <s v="Female"/>
    <n v="70"/>
    <n v="2"/>
    <x v="1"/>
    <x v="2"/>
    <x v="1"/>
    <s v="Married"/>
    <n v="2332"/>
    <n v="3974"/>
    <n v="6"/>
    <s v="Y"/>
    <s v="No"/>
    <n v="20"/>
    <n v="4"/>
    <n v="3"/>
    <n v="80"/>
    <n v="0"/>
    <n v="5"/>
    <n v="3"/>
    <n v="3"/>
    <x v="11"/>
    <n v="0"/>
    <n v="0"/>
    <n v="2"/>
    <s v="26-35"/>
    <s v="Low"/>
    <s v="3-5"/>
    <s v="Junior"/>
    <s v="Excellent"/>
    <s v="Low"/>
    <x v="0"/>
  </r>
  <r>
    <n v="25"/>
    <x v="0"/>
    <s v="Travel_Rarely"/>
    <n v="867"/>
    <x v="0"/>
    <n v="19"/>
    <n v="2"/>
    <s v="Marketing"/>
    <n v="1"/>
    <n v="952"/>
    <x v="1"/>
    <s v="Male"/>
    <n v="36"/>
    <n v="2"/>
    <x v="1"/>
    <x v="6"/>
    <x v="1"/>
    <s v="Married"/>
    <n v="2413"/>
    <n v="18798"/>
    <n v="1"/>
    <s v="Y"/>
    <s v="Yes"/>
    <n v="18"/>
    <n v="3"/>
    <n v="3"/>
    <n v="80"/>
    <n v="3"/>
    <n v="1"/>
    <n v="2"/>
    <n v="3"/>
    <x v="6"/>
    <n v="0"/>
    <n v="0"/>
    <n v="0"/>
    <s v="18-25"/>
    <s v="Low"/>
    <s v="0-2"/>
    <s v="Junior"/>
    <s v="Standard"/>
    <s v="Low"/>
    <x v="1"/>
  </r>
  <r>
    <n v="40"/>
    <x v="1"/>
    <s v="Travel_Rarely"/>
    <n v="658"/>
    <x v="0"/>
    <n v="10"/>
    <n v="4"/>
    <s v="Marketing"/>
    <n v="1"/>
    <n v="954"/>
    <x v="3"/>
    <s v="Male"/>
    <n v="67"/>
    <n v="2"/>
    <x v="2"/>
    <x v="0"/>
    <x v="1"/>
    <s v="Divorced"/>
    <n v="9705"/>
    <n v="20652"/>
    <n v="2"/>
    <s v="Y"/>
    <s v="No"/>
    <n v="12"/>
    <n v="3"/>
    <n v="2"/>
    <n v="80"/>
    <n v="1"/>
    <n v="11"/>
    <n v="2"/>
    <n v="2"/>
    <x v="6"/>
    <n v="0"/>
    <n v="0"/>
    <n v="0"/>
    <s v="36-45"/>
    <s v="High"/>
    <s v="0-2"/>
    <s v="Mid-Level"/>
    <s v="Standard"/>
    <s v="Low"/>
    <x v="0"/>
  </r>
  <r>
    <n v="26"/>
    <x v="1"/>
    <s v="Travel_Frequently"/>
    <n v="1283"/>
    <x v="0"/>
    <n v="1"/>
    <n v="3"/>
    <s v="Medical"/>
    <n v="1"/>
    <n v="956"/>
    <x v="1"/>
    <s v="Male"/>
    <n v="52"/>
    <n v="2"/>
    <x v="0"/>
    <x v="0"/>
    <x v="3"/>
    <s v="Single"/>
    <n v="4294"/>
    <n v="11148"/>
    <n v="1"/>
    <s v="Y"/>
    <s v="No"/>
    <n v="12"/>
    <n v="3"/>
    <n v="2"/>
    <n v="80"/>
    <n v="0"/>
    <n v="7"/>
    <n v="2"/>
    <n v="3"/>
    <x v="5"/>
    <n v="7"/>
    <n v="0"/>
    <n v="7"/>
    <s v="26-35"/>
    <s v="Medium"/>
    <s v="6-10"/>
    <s v="Mid-Level"/>
    <s v="Standard"/>
    <s v="Low"/>
    <x v="0"/>
  </r>
  <r>
    <n v="41"/>
    <x v="1"/>
    <s v="Travel_Rarely"/>
    <n v="263"/>
    <x v="1"/>
    <n v="6"/>
    <n v="3"/>
    <s v="Medical"/>
    <n v="1"/>
    <n v="957"/>
    <x v="2"/>
    <s v="Male"/>
    <n v="59"/>
    <n v="3"/>
    <x v="1"/>
    <x v="2"/>
    <x v="3"/>
    <s v="Single"/>
    <n v="4721"/>
    <n v="3119"/>
    <n v="2"/>
    <s v="Y"/>
    <s v="Yes"/>
    <n v="13"/>
    <n v="3"/>
    <n v="3"/>
    <n v="80"/>
    <n v="0"/>
    <n v="20"/>
    <n v="3"/>
    <n v="3"/>
    <x v="29"/>
    <n v="13"/>
    <n v="2"/>
    <n v="17"/>
    <s v="36-45"/>
    <s v="Medium"/>
    <s v="16+"/>
    <s v="Senior"/>
    <s v="Standard"/>
    <s v="Low"/>
    <x v="0"/>
  </r>
  <r>
    <n v="36"/>
    <x v="1"/>
    <s v="Travel_Rarely"/>
    <n v="938"/>
    <x v="1"/>
    <n v="2"/>
    <n v="4"/>
    <s v="Medical"/>
    <n v="1"/>
    <n v="958"/>
    <x v="1"/>
    <s v="Male"/>
    <n v="79"/>
    <n v="3"/>
    <x v="1"/>
    <x v="2"/>
    <x v="2"/>
    <s v="Single"/>
    <n v="2519"/>
    <n v="12287"/>
    <n v="4"/>
    <s v="Y"/>
    <s v="No"/>
    <n v="21"/>
    <n v="4"/>
    <n v="3"/>
    <n v="80"/>
    <n v="0"/>
    <n v="16"/>
    <n v="6"/>
    <n v="3"/>
    <x v="19"/>
    <n v="8"/>
    <n v="3"/>
    <n v="9"/>
    <s v="36-45"/>
    <s v="Low"/>
    <s v="11-15"/>
    <s v="Senior"/>
    <s v="Excellent"/>
    <s v="High"/>
    <x v="0"/>
  </r>
  <r>
    <n v="19"/>
    <x v="0"/>
    <s v="Travel_Rarely"/>
    <n v="419"/>
    <x v="0"/>
    <n v="21"/>
    <n v="3"/>
    <s v="Other"/>
    <n v="1"/>
    <n v="959"/>
    <x v="2"/>
    <s v="Male"/>
    <n v="37"/>
    <n v="2"/>
    <x v="1"/>
    <x v="6"/>
    <x v="1"/>
    <s v="Single"/>
    <n v="2121"/>
    <n v="9947"/>
    <n v="1"/>
    <s v="Y"/>
    <s v="Yes"/>
    <n v="13"/>
    <n v="3"/>
    <n v="2"/>
    <n v="80"/>
    <n v="0"/>
    <n v="1"/>
    <n v="3"/>
    <n v="4"/>
    <x v="6"/>
    <n v="0"/>
    <n v="0"/>
    <n v="0"/>
    <s v="18-25"/>
    <s v="Low"/>
    <s v="0-2"/>
    <s v="Junior"/>
    <s v="Standard"/>
    <s v="Low"/>
    <x v="1"/>
  </r>
  <r>
    <n v="20"/>
    <x v="0"/>
    <s v="Travel_Rarely"/>
    <n v="129"/>
    <x v="1"/>
    <n v="4"/>
    <n v="3"/>
    <s v="Technical Degree"/>
    <n v="1"/>
    <n v="960"/>
    <x v="3"/>
    <s v="Male"/>
    <n v="84"/>
    <n v="3"/>
    <x v="1"/>
    <x v="2"/>
    <x v="3"/>
    <s v="Single"/>
    <n v="2973"/>
    <n v="13008"/>
    <n v="1"/>
    <s v="Y"/>
    <s v="No"/>
    <n v="19"/>
    <n v="3"/>
    <n v="2"/>
    <n v="80"/>
    <n v="0"/>
    <n v="1"/>
    <n v="2"/>
    <n v="3"/>
    <x v="6"/>
    <n v="0"/>
    <n v="0"/>
    <n v="0"/>
    <s v="18-25"/>
    <s v="Low"/>
    <s v="0-2"/>
    <s v="Junior"/>
    <s v="Standard"/>
    <s v="Low"/>
    <x v="0"/>
  </r>
  <r>
    <n v="31"/>
    <x v="1"/>
    <s v="Travel_Rarely"/>
    <n v="616"/>
    <x v="1"/>
    <n v="12"/>
    <n v="3"/>
    <s v="Medical"/>
    <n v="1"/>
    <n v="961"/>
    <x v="2"/>
    <s v="Female"/>
    <n v="41"/>
    <n v="3"/>
    <x v="0"/>
    <x v="4"/>
    <x v="0"/>
    <s v="Married"/>
    <n v="5855"/>
    <n v="17369"/>
    <n v="0"/>
    <s v="Y"/>
    <s v="Yes"/>
    <n v="11"/>
    <n v="3"/>
    <n v="3"/>
    <n v="80"/>
    <n v="2"/>
    <n v="10"/>
    <n v="2"/>
    <n v="1"/>
    <x v="7"/>
    <n v="7"/>
    <n v="8"/>
    <n v="5"/>
    <s v="26-35"/>
    <s v="Medium"/>
    <s v="6-10"/>
    <s v="Mid-Level"/>
    <s v="Standard"/>
    <s v="High"/>
    <x v="0"/>
  </r>
  <r>
    <n v="40"/>
    <x v="1"/>
    <s v="Travel_Frequently"/>
    <n v="1469"/>
    <x v="1"/>
    <n v="9"/>
    <n v="4"/>
    <s v="Medical"/>
    <n v="1"/>
    <n v="964"/>
    <x v="2"/>
    <s v="Male"/>
    <n v="35"/>
    <n v="3"/>
    <x v="1"/>
    <x v="1"/>
    <x v="1"/>
    <s v="Divorced"/>
    <n v="3617"/>
    <n v="25063"/>
    <n v="8"/>
    <s v="Y"/>
    <s v="Yes"/>
    <n v="14"/>
    <n v="3"/>
    <n v="4"/>
    <n v="80"/>
    <n v="1"/>
    <n v="3"/>
    <n v="2"/>
    <n v="3"/>
    <x v="6"/>
    <n v="1"/>
    <n v="0"/>
    <n v="0"/>
    <s v="36-45"/>
    <s v="Medium"/>
    <s v="0-2"/>
    <s v="Junior"/>
    <s v="Standard"/>
    <s v="Low"/>
    <x v="1"/>
  </r>
  <r>
    <n v="32"/>
    <x v="1"/>
    <s v="Travel_Rarely"/>
    <n v="498"/>
    <x v="1"/>
    <n v="3"/>
    <n v="4"/>
    <s v="Medical"/>
    <n v="1"/>
    <n v="966"/>
    <x v="1"/>
    <s v="Female"/>
    <n v="93"/>
    <n v="3"/>
    <x v="0"/>
    <x v="3"/>
    <x v="3"/>
    <s v="Married"/>
    <n v="6725"/>
    <n v="13554"/>
    <n v="1"/>
    <s v="Y"/>
    <s v="No"/>
    <n v="12"/>
    <n v="3"/>
    <n v="3"/>
    <n v="80"/>
    <n v="1"/>
    <n v="8"/>
    <n v="2"/>
    <n v="4"/>
    <x v="3"/>
    <n v="7"/>
    <n v="6"/>
    <n v="3"/>
    <s v="26-35"/>
    <s v="High"/>
    <s v="6-10"/>
    <s v="Mid-Level"/>
    <s v="Standard"/>
    <s v="Low"/>
    <x v="0"/>
  </r>
  <r>
    <n v="36"/>
    <x v="0"/>
    <s v="Travel_Rarely"/>
    <n v="530"/>
    <x v="0"/>
    <n v="3"/>
    <n v="1"/>
    <s v="Life Sciences"/>
    <n v="1"/>
    <n v="967"/>
    <x v="1"/>
    <s v="Male"/>
    <n v="51"/>
    <n v="2"/>
    <x v="2"/>
    <x v="0"/>
    <x v="0"/>
    <s v="Married"/>
    <n v="10325"/>
    <n v="5518"/>
    <n v="1"/>
    <s v="Y"/>
    <s v="Yes"/>
    <n v="11"/>
    <n v="3"/>
    <n v="1"/>
    <n v="80"/>
    <n v="1"/>
    <n v="16"/>
    <n v="6"/>
    <n v="3"/>
    <x v="22"/>
    <n v="7"/>
    <n v="3"/>
    <n v="7"/>
    <s v="36-45"/>
    <s v="Very High"/>
    <s v="16+"/>
    <s v="Senior"/>
    <s v="Standard"/>
    <s v="High"/>
    <x v="0"/>
  </r>
  <r>
    <n v="33"/>
    <x v="1"/>
    <s v="Travel_Rarely"/>
    <n v="1069"/>
    <x v="1"/>
    <n v="1"/>
    <n v="3"/>
    <s v="Life Sciences"/>
    <n v="1"/>
    <n v="969"/>
    <x v="0"/>
    <s v="Female"/>
    <n v="42"/>
    <n v="2"/>
    <x v="0"/>
    <x v="4"/>
    <x v="0"/>
    <s v="Single"/>
    <n v="6949"/>
    <n v="12291"/>
    <n v="0"/>
    <s v="Y"/>
    <s v="No"/>
    <n v="14"/>
    <n v="3"/>
    <n v="1"/>
    <n v="80"/>
    <n v="0"/>
    <n v="6"/>
    <n v="3"/>
    <n v="3"/>
    <x v="8"/>
    <n v="0"/>
    <n v="1"/>
    <n v="4"/>
    <s v="26-35"/>
    <s v="High"/>
    <s v="3-5"/>
    <s v="Mid-Level"/>
    <s v="Standard"/>
    <s v="High"/>
    <x v="0"/>
  </r>
  <r>
    <n v="37"/>
    <x v="0"/>
    <s v="Travel_Rarely"/>
    <n v="625"/>
    <x v="0"/>
    <n v="1"/>
    <n v="4"/>
    <s v="Life Sciences"/>
    <n v="1"/>
    <n v="970"/>
    <x v="3"/>
    <s v="Male"/>
    <n v="46"/>
    <n v="2"/>
    <x v="2"/>
    <x v="0"/>
    <x v="2"/>
    <s v="Married"/>
    <n v="10609"/>
    <n v="14922"/>
    <n v="5"/>
    <s v="Y"/>
    <s v="No"/>
    <n v="11"/>
    <n v="3"/>
    <n v="3"/>
    <n v="80"/>
    <n v="0"/>
    <n v="17"/>
    <n v="2"/>
    <n v="1"/>
    <x v="13"/>
    <n v="1"/>
    <n v="11"/>
    <n v="7"/>
    <s v="36-45"/>
    <s v="Very High"/>
    <s v="11-15"/>
    <s v="Senior"/>
    <s v="Standard"/>
    <s v="High"/>
    <x v="0"/>
  </r>
  <r>
    <n v="45"/>
    <x v="1"/>
    <s v="Non-Travel"/>
    <n v="805"/>
    <x v="1"/>
    <n v="4"/>
    <n v="2"/>
    <s v="Life Sciences"/>
    <n v="1"/>
    <n v="972"/>
    <x v="1"/>
    <s v="Male"/>
    <n v="57"/>
    <n v="3"/>
    <x v="0"/>
    <x v="2"/>
    <x v="1"/>
    <s v="Married"/>
    <n v="4447"/>
    <n v="23163"/>
    <n v="1"/>
    <s v="Y"/>
    <s v="No"/>
    <n v="12"/>
    <n v="3"/>
    <n v="2"/>
    <n v="80"/>
    <n v="0"/>
    <n v="9"/>
    <n v="5"/>
    <n v="2"/>
    <x v="7"/>
    <n v="7"/>
    <n v="0"/>
    <n v="8"/>
    <s v="36-45"/>
    <s v="Medium"/>
    <s v="6-10"/>
    <s v="Mid-Level"/>
    <s v="Standard"/>
    <s v="Low"/>
    <x v="0"/>
  </r>
  <r>
    <n v="29"/>
    <x v="1"/>
    <s v="Travel_Frequently"/>
    <n v="1404"/>
    <x v="0"/>
    <n v="20"/>
    <n v="3"/>
    <s v="Technical Degree"/>
    <n v="1"/>
    <n v="974"/>
    <x v="1"/>
    <s v="Female"/>
    <n v="84"/>
    <n v="3"/>
    <x v="1"/>
    <x v="6"/>
    <x v="0"/>
    <s v="Married"/>
    <n v="2157"/>
    <n v="18203"/>
    <n v="1"/>
    <s v="Y"/>
    <s v="No"/>
    <n v="15"/>
    <n v="3"/>
    <n v="2"/>
    <n v="80"/>
    <n v="1"/>
    <n v="3"/>
    <n v="5"/>
    <n v="3"/>
    <x v="11"/>
    <n v="1"/>
    <n v="0"/>
    <n v="2"/>
    <s v="26-35"/>
    <s v="Low"/>
    <s v="3-5"/>
    <s v="Junior"/>
    <s v="Standard"/>
    <s v="High"/>
    <x v="0"/>
  </r>
  <r>
    <n v="35"/>
    <x v="1"/>
    <s v="Travel_Rarely"/>
    <n v="1219"/>
    <x v="0"/>
    <n v="18"/>
    <n v="3"/>
    <s v="Medical"/>
    <n v="1"/>
    <n v="975"/>
    <x v="1"/>
    <s v="Female"/>
    <n v="86"/>
    <n v="3"/>
    <x v="0"/>
    <x v="0"/>
    <x v="2"/>
    <s v="Married"/>
    <n v="4601"/>
    <n v="6179"/>
    <n v="1"/>
    <s v="Y"/>
    <s v="No"/>
    <n v="16"/>
    <n v="3"/>
    <n v="2"/>
    <n v="80"/>
    <n v="0"/>
    <n v="5"/>
    <n v="3"/>
    <n v="3"/>
    <x v="8"/>
    <n v="2"/>
    <n v="1"/>
    <n v="0"/>
    <s v="26-35"/>
    <s v="Medium"/>
    <s v="3-5"/>
    <s v="Junior"/>
    <s v="Standard"/>
    <s v="High"/>
    <x v="0"/>
  </r>
  <r>
    <n v="52"/>
    <x v="1"/>
    <s v="Travel_Rarely"/>
    <n v="1053"/>
    <x v="1"/>
    <n v="1"/>
    <n v="2"/>
    <s v="Life Sciences"/>
    <n v="1"/>
    <n v="976"/>
    <x v="2"/>
    <s v="Male"/>
    <n v="70"/>
    <n v="3"/>
    <x v="3"/>
    <x v="5"/>
    <x v="0"/>
    <s v="Married"/>
    <n v="17099"/>
    <n v="13829"/>
    <n v="2"/>
    <s v="Y"/>
    <s v="No"/>
    <n v="15"/>
    <n v="3"/>
    <n v="2"/>
    <n v="80"/>
    <n v="1"/>
    <n v="26"/>
    <n v="2"/>
    <n v="2"/>
    <x v="7"/>
    <n v="8"/>
    <n v="7"/>
    <n v="8"/>
    <s v="46-55"/>
    <s v="Very High"/>
    <s v="6-10"/>
    <s v="Senior"/>
    <s v="Standard"/>
    <s v="High"/>
    <x v="0"/>
  </r>
  <r>
    <n v="58"/>
    <x v="0"/>
    <s v="Travel_Rarely"/>
    <n v="289"/>
    <x v="1"/>
    <n v="2"/>
    <n v="3"/>
    <s v="Technical Degree"/>
    <n v="1"/>
    <n v="977"/>
    <x v="2"/>
    <s v="Male"/>
    <n v="51"/>
    <n v="3"/>
    <x v="1"/>
    <x v="1"/>
    <x v="2"/>
    <s v="Single"/>
    <n v="2479"/>
    <n v="26227"/>
    <n v="4"/>
    <s v="Y"/>
    <s v="No"/>
    <n v="24"/>
    <n v="4"/>
    <n v="1"/>
    <n v="80"/>
    <n v="0"/>
    <n v="7"/>
    <n v="4"/>
    <n v="3"/>
    <x v="6"/>
    <n v="0"/>
    <n v="0"/>
    <n v="0"/>
    <s v="56+"/>
    <s v="Low"/>
    <s v="0-2"/>
    <s v="Mid-Level"/>
    <s v="Excellent"/>
    <s v="High"/>
    <x v="0"/>
  </r>
  <r>
    <n v="53"/>
    <x v="1"/>
    <s v="Travel_Rarely"/>
    <n v="1376"/>
    <x v="0"/>
    <n v="2"/>
    <n v="2"/>
    <s v="Medical"/>
    <n v="1"/>
    <n v="981"/>
    <x v="1"/>
    <s v="Male"/>
    <n v="45"/>
    <n v="3"/>
    <x v="3"/>
    <x v="5"/>
    <x v="2"/>
    <s v="Divorced"/>
    <n v="14852"/>
    <n v="13938"/>
    <n v="6"/>
    <s v="Y"/>
    <s v="No"/>
    <n v="13"/>
    <n v="3"/>
    <n v="3"/>
    <n v="80"/>
    <n v="1"/>
    <n v="22"/>
    <n v="3"/>
    <n v="4"/>
    <x v="18"/>
    <n v="13"/>
    <n v="15"/>
    <n v="2"/>
    <s v="46-55"/>
    <s v="Very High"/>
    <s v="16+"/>
    <s v="Senior"/>
    <s v="Standard"/>
    <s v="High"/>
    <x v="0"/>
  </r>
  <r>
    <n v="30"/>
    <x v="1"/>
    <s v="Travel_Rarely"/>
    <n v="231"/>
    <x v="0"/>
    <n v="8"/>
    <n v="2"/>
    <s v="Other"/>
    <n v="1"/>
    <n v="982"/>
    <x v="1"/>
    <s v="Male"/>
    <n v="62"/>
    <n v="3"/>
    <x v="2"/>
    <x v="0"/>
    <x v="2"/>
    <s v="Divorced"/>
    <n v="7264"/>
    <n v="9977"/>
    <n v="5"/>
    <s v="Y"/>
    <s v="No"/>
    <n v="11"/>
    <n v="3"/>
    <n v="1"/>
    <n v="80"/>
    <n v="1"/>
    <n v="10"/>
    <n v="2"/>
    <n v="4"/>
    <x v="3"/>
    <n v="4"/>
    <n v="7"/>
    <n v="7"/>
    <s v="26-35"/>
    <s v="High"/>
    <s v="6-10"/>
    <s v="Mid-Level"/>
    <s v="Standard"/>
    <s v="High"/>
    <x v="0"/>
  </r>
  <r>
    <n v="38"/>
    <x v="1"/>
    <s v="Non-Travel"/>
    <n v="152"/>
    <x v="0"/>
    <n v="10"/>
    <n v="3"/>
    <s v="Technical Degree"/>
    <n v="1"/>
    <n v="983"/>
    <x v="1"/>
    <s v="Female"/>
    <n v="85"/>
    <n v="3"/>
    <x v="0"/>
    <x v="0"/>
    <x v="0"/>
    <s v="Single"/>
    <n v="5666"/>
    <n v="19899"/>
    <n v="1"/>
    <s v="Y"/>
    <s v="Yes"/>
    <n v="13"/>
    <n v="3"/>
    <n v="2"/>
    <n v="80"/>
    <n v="0"/>
    <n v="6"/>
    <n v="1"/>
    <n v="3"/>
    <x v="8"/>
    <n v="3"/>
    <n v="1"/>
    <n v="3"/>
    <s v="36-45"/>
    <s v="Medium"/>
    <s v="3-5"/>
    <s v="Mid-Level"/>
    <s v="Standard"/>
    <s v="High"/>
    <x v="0"/>
  </r>
  <r>
    <n v="35"/>
    <x v="1"/>
    <s v="Travel_Rarely"/>
    <n v="882"/>
    <x v="0"/>
    <n v="3"/>
    <n v="4"/>
    <s v="Life Sciences"/>
    <n v="1"/>
    <n v="984"/>
    <x v="2"/>
    <s v="Male"/>
    <n v="92"/>
    <n v="3"/>
    <x v="2"/>
    <x v="0"/>
    <x v="0"/>
    <s v="Divorced"/>
    <n v="7823"/>
    <n v="6812"/>
    <n v="6"/>
    <s v="Y"/>
    <s v="No"/>
    <n v="13"/>
    <n v="3"/>
    <n v="2"/>
    <n v="80"/>
    <n v="1"/>
    <n v="12"/>
    <n v="2"/>
    <n v="3"/>
    <x v="1"/>
    <n v="9"/>
    <n v="0"/>
    <n v="8"/>
    <s v="26-35"/>
    <s v="High"/>
    <s v="6-10"/>
    <s v="Mid-Level"/>
    <s v="Standard"/>
    <s v="High"/>
    <x v="0"/>
  </r>
  <r>
    <n v="39"/>
    <x v="1"/>
    <s v="Travel_Rarely"/>
    <n v="903"/>
    <x v="0"/>
    <n v="2"/>
    <n v="5"/>
    <s v="Life Sciences"/>
    <n v="1"/>
    <n v="985"/>
    <x v="3"/>
    <s v="Male"/>
    <n v="41"/>
    <n v="4"/>
    <x v="2"/>
    <x v="0"/>
    <x v="2"/>
    <s v="Single"/>
    <n v="7880"/>
    <n v="2560"/>
    <n v="0"/>
    <s v="Y"/>
    <s v="No"/>
    <n v="18"/>
    <n v="3"/>
    <n v="4"/>
    <n v="80"/>
    <n v="0"/>
    <n v="9"/>
    <n v="3"/>
    <n v="3"/>
    <x v="3"/>
    <n v="7"/>
    <n v="0"/>
    <n v="7"/>
    <s v="36-45"/>
    <s v="High"/>
    <s v="6-10"/>
    <s v="Mid-Level"/>
    <s v="Standard"/>
    <s v="High"/>
    <x v="0"/>
  </r>
  <r>
    <n v="40"/>
    <x v="0"/>
    <s v="Non-Travel"/>
    <n v="1479"/>
    <x v="0"/>
    <n v="24"/>
    <n v="3"/>
    <s v="Life Sciences"/>
    <n v="1"/>
    <n v="986"/>
    <x v="0"/>
    <s v="Female"/>
    <n v="100"/>
    <n v="4"/>
    <x v="3"/>
    <x v="0"/>
    <x v="1"/>
    <s v="Single"/>
    <n v="13194"/>
    <n v="17071"/>
    <n v="4"/>
    <s v="Y"/>
    <s v="Yes"/>
    <n v="16"/>
    <n v="3"/>
    <n v="4"/>
    <n v="80"/>
    <n v="0"/>
    <n v="22"/>
    <n v="2"/>
    <n v="2"/>
    <x v="6"/>
    <n v="0"/>
    <n v="0"/>
    <n v="0"/>
    <s v="36-45"/>
    <s v="Very High"/>
    <s v="0-2"/>
    <s v="Senior"/>
    <s v="Standard"/>
    <s v="Low"/>
    <x v="1"/>
  </r>
  <r>
    <n v="47"/>
    <x v="1"/>
    <s v="Travel_Frequently"/>
    <n v="1379"/>
    <x v="1"/>
    <n v="16"/>
    <n v="4"/>
    <s v="Medical"/>
    <n v="1"/>
    <n v="987"/>
    <x v="1"/>
    <s v="Male"/>
    <n v="64"/>
    <n v="4"/>
    <x v="0"/>
    <x v="3"/>
    <x v="2"/>
    <s v="Divorced"/>
    <n v="5067"/>
    <n v="6759"/>
    <n v="1"/>
    <s v="Y"/>
    <s v="Yes"/>
    <n v="19"/>
    <n v="3"/>
    <n v="3"/>
    <n v="80"/>
    <n v="0"/>
    <n v="20"/>
    <n v="3"/>
    <n v="4"/>
    <x v="27"/>
    <n v="10"/>
    <n v="2"/>
    <n v="7"/>
    <s v="46-55"/>
    <s v="Medium"/>
    <s v="16+"/>
    <s v="Senior"/>
    <s v="Standard"/>
    <s v="High"/>
    <x v="0"/>
  </r>
  <r>
    <n v="36"/>
    <x v="1"/>
    <s v="Non-Travel"/>
    <n v="1229"/>
    <x v="0"/>
    <n v="8"/>
    <n v="4"/>
    <s v="Technical Degree"/>
    <n v="1"/>
    <n v="990"/>
    <x v="3"/>
    <s v="Male"/>
    <n v="84"/>
    <n v="3"/>
    <x v="0"/>
    <x v="0"/>
    <x v="0"/>
    <s v="Divorced"/>
    <n v="5079"/>
    <n v="25952"/>
    <n v="4"/>
    <s v="Y"/>
    <s v="No"/>
    <n v="13"/>
    <n v="3"/>
    <n v="4"/>
    <n v="80"/>
    <n v="2"/>
    <n v="12"/>
    <n v="3"/>
    <n v="3"/>
    <x v="5"/>
    <n v="7"/>
    <n v="0"/>
    <n v="7"/>
    <s v="36-45"/>
    <s v="Medium"/>
    <s v="6-10"/>
    <s v="Mid-Level"/>
    <s v="Standard"/>
    <s v="High"/>
    <x v="0"/>
  </r>
  <r>
    <n v="31"/>
    <x v="0"/>
    <s v="Non-Travel"/>
    <n v="335"/>
    <x v="1"/>
    <n v="9"/>
    <n v="2"/>
    <s v="Medical"/>
    <n v="1"/>
    <n v="991"/>
    <x v="1"/>
    <s v="Male"/>
    <n v="46"/>
    <n v="2"/>
    <x v="1"/>
    <x v="1"/>
    <x v="3"/>
    <s v="Single"/>
    <n v="2321"/>
    <n v="10322"/>
    <n v="0"/>
    <s v="Y"/>
    <s v="Yes"/>
    <n v="22"/>
    <n v="4"/>
    <n v="1"/>
    <n v="80"/>
    <n v="0"/>
    <n v="4"/>
    <n v="0"/>
    <n v="3"/>
    <x v="11"/>
    <n v="2"/>
    <n v="1"/>
    <n v="2"/>
    <s v="26-35"/>
    <s v="Low"/>
    <s v="3-5"/>
    <s v="Junior"/>
    <s v="Excellent"/>
    <s v="Low"/>
    <x v="0"/>
  </r>
  <r>
    <n v="33"/>
    <x v="1"/>
    <s v="Non-Travel"/>
    <n v="722"/>
    <x v="0"/>
    <n v="17"/>
    <n v="3"/>
    <s v="Life Sciences"/>
    <n v="1"/>
    <n v="992"/>
    <x v="2"/>
    <s v="Male"/>
    <n v="38"/>
    <n v="3"/>
    <x v="3"/>
    <x v="5"/>
    <x v="2"/>
    <s v="Single"/>
    <n v="17444"/>
    <n v="20489"/>
    <n v="1"/>
    <s v="Y"/>
    <s v="No"/>
    <n v="11"/>
    <n v="3"/>
    <n v="4"/>
    <n v="80"/>
    <n v="0"/>
    <n v="10"/>
    <n v="2"/>
    <n v="3"/>
    <x v="1"/>
    <n v="8"/>
    <n v="6"/>
    <n v="0"/>
    <s v="26-35"/>
    <s v="Very High"/>
    <s v="6-10"/>
    <s v="Mid-Level"/>
    <s v="Standard"/>
    <s v="High"/>
    <x v="0"/>
  </r>
  <r>
    <n v="29"/>
    <x v="0"/>
    <s v="Travel_Rarely"/>
    <n v="906"/>
    <x v="1"/>
    <n v="10"/>
    <n v="3"/>
    <s v="Life Sciences"/>
    <n v="1"/>
    <n v="994"/>
    <x v="2"/>
    <s v="Female"/>
    <n v="92"/>
    <n v="2"/>
    <x v="1"/>
    <x v="1"/>
    <x v="3"/>
    <s v="Single"/>
    <n v="2404"/>
    <n v="11479"/>
    <n v="6"/>
    <s v="Y"/>
    <s v="Yes"/>
    <n v="20"/>
    <n v="4"/>
    <n v="3"/>
    <n v="80"/>
    <n v="0"/>
    <n v="3"/>
    <n v="5"/>
    <n v="3"/>
    <x v="2"/>
    <n v="0"/>
    <n v="0"/>
    <n v="0"/>
    <s v="26-35"/>
    <s v="Low"/>
    <s v="0-2"/>
    <s v="Junior"/>
    <s v="Excellent"/>
    <s v="Low"/>
    <x v="1"/>
  </r>
  <r>
    <n v="33"/>
    <x v="1"/>
    <s v="Travel_Rarely"/>
    <n v="461"/>
    <x v="1"/>
    <n v="13"/>
    <n v="1"/>
    <s v="Life Sciences"/>
    <n v="1"/>
    <n v="995"/>
    <x v="0"/>
    <s v="Female"/>
    <n v="53"/>
    <n v="3"/>
    <x v="1"/>
    <x v="1"/>
    <x v="0"/>
    <s v="Single"/>
    <n v="3452"/>
    <n v="17241"/>
    <n v="3"/>
    <s v="Y"/>
    <s v="No"/>
    <n v="18"/>
    <n v="3"/>
    <n v="1"/>
    <n v="80"/>
    <n v="0"/>
    <n v="5"/>
    <n v="4"/>
    <n v="3"/>
    <x v="11"/>
    <n v="2"/>
    <n v="0"/>
    <n v="2"/>
    <s v="26-35"/>
    <s v="Medium"/>
    <s v="3-5"/>
    <s v="Junior"/>
    <s v="Standard"/>
    <s v="High"/>
    <x v="0"/>
  </r>
  <r>
    <n v="45"/>
    <x v="1"/>
    <s v="Travel_Rarely"/>
    <n v="974"/>
    <x v="1"/>
    <n v="1"/>
    <n v="4"/>
    <s v="Medical"/>
    <n v="1"/>
    <n v="996"/>
    <x v="2"/>
    <s v="Female"/>
    <n v="91"/>
    <n v="3"/>
    <x v="1"/>
    <x v="2"/>
    <x v="0"/>
    <s v="Divorced"/>
    <n v="2270"/>
    <n v="11005"/>
    <n v="3"/>
    <s v="Y"/>
    <s v="No"/>
    <n v="14"/>
    <n v="3"/>
    <n v="4"/>
    <n v="80"/>
    <n v="2"/>
    <n v="8"/>
    <n v="2"/>
    <n v="3"/>
    <x v="8"/>
    <n v="3"/>
    <n v="0"/>
    <n v="2"/>
    <s v="36-45"/>
    <s v="Low"/>
    <s v="3-5"/>
    <s v="Mid-Level"/>
    <s v="Standard"/>
    <s v="High"/>
    <x v="0"/>
  </r>
  <r>
    <n v="50"/>
    <x v="1"/>
    <s v="Travel_Rarely"/>
    <n v="1126"/>
    <x v="1"/>
    <n v="1"/>
    <n v="2"/>
    <s v="Medical"/>
    <n v="1"/>
    <n v="997"/>
    <x v="2"/>
    <s v="Male"/>
    <n v="66"/>
    <n v="3"/>
    <x v="3"/>
    <x v="7"/>
    <x v="0"/>
    <s v="Divorced"/>
    <n v="17399"/>
    <n v="6615"/>
    <n v="9"/>
    <s v="Y"/>
    <s v="No"/>
    <n v="22"/>
    <n v="4"/>
    <n v="3"/>
    <n v="80"/>
    <n v="1"/>
    <n v="32"/>
    <n v="1"/>
    <n v="2"/>
    <x v="8"/>
    <n v="4"/>
    <n v="1"/>
    <n v="3"/>
    <s v="46-55"/>
    <s v="Very High"/>
    <s v="3-5"/>
    <s v="Senior"/>
    <s v="Excellent"/>
    <s v="High"/>
    <x v="0"/>
  </r>
  <r>
    <n v="33"/>
    <x v="1"/>
    <s v="Travel_Frequently"/>
    <n v="827"/>
    <x v="1"/>
    <n v="1"/>
    <n v="4"/>
    <s v="Other"/>
    <n v="1"/>
    <n v="998"/>
    <x v="1"/>
    <s v="Female"/>
    <n v="84"/>
    <n v="4"/>
    <x v="0"/>
    <x v="4"/>
    <x v="1"/>
    <s v="Married"/>
    <n v="5488"/>
    <n v="20161"/>
    <n v="1"/>
    <s v="Y"/>
    <s v="Yes"/>
    <n v="13"/>
    <n v="3"/>
    <n v="1"/>
    <n v="80"/>
    <n v="1"/>
    <n v="6"/>
    <n v="2"/>
    <n v="3"/>
    <x v="0"/>
    <n v="5"/>
    <n v="1"/>
    <n v="2"/>
    <s v="26-35"/>
    <s v="Medium"/>
    <s v="6-10"/>
    <s v="Mid-Level"/>
    <s v="Standard"/>
    <s v="Low"/>
    <x v="0"/>
  </r>
  <r>
    <n v="41"/>
    <x v="1"/>
    <s v="Travel_Frequently"/>
    <n v="840"/>
    <x v="1"/>
    <n v="9"/>
    <n v="3"/>
    <s v="Medical"/>
    <n v="1"/>
    <n v="999"/>
    <x v="3"/>
    <s v="Male"/>
    <n v="64"/>
    <n v="3"/>
    <x v="4"/>
    <x v="7"/>
    <x v="2"/>
    <s v="Divorced"/>
    <n v="19419"/>
    <n v="3735"/>
    <n v="2"/>
    <s v="Y"/>
    <s v="No"/>
    <n v="17"/>
    <n v="3"/>
    <n v="2"/>
    <n v="80"/>
    <n v="1"/>
    <n v="21"/>
    <n v="2"/>
    <n v="4"/>
    <x v="29"/>
    <n v="16"/>
    <n v="0"/>
    <n v="11"/>
    <s v="36-45"/>
    <s v="Very High"/>
    <s v="16+"/>
    <s v="Senior"/>
    <s v="Standard"/>
    <s v="High"/>
    <x v="0"/>
  </r>
  <r>
    <n v="27"/>
    <x v="1"/>
    <s v="Travel_Rarely"/>
    <n v="1134"/>
    <x v="1"/>
    <n v="16"/>
    <n v="4"/>
    <s v="Technical Degree"/>
    <n v="1"/>
    <n v="1001"/>
    <x v="1"/>
    <s v="Female"/>
    <n v="37"/>
    <n v="3"/>
    <x v="1"/>
    <x v="2"/>
    <x v="1"/>
    <s v="Married"/>
    <n v="2811"/>
    <n v="12086"/>
    <n v="9"/>
    <s v="Y"/>
    <s v="No"/>
    <n v="14"/>
    <n v="3"/>
    <n v="2"/>
    <n v="80"/>
    <n v="1"/>
    <n v="4"/>
    <n v="2"/>
    <n v="3"/>
    <x v="4"/>
    <n v="2"/>
    <n v="2"/>
    <n v="2"/>
    <s v="26-35"/>
    <s v="Low"/>
    <s v="0-2"/>
    <s v="Junior"/>
    <s v="Standard"/>
    <s v="Low"/>
    <x v="0"/>
  </r>
  <r>
    <n v="45"/>
    <x v="1"/>
    <s v="Non-Travel"/>
    <n v="248"/>
    <x v="1"/>
    <n v="23"/>
    <n v="2"/>
    <s v="Life Sciences"/>
    <n v="1"/>
    <n v="1002"/>
    <x v="2"/>
    <s v="Male"/>
    <n v="42"/>
    <n v="3"/>
    <x v="0"/>
    <x v="2"/>
    <x v="3"/>
    <s v="Married"/>
    <n v="3633"/>
    <n v="14039"/>
    <n v="1"/>
    <s v="Y"/>
    <s v="Yes"/>
    <n v="15"/>
    <n v="3"/>
    <n v="3"/>
    <n v="80"/>
    <n v="1"/>
    <n v="9"/>
    <n v="2"/>
    <n v="3"/>
    <x v="7"/>
    <n v="8"/>
    <n v="0"/>
    <n v="8"/>
    <s v="36-45"/>
    <s v="Medium"/>
    <s v="6-10"/>
    <s v="Mid-Level"/>
    <s v="Standard"/>
    <s v="Low"/>
    <x v="0"/>
  </r>
  <r>
    <n v="47"/>
    <x v="1"/>
    <s v="Travel_Rarely"/>
    <n v="955"/>
    <x v="0"/>
    <n v="4"/>
    <n v="2"/>
    <s v="Life Sciences"/>
    <n v="1"/>
    <n v="1003"/>
    <x v="2"/>
    <s v="Female"/>
    <n v="83"/>
    <n v="3"/>
    <x v="0"/>
    <x v="0"/>
    <x v="0"/>
    <s v="Single"/>
    <n v="4163"/>
    <n v="8571"/>
    <n v="1"/>
    <s v="Y"/>
    <s v="Yes"/>
    <n v="17"/>
    <n v="3"/>
    <n v="3"/>
    <n v="80"/>
    <n v="0"/>
    <n v="9"/>
    <n v="0"/>
    <n v="3"/>
    <x v="7"/>
    <n v="0"/>
    <n v="0"/>
    <n v="7"/>
    <s v="46-55"/>
    <s v="Medium"/>
    <s v="6-10"/>
    <s v="Mid-Level"/>
    <s v="Standard"/>
    <s v="High"/>
    <x v="0"/>
  </r>
  <r>
    <n v="30"/>
    <x v="0"/>
    <s v="Travel_Rarely"/>
    <n v="138"/>
    <x v="1"/>
    <n v="22"/>
    <n v="3"/>
    <s v="Life Sciences"/>
    <n v="1"/>
    <n v="1004"/>
    <x v="3"/>
    <s v="Female"/>
    <n v="48"/>
    <n v="3"/>
    <x v="1"/>
    <x v="1"/>
    <x v="2"/>
    <s v="Married"/>
    <n v="2132"/>
    <n v="11539"/>
    <n v="4"/>
    <s v="Y"/>
    <s v="Yes"/>
    <n v="11"/>
    <n v="3"/>
    <n v="2"/>
    <n v="80"/>
    <n v="0"/>
    <n v="7"/>
    <n v="2"/>
    <n v="3"/>
    <x v="8"/>
    <n v="2"/>
    <n v="0"/>
    <n v="1"/>
    <s v="26-35"/>
    <s v="Low"/>
    <s v="3-5"/>
    <s v="Mid-Level"/>
    <s v="Standard"/>
    <s v="High"/>
    <x v="0"/>
  </r>
  <r>
    <n v="50"/>
    <x v="1"/>
    <s v="Travel_Rarely"/>
    <n v="939"/>
    <x v="1"/>
    <n v="24"/>
    <n v="3"/>
    <s v="Life Sciences"/>
    <n v="1"/>
    <n v="1005"/>
    <x v="2"/>
    <s v="Male"/>
    <n v="95"/>
    <n v="3"/>
    <x v="3"/>
    <x v="3"/>
    <x v="2"/>
    <s v="Married"/>
    <n v="13973"/>
    <n v="4161"/>
    <n v="3"/>
    <s v="Y"/>
    <s v="Yes"/>
    <n v="18"/>
    <n v="3"/>
    <n v="4"/>
    <n v="80"/>
    <n v="1"/>
    <n v="22"/>
    <n v="2"/>
    <n v="3"/>
    <x v="12"/>
    <n v="11"/>
    <n v="1"/>
    <n v="5"/>
    <s v="46-55"/>
    <s v="Very High"/>
    <s v="11-15"/>
    <s v="Senior"/>
    <s v="Standard"/>
    <s v="High"/>
    <x v="0"/>
  </r>
  <r>
    <n v="38"/>
    <x v="1"/>
    <s v="Travel_Frequently"/>
    <n v="1391"/>
    <x v="1"/>
    <n v="10"/>
    <n v="1"/>
    <s v="Medical"/>
    <n v="1"/>
    <n v="1006"/>
    <x v="1"/>
    <s v="Male"/>
    <n v="66"/>
    <n v="3"/>
    <x v="1"/>
    <x v="1"/>
    <x v="2"/>
    <s v="Married"/>
    <n v="2684"/>
    <n v="12127"/>
    <n v="0"/>
    <s v="Y"/>
    <s v="No"/>
    <n v="17"/>
    <n v="3"/>
    <n v="2"/>
    <n v="80"/>
    <n v="1"/>
    <n v="3"/>
    <n v="0"/>
    <n v="2"/>
    <x v="4"/>
    <n v="1"/>
    <n v="0"/>
    <n v="2"/>
    <s v="36-45"/>
    <s v="Low"/>
    <s v="0-2"/>
    <s v="Junior"/>
    <s v="Standard"/>
    <s v="High"/>
    <x v="0"/>
  </r>
  <r>
    <n v="46"/>
    <x v="1"/>
    <s v="Travel_Rarely"/>
    <n v="566"/>
    <x v="1"/>
    <n v="7"/>
    <n v="2"/>
    <s v="Medical"/>
    <n v="1"/>
    <n v="1007"/>
    <x v="2"/>
    <s v="Male"/>
    <n v="75"/>
    <n v="3"/>
    <x v="2"/>
    <x v="3"/>
    <x v="2"/>
    <s v="Divorced"/>
    <n v="10845"/>
    <n v="24208"/>
    <n v="6"/>
    <s v="Y"/>
    <s v="No"/>
    <n v="13"/>
    <n v="3"/>
    <n v="2"/>
    <n v="80"/>
    <n v="1"/>
    <n v="13"/>
    <n v="3"/>
    <n v="3"/>
    <x v="3"/>
    <n v="7"/>
    <n v="0"/>
    <n v="7"/>
    <s v="46-55"/>
    <s v="Very High"/>
    <s v="6-10"/>
    <s v="Mid-Level"/>
    <s v="Standard"/>
    <s v="High"/>
    <x v="0"/>
  </r>
  <r>
    <n v="24"/>
    <x v="1"/>
    <s v="Travel_Rarely"/>
    <n v="1206"/>
    <x v="1"/>
    <n v="17"/>
    <n v="1"/>
    <s v="Medical"/>
    <n v="1"/>
    <n v="1009"/>
    <x v="2"/>
    <s v="Female"/>
    <n v="41"/>
    <n v="2"/>
    <x v="0"/>
    <x v="3"/>
    <x v="2"/>
    <s v="Divorced"/>
    <n v="4377"/>
    <n v="24117"/>
    <n v="1"/>
    <s v="Y"/>
    <s v="No"/>
    <n v="15"/>
    <n v="3"/>
    <n v="2"/>
    <n v="80"/>
    <n v="2"/>
    <n v="5"/>
    <n v="6"/>
    <n v="3"/>
    <x v="9"/>
    <n v="2"/>
    <n v="3"/>
    <n v="2"/>
    <s v="18-25"/>
    <s v="Medium"/>
    <s v="3-5"/>
    <s v="Junior"/>
    <s v="Standard"/>
    <s v="High"/>
    <x v="0"/>
  </r>
  <r>
    <n v="35"/>
    <x v="0"/>
    <s v="Travel_Rarely"/>
    <n v="622"/>
    <x v="1"/>
    <n v="14"/>
    <n v="4"/>
    <s v="Other"/>
    <n v="1"/>
    <n v="1010"/>
    <x v="1"/>
    <s v="Male"/>
    <n v="39"/>
    <n v="2"/>
    <x v="1"/>
    <x v="2"/>
    <x v="1"/>
    <s v="Divorced"/>
    <n v="3743"/>
    <n v="10074"/>
    <n v="1"/>
    <s v="Y"/>
    <s v="Yes"/>
    <n v="24"/>
    <n v="4"/>
    <n v="4"/>
    <n v="80"/>
    <n v="1"/>
    <n v="5"/>
    <n v="2"/>
    <n v="1"/>
    <x v="9"/>
    <n v="2"/>
    <n v="0"/>
    <n v="2"/>
    <s v="26-35"/>
    <s v="Medium"/>
    <s v="3-5"/>
    <s v="Junior"/>
    <s v="Excellent"/>
    <s v="Low"/>
    <x v="0"/>
  </r>
  <r>
    <n v="31"/>
    <x v="1"/>
    <s v="Travel_Frequently"/>
    <n v="853"/>
    <x v="1"/>
    <n v="1"/>
    <n v="1"/>
    <s v="Life Sciences"/>
    <n v="1"/>
    <n v="1011"/>
    <x v="1"/>
    <s v="Female"/>
    <n v="96"/>
    <n v="3"/>
    <x v="0"/>
    <x v="3"/>
    <x v="3"/>
    <s v="Married"/>
    <n v="4148"/>
    <n v="11275"/>
    <n v="1"/>
    <s v="Y"/>
    <s v="No"/>
    <n v="12"/>
    <n v="3"/>
    <n v="3"/>
    <n v="80"/>
    <n v="1"/>
    <n v="4"/>
    <n v="1"/>
    <n v="3"/>
    <x v="9"/>
    <n v="3"/>
    <n v="0"/>
    <n v="3"/>
    <s v="26-35"/>
    <s v="Medium"/>
    <s v="3-5"/>
    <s v="Junior"/>
    <s v="Standard"/>
    <s v="Low"/>
    <x v="0"/>
  </r>
  <r>
    <n v="18"/>
    <x v="1"/>
    <s v="Non-Travel"/>
    <n v="287"/>
    <x v="1"/>
    <n v="5"/>
    <n v="2"/>
    <s v="Life Sciences"/>
    <n v="1"/>
    <n v="1012"/>
    <x v="0"/>
    <s v="Male"/>
    <n v="73"/>
    <n v="3"/>
    <x v="1"/>
    <x v="1"/>
    <x v="0"/>
    <s v="Single"/>
    <n v="1051"/>
    <n v="13493"/>
    <n v="1"/>
    <s v="Y"/>
    <s v="No"/>
    <n v="15"/>
    <n v="3"/>
    <n v="4"/>
    <n v="80"/>
    <n v="0"/>
    <n v="0"/>
    <n v="2"/>
    <n v="3"/>
    <x v="2"/>
    <n v="0"/>
    <n v="0"/>
    <n v="0"/>
    <s v="18-25"/>
    <s v="Low"/>
    <s v="0-2"/>
    <s v="Junior"/>
    <s v="Standard"/>
    <s v="High"/>
    <x v="0"/>
  </r>
  <r>
    <n v="54"/>
    <x v="1"/>
    <s v="Travel_Rarely"/>
    <n v="1441"/>
    <x v="1"/>
    <n v="17"/>
    <n v="3"/>
    <s v="Technical Degree"/>
    <n v="1"/>
    <n v="1013"/>
    <x v="1"/>
    <s v="Female"/>
    <n v="56"/>
    <n v="3"/>
    <x v="2"/>
    <x v="3"/>
    <x v="2"/>
    <s v="Married"/>
    <n v="10739"/>
    <n v="13943"/>
    <n v="8"/>
    <s v="Y"/>
    <s v="No"/>
    <n v="11"/>
    <n v="3"/>
    <n v="3"/>
    <n v="80"/>
    <n v="1"/>
    <n v="22"/>
    <n v="2"/>
    <n v="3"/>
    <x v="1"/>
    <n v="7"/>
    <n v="0"/>
    <n v="8"/>
    <s v="46-55"/>
    <s v="Very High"/>
    <s v="6-10"/>
    <s v="Senior"/>
    <s v="Standard"/>
    <s v="High"/>
    <x v="0"/>
  </r>
  <r>
    <n v="35"/>
    <x v="1"/>
    <s v="Travel_Rarely"/>
    <n v="583"/>
    <x v="1"/>
    <n v="25"/>
    <n v="4"/>
    <s v="Medical"/>
    <n v="1"/>
    <n v="1014"/>
    <x v="1"/>
    <s v="Female"/>
    <n v="57"/>
    <n v="3"/>
    <x v="2"/>
    <x v="4"/>
    <x v="2"/>
    <s v="Divorced"/>
    <n v="10388"/>
    <n v="6975"/>
    <n v="1"/>
    <s v="Y"/>
    <s v="Yes"/>
    <n v="11"/>
    <n v="3"/>
    <n v="3"/>
    <n v="80"/>
    <n v="1"/>
    <n v="16"/>
    <n v="3"/>
    <n v="2"/>
    <x v="22"/>
    <n v="10"/>
    <n v="10"/>
    <n v="1"/>
    <s v="26-35"/>
    <s v="Very High"/>
    <s v="16+"/>
    <s v="Senior"/>
    <s v="Standard"/>
    <s v="High"/>
    <x v="0"/>
  </r>
  <r>
    <n v="30"/>
    <x v="1"/>
    <s v="Travel_Rarely"/>
    <n v="153"/>
    <x v="1"/>
    <n v="8"/>
    <n v="2"/>
    <s v="Life Sciences"/>
    <n v="1"/>
    <n v="1015"/>
    <x v="0"/>
    <s v="Female"/>
    <n v="73"/>
    <n v="4"/>
    <x v="2"/>
    <x v="7"/>
    <x v="3"/>
    <s v="Married"/>
    <n v="11416"/>
    <n v="17802"/>
    <n v="0"/>
    <s v="Y"/>
    <s v="Yes"/>
    <n v="12"/>
    <n v="3"/>
    <n v="3"/>
    <n v="80"/>
    <n v="3"/>
    <n v="9"/>
    <n v="4"/>
    <n v="2"/>
    <x v="3"/>
    <n v="7"/>
    <n v="1"/>
    <n v="7"/>
    <s v="26-35"/>
    <s v="Very High"/>
    <s v="6-10"/>
    <s v="Mid-Level"/>
    <s v="Standard"/>
    <s v="Low"/>
    <x v="0"/>
  </r>
  <r>
    <n v="20"/>
    <x v="0"/>
    <s v="Travel_Rarely"/>
    <n v="1097"/>
    <x v="1"/>
    <n v="11"/>
    <n v="3"/>
    <s v="Medical"/>
    <n v="1"/>
    <n v="1016"/>
    <x v="2"/>
    <s v="Female"/>
    <n v="98"/>
    <n v="2"/>
    <x v="1"/>
    <x v="1"/>
    <x v="3"/>
    <s v="Single"/>
    <n v="2600"/>
    <n v="18275"/>
    <n v="1"/>
    <s v="Y"/>
    <s v="Yes"/>
    <n v="15"/>
    <n v="3"/>
    <n v="1"/>
    <n v="80"/>
    <n v="0"/>
    <n v="1"/>
    <n v="2"/>
    <n v="3"/>
    <x v="6"/>
    <n v="0"/>
    <n v="0"/>
    <n v="0"/>
    <s v="18-25"/>
    <s v="Low"/>
    <s v="0-2"/>
    <s v="Junior"/>
    <s v="Standard"/>
    <s v="Low"/>
    <x v="1"/>
  </r>
  <r>
    <n v="30"/>
    <x v="0"/>
    <s v="Travel_Frequently"/>
    <n v="109"/>
    <x v="1"/>
    <n v="5"/>
    <n v="3"/>
    <s v="Medical"/>
    <n v="1"/>
    <n v="1017"/>
    <x v="0"/>
    <s v="Female"/>
    <n v="60"/>
    <n v="3"/>
    <x v="1"/>
    <x v="2"/>
    <x v="1"/>
    <s v="Single"/>
    <n v="2422"/>
    <n v="25725"/>
    <n v="0"/>
    <s v="Y"/>
    <s v="No"/>
    <n v="17"/>
    <n v="3"/>
    <n v="1"/>
    <n v="80"/>
    <n v="0"/>
    <n v="4"/>
    <n v="3"/>
    <n v="3"/>
    <x v="11"/>
    <n v="2"/>
    <n v="1"/>
    <n v="2"/>
    <s v="26-35"/>
    <s v="Low"/>
    <s v="3-5"/>
    <s v="Junior"/>
    <s v="Standard"/>
    <s v="Low"/>
    <x v="0"/>
  </r>
  <r>
    <n v="26"/>
    <x v="1"/>
    <s v="Travel_Rarely"/>
    <n v="1066"/>
    <x v="1"/>
    <n v="2"/>
    <n v="2"/>
    <s v="Medical"/>
    <n v="1"/>
    <n v="1018"/>
    <x v="2"/>
    <s v="Male"/>
    <n v="32"/>
    <n v="4"/>
    <x v="0"/>
    <x v="3"/>
    <x v="0"/>
    <s v="Married"/>
    <n v="5472"/>
    <n v="3334"/>
    <n v="1"/>
    <s v="Y"/>
    <s v="No"/>
    <n v="12"/>
    <n v="3"/>
    <n v="2"/>
    <n v="80"/>
    <n v="0"/>
    <n v="8"/>
    <n v="2"/>
    <n v="3"/>
    <x v="3"/>
    <n v="7"/>
    <n v="1"/>
    <n v="3"/>
    <s v="26-35"/>
    <s v="Medium"/>
    <s v="6-10"/>
    <s v="Mid-Level"/>
    <s v="Standard"/>
    <s v="High"/>
    <x v="0"/>
  </r>
  <r>
    <n v="22"/>
    <x v="1"/>
    <s v="Travel_Rarely"/>
    <n v="217"/>
    <x v="1"/>
    <n v="8"/>
    <n v="1"/>
    <s v="Life Sciences"/>
    <n v="1"/>
    <n v="1019"/>
    <x v="0"/>
    <s v="Male"/>
    <n v="94"/>
    <n v="1"/>
    <x v="1"/>
    <x v="2"/>
    <x v="3"/>
    <s v="Married"/>
    <n v="2451"/>
    <n v="6881"/>
    <n v="1"/>
    <s v="Y"/>
    <s v="No"/>
    <n v="15"/>
    <n v="3"/>
    <n v="1"/>
    <n v="80"/>
    <n v="1"/>
    <n v="4"/>
    <n v="3"/>
    <n v="2"/>
    <x v="9"/>
    <n v="3"/>
    <n v="1"/>
    <n v="1"/>
    <s v="18-25"/>
    <s v="Low"/>
    <s v="3-5"/>
    <s v="Junior"/>
    <s v="Standard"/>
    <s v="Low"/>
    <x v="0"/>
  </r>
  <r>
    <n v="48"/>
    <x v="1"/>
    <s v="Travel_Rarely"/>
    <n v="277"/>
    <x v="1"/>
    <n v="6"/>
    <n v="3"/>
    <s v="Life Sciences"/>
    <n v="1"/>
    <n v="1022"/>
    <x v="3"/>
    <s v="Male"/>
    <n v="97"/>
    <n v="2"/>
    <x v="0"/>
    <x v="4"/>
    <x v="2"/>
    <s v="Single"/>
    <n v="4240"/>
    <n v="13119"/>
    <n v="2"/>
    <s v="Y"/>
    <s v="No"/>
    <n v="13"/>
    <n v="3"/>
    <n v="4"/>
    <n v="80"/>
    <n v="0"/>
    <n v="19"/>
    <n v="0"/>
    <n v="3"/>
    <x v="4"/>
    <n v="2"/>
    <n v="2"/>
    <n v="2"/>
    <s v="46-55"/>
    <s v="Medium"/>
    <s v="0-2"/>
    <s v="Senior"/>
    <s v="Standard"/>
    <s v="High"/>
    <x v="0"/>
  </r>
  <r>
    <n v="48"/>
    <x v="1"/>
    <s v="Travel_Rarely"/>
    <n v="1355"/>
    <x v="1"/>
    <n v="4"/>
    <n v="4"/>
    <s v="Life Sciences"/>
    <n v="1"/>
    <n v="1024"/>
    <x v="1"/>
    <s v="Male"/>
    <n v="78"/>
    <n v="2"/>
    <x v="2"/>
    <x v="4"/>
    <x v="2"/>
    <s v="Single"/>
    <n v="10999"/>
    <n v="22245"/>
    <n v="7"/>
    <s v="Y"/>
    <s v="No"/>
    <n v="14"/>
    <n v="3"/>
    <n v="2"/>
    <n v="80"/>
    <n v="0"/>
    <n v="27"/>
    <n v="3"/>
    <n v="3"/>
    <x v="15"/>
    <n v="11"/>
    <n v="4"/>
    <n v="8"/>
    <s v="46-55"/>
    <s v="Very High"/>
    <s v="11-15"/>
    <s v="Senior"/>
    <s v="Standard"/>
    <s v="High"/>
    <x v="0"/>
  </r>
  <r>
    <n v="41"/>
    <x v="1"/>
    <s v="Travel_Rarely"/>
    <n v="549"/>
    <x v="1"/>
    <n v="7"/>
    <n v="2"/>
    <s v="Medical"/>
    <n v="1"/>
    <n v="1025"/>
    <x v="2"/>
    <s v="Female"/>
    <n v="42"/>
    <n v="3"/>
    <x v="0"/>
    <x v="3"/>
    <x v="2"/>
    <s v="Single"/>
    <n v="5003"/>
    <n v="23371"/>
    <n v="6"/>
    <s v="Y"/>
    <s v="No"/>
    <n v="14"/>
    <n v="3"/>
    <n v="2"/>
    <n v="80"/>
    <n v="0"/>
    <n v="8"/>
    <n v="6"/>
    <n v="3"/>
    <x v="4"/>
    <n v="2"/>
    <n v="2"/>
    <n v="1"/>
    <s v="36-45"/>
    <s v="Medium"/>
    <s v="0-2"/>
    <s v="Mid-Level"/>
    <s v="Standard"/>
    <s v="High"/>
    <x v="0"/>
  </r>
  <r>
    <n v="39"/>
    <x v="1"/>
    <s v="Travel_Rarely"/>
    <n v="466"/>
    <x v="1"/>
    <n v="1"/>
    <n v="1"/>
    <s v="Life Sciences"/>
    <n v="1"/>
    <n v="1026"/>
    <x v="2"/>
    <s v="Female"/>
    <n v="65"/>
    <n v="2"/>
    <x v="3"/>
    <x v="3"/>
    <x v="0"/>
    <s v="Married"/>
    <n v="12742"/>
    <n v="7060"/>
    <n v="1"/>
    <s v="Y"/>
    <s v="No"/>
    <n v="16"/>
    <n v="3"/>
    <n v="3"/>
    <n v="80"/>
    <n v="1"/>
    <n v="21"/>
    <n v="3"/>
    <n v="3"/>
    <x v="17"/>
    <n v="6"/>
    <n v="11"/>
    <n v="8"/>
    <s v="36-45"/>
    <s v="Very High"/>
    <s v="16+"/>
    <s v="Senior"/>
    <s v="Standard"/>
    <s v="High"/>
    <x v="0"/>
  </r>
  <r>
    <n v="27"/>
    <x v="1"/>
    <s v="Travel_Rarely"/>
    <n v="1055"/>
    <x v="1"/>
    <n v="2"/>
    <n v="4"/>
    <s v="Life Sciences"/>
    <n v="1"/>
    <n v="1027"/>
    <x v="3"/>
    <s v="Female"/>
    <n v="47"/>
    <n v="3"/>
    <x v="0"/>
    <x v="3"/>
    <x v="0"/>
    <s v="Married"/>
    <n v="4227"/>
    <n v="4658"/>
    <n v="0"/>
    <s v="Y"/>
    <s v="No"/>
    <n v="18"/>
    <n v="3"/>
    <n v="2"/>
    <n v="80"/>
    <n v="1"/>
    <n v="4"/>
    <n v="2"/>
    <n v="3"/>
    <x v="11"/>
    <n v="2"/>
    <n v="2"/>
    <n v="2"/>
    <s v="26-35"/>
    <s v="Medium"/>
    <s v="3-5"/>
    <s v="Junior"/>
    <s v="Standard"/>
    <s v="High"/>
    <x v="0"/>
  </r>
  <r>
    <n v="35"/>
    <x v="1"/>
    <s v="Travel_Rarely"/>
    <n v="802"/>
    <x v="1"/>
    <n v="10"/>
    <n v="3"/>
    <s v="Other"/>
    <n v="1"/>
    <n v="1028"/>
    <x v="0"/>
    <s v="Male"/>
    <n v="45"/>
    <n v="3"/>
    <x v="1"/>
    <x v="2"/>
    <x v="0"/>
    <s v="Divorced"/>
    <n v="3917"/>
    <n v="9541"/>
    <n v="1"/>
    <s v="Y"/>
    <s v="No"/>
    <n v="20"/>
    <n v="4"/>
    <n v="1"/>
    <n v="80"/>
    <n v="1"/>
    <n v="3"/>
    <n v="4"/>
    <n v="2"/>
    <x v="11"/>
    <n v="2"/>
    <n v="1"/>
    <n v="2"/>
    <s v="26-35"/>
    <s v="Medium"/>
    <s v="3-5"/>
    <s v="Junior"/>
    <s v="Excellent"/>
    <s v="High"/>
    <x v="0"/>
  </r>
  <r>
    <n v="42"/>
    <x v="1"/>
    <s v="Travel_Rarely"/>
    <n v="265"/>
    <x v="0"/>
    <n v="5"/>
    <n v="2"/>
    <s v="Marketing"/>
    <n v="1"/>
    <n v="1029"/>
    <x v="2"/>
    <s v="Male"/>
    <n v="90"/>
    <n v="3"/>
    <x v="4"/>
    <x v="5"/>
    <x v="2"/>
    <s v="Married"/>
    <n v="18303"/>
    <n v="7770"/>
    <n v="6"/>
    <s v="Y"/>
    <s v="No"/>
    <n v="13"/>
    <n v="3"/>
    <n v="2"/>
    <n v="80"/>
    <n v="0"/>
    <n v="21"/>
    <n v="3"/>
    <n v="4"/>
    <x v="6"/>
    <n v="0"/>
    <n v="0"/>
    <n v="0"/>
    <s v="36-45"/>
    <s v="Very High"/>
    <s v="0-2"/>
    <s v="Senior"/>
    <s v="Standard"/>
    <s v="High"/>
    <x v="0"/>
  </r>
  <r>
    <n v="50"/>
    <x v="1"/>
    <s v="Travel_Rarely"/>
    <n v="804"/>
    <x v="1"/>
    <n v="9"/>
    <n v="3"/>
    <s v="Life Sciences"/>
    <n v="1"/>
    <n v="1030"/>
    <x v="3"/>
    <s v="Male"/>
    <n v="64"/>
    <n v="3"/>
    <x v="1"/>
    <x v="2"/>
    <x v="0"/>
    <s v="Married"/>
    <n v="2380"/>
    <n v="20165"/>
    <n v="4"/>
    <s v="Y"/>
    <s v="No"/>
    <n v="18"/>
    <n v="3"/>
    <n v="2"/>
    <n v="80"/>
    <n v="0"/>
    <n v="8"/>
    <n v="5"/>
    <n v="3"/>
    <x v="6"/>
    <n v="0"/>
    <n v="0"/>
    <n v="0"/>
    <s v="46-55"/>
    <s v="Low"/>
    <s v="0-2"/>
    <s v="Mid-Level"/>
    <s v="Standard"/>
    <s v="High"/>
    <x v="0"/>
  </r>
  <r>
    <n v="59"/>
    <x v="1"/>
    <s v="Travel_Rarely"/>
    <n v="715"/>
    <x v="1"/>
    <n v="2"/>
    <n v="3"/>
    <s v="Life Sciences"/>
    <n v="1"/>
    <n v="1032"/>
    <x v="1"/>
    <s v="Female"/>
    <n v="69"/>
    <n v="2"/>
    <x v="3"/>
    <x v="3"/>
    <x v="0"/>
    <s v="Single"/>
    <n v="13726"/>
    <n v="21829"/>
    <n v="3"/>
    <s v="Y"/>
    <s v="Yes"/>
    <n v="13"/>
    <n v="3"/>
    <n v="1"/>
    <n v="80"/>
    <n v="0"/>
    <n v="30"/>
    <n v="4"/>
    <n v="3"/>
    <x v="8"/>
    <n v="3"/>
    <n v="4"/>
    <n v="3"/>
    <s v="56+"/>
    <s v="Very High"/>
    <s v="3-5"/>
    <s v="Senior"/>
    <s v="Standard"/>
    <s v="High"/>
    <x v="0"/>
  </r>
  <r>
    <n v="37"/>
    <x v="0"/>
    <s v="Travel_Rarely"/>
    <n v="1141"/>
    <x v="1"/>
    <n v="11"/>
    <n v="2"/>
    <s v="Medical"/>
    <n v="1"/>
    <n v="1033"/>
    <x v="3"/>
    <s v="Female"/>
    <n v="61"/>
    <n v="1"/>
    <x v="0"/>
    <x v="4"/>
    <x v="1"/>
    <s v="Married"/>
    <n v="4777"/>
    <n v="14382"/>
    <n v="5"/>
    <s v="Y"/>
    <s v="No"/>
    <n v="15"/>
    <n v="3"/>
    <n v="1"/>
    <n v="80"/>
    <n v="0"/>
    <n v="15"/>
    <n v="2"/>
    <n v="1"/>
    <x v="6"/>
    <n v="0"/>
    <n v="0"/>
    <n v="0"/>
    <s v="36-45"/>
    <s v="Medium"/>
    <s v="0-2"/>
    <s v="Mid-Level"/>
    <s v="Standard"/>
    <s v="Low"/>
    <x v="0"/>
  </r>
  <r>
    <n v="55"/>
    <x v="1"/>
    <s v="Travel_Frequently"/>
    <n v="135"/>
    <x v="1"/>
    <n v="18"/>
    <n v="4"/>
    <s v="Medical"/>
    <n v="1"/>
    <n v="1034"/>
    <x v="1"/>
    <s v="Male"/>
    <n v="62"/>
    <n v="3"/>
    <x v="0"/>
    <x v="4"/>
    <x v="1"/>
    <s v="Married"/>
    <n v="6385"/>
    <n v="12992"/>
    <n v="3"/>
    <s v="Y"/>
    <s v="Yes"/>
    <n v="14"/>
    <n v="3"/>
    <n v="4"/>
    <n v="80"/>
    <n v="2"/>
    <n v="17"/>
    <n v="3"/>
    <n v="3"/>
    <x v="3"/>
    <n v="7"/>
    <n v="6"/>
    <n v="7"/>
    <s v="46-55"/>
    <s v="High"/>
    <s v="6-10"/>
    <s v="Senior"/>
    <s v="Standard"/>
    <s v="Low"/>
    <x v="0"/>
  </r>
  <r>
    <n v="41"/>
    <x v="1"/>
    <s v="Non-Travel"/>
    <n v="247"/>
    <x v="1"/>
    <n v="7"/>
    <n v="1"/>
    <s v="Life Sciences"/>
    <n v="1"/>
    <n v="1035"/>
    <x v="0"/>
    <s v="Female"/>
    <n v="55"/>
    <n v="1"/>
    <x v="4"/>
    <x v="7"/>
    <x v="2"/>
    <s v="Divorced"/>
    <n v="19973"/>
    <n v="20284"/>
    <n v="1"/>
    <s v="Y"/>
    <s v="No"/>
    <n v="22"/>
    <n v="4"/>
    <n v="2"/>
    <n v="80"/>
    <n v="2"/>
    <n v="21"/>
    <n v="3"/>
    <n v="3"/>
    <x v="17"/>
    <n v="16"/>
    <n v="5"/>
    <n v="10"/>
    <s v="36-45"/>
    <s v="Very High"/>
    <s v="16+"/>
    <s v="Senior"/>
    <s v="Excellent"/>
    <s v="High"/>
    <x v="0"/>
  </r>
  <r>
    <n v="38"/>
    <x v="1"/>
    <s v="Travel_Rarely"/>
    <n v="1035"/>
    <x v="0"/>
    <n v="3"/>
    <n v="4"/>
    <s v="Life Sciences"/>
    <n v="1"/>
    <n v="1036"/>
    <x v="0"/>
    <s v="Male"/>
    <n v="42"/>
    <n v="3"/>
    <x v="0"/>
    <x v="0"/>
    <x v="0"/>
    <s v="Single"/>
    <n v="6861"/>
    <n v="4981"/>
    <n v="8"/>
    <s v="Y"/>
    <s v="Yes"/>
    <n v="12"/>
    <n v="3"/>
    <n v="3"/>
    <n v="80"/>
    <n v="0"/>
    <n v="19"/>
    <n v="1"/>
    <n v="3"/>
    <x v="6"/>
    <n v="0"/>
    <n v="0"/>
    <n v="0"/>
    <s v="36-45"/>
    <s v="High"/>
    <s v="0-2"/>
    <s v="Senior"/>
    <s v="Standard"/>
    <s v="High"/>
    <x v="0"/>
  </r>
  <r>
    <n v="26"/>
    <x v="0"/>
    <s v="Non-Travel"/>
    <n v="265"/>
    <x v="0"/>
    <n v="29"/>
    <n v="2"/>
    <s v="Medical"/>
    <n v="1"/>
    <n v="1037"/>
    <x v="0"/>
    <s v="Male"/>
    <n v="79"/>
    <n v="1"/>
    <x v="0"/>
    <x v="0"/>
    <x v="3"/>
    <s v="Single"/>
    <n v="4969"/>
    <n v="21813"/>
    <n v="8"/>
    <s v="Y"/>
    <s v="No"/>
    <n v="18"/>
    <n v="3"/>
    <n v="4"/>
    <n v="80"/>
    <n v="0"/>
    <n v="7"/>
    <n v="6"/>
    <n v="3"/>
    <x v="4"/>
    <n v="2"/>
    <n v="2"/>
    <n v="2"/>
    <s v="26-35"/>
    <s v="Medium"/>
    <s v="0-2"/>
    <s v="Mid-Level"/>
    <s v="Standard"/>
    <s v="Low"/>
    <x v="0"/>
  </r>
  <r>
    <n v="52"/>
    <x v="0"/>
    <s v="Travel_Rarely"/>
    <n v="266"/>
    <x v="0"/>
    <n v="2"/>
    <n v="1"/>
    <s v="Marketing"/>
    <n v="1"/>
    <n v="1038"/>
    <x v="3"/>
    <s v="Female"/>
    <n v="57"/>
    <n v="1"/>
    <x v="4"/>
    <x v="5"/>
    <x v="0"/>
    <s v="Married"/>
    <n v="19845"/>
    <n v="25846"/>
    <n v="1"/>
    <s v="Y"/>
    <s v="No"/>
    <n v="15"/>
    <n v="3"/>
    <n v="4"/>
    <n v="80"/>
    <n v="1"/>
    <n v="33"/>
    <n v="3"/>
    <n v="3"/>
    <x v="32"/>
    <n v="14"/>
    <n v="6"/>
    <n v="9"/>
    <s v="46-55"/>
    <s v="Very High"/>
    <s v="16+"/>
    <s v="Senior"/>
    <s v="Standard"/>
    <s v="High"/>
    <x v="0"/>
  </r>
  <r>
    <n v="44"/>
    <x v="1"/>
    <s v="Travel_Rarely"/>
    <n v="1448"/>
    <x v="0"/>
    <n v="28"/>
    <n v="3"/>
    <s v="Medical"/>
    <n v="1"/>
    <n v="1039"/>
    <x v="2"/>
    <s v="Female"/>
    <n v="53"/>
    <n v="4"/>
    <x v="3"/>
    <x v="0"/>
    <x v="0"/>
    <s v="Married"/>
    <n v="13320"/>
    <n v="11737"/>
    <n v="3"/>
    <s v="Y"/>
    <s v="Yes"/>
    <n v="18"/>
    <n v="3"/>
    <n v="3"/>
    <n v="80"/>
    <n v="1"/>
    <n v="23"/>
    <n v="2"/>
    <n v="3"/>
    <x v="12"/>
    <n v="11"/>
    <n v="11"/>
    <n v="11"/>
    <s v="36-45"/>
    <s v="Very High"/>
    <s v="11-15"/>
    <s v="Senior"/>
    <s v="Standard"/>
    <s v="High"/>
    <x v="0"/>
  </r>
  <r>
    <n v="50"/>
    <x v="1"/>
    <s v="Non-Travel"/>
    <n v="145"/>
    <x v="0"/>
    <n v="1"/>
    <n v="3"/>
    <s v="Life Sciences"/>
    <n v="1"/>
    <n v="1040"/>
    <x v="2"/>
    <s v="Female"/>
    <n v="95"/>
    <n v="3"/>
    <x v="0"/>
    <x v="0"/>
    <x v="2"/>
    <s v="Married"/>
    <n v="6347"/>
    <n v="24920"/>
    <n v="0"/>
    <s v="Y"/>
    <s v="No"/>
    <n v="12"/>
    <n v="3"/>
    <n v="1"/>
    <n v="80"/>
    <n v="1"/>
    <n v="19"/>
    <n v="3"/>
    <n v="3"/>
    <x v="29"/>
    <n v="7"/>
    <n v="0"/>
    <n v="13"/>
    <s v="46-55"/>
    <s v="High"/>
    <s v="16+"/>
    <s v="Senior"/>
    <s v="Standard"/>
    <s v="High"/>
    <x v="0"/>
  </r>
  <r>
    <n v="36"/>
    <x v="0"/>
    <s v="Travel_Rarely"/>
    <n v="885"/>
    <x v="1"/>
    <n v="16"/>
    <n v="4"/>
    <s v="Life Sciences"/>
    <n v="1"/>
    <n v="1042"/>
    <x v="1"/>
    <s v="Female"/>
    <n v="43"/>
    <n v="4"/>
    <x v="1"/>
    <x v="2"/>
    <x v="3"/>
    <s v="Single"/>
    <n v="2743"/>
    <n v="8269"/>
    <n v="1"/>
    <s v="Y"/>
    <s v="No"/>
    <n v="16"/>
    <n v="3"/>
    <n v="3"/>
    <n v="80"/>
    <n v="0"/>
    <n v="18"/>
    <n v="1"/>
    <n v="3"/>
    <x v="18"/>
    <n v="13"/>
    <n v="15"/>
    <n v="14"/>
    <s v="36-45"/>
    <s v="Low"/>
    <s v="16+"/>
    <s v="Senior"/>
    <s v="Standard"/>
    <s v="Low"/>
    <x v="0"/>
  </r>
  <r>
    <n v="39"/>
    <x v="1"/>
    <s v="Travel_Frequently"/>
    <n v="945"/>
    <x v="1"/>
    <n v="22"/>
    <n v="3"/>
    <s v="Medical"/>
    <n v="1"/>
    <n v="1043"/>
    <x v="2"/>
    <s v="Female"/>
    <n v="82"/>
    <n v="3"/>
    <x v="2"/>
    <x v="3"/>
    <x v="3"/>
    <s v="Single"/>
    <n v="10880"/>
    <n v="5083"/>
    <n v="1"/>
    <s v="Y"/>
    <s v="Yes"/>
    <n v="13"/>
    <n v="3"/>
    <n v="3"/>
    <n v="80"/>
    <n v="0"/>
    <n v="21"/>
    <n v="2"/>
    <n v="3"/>
    <x v="17"/>
    <n v="6"/>
    <n v="2"/>
    <n v="8"/>
    <s v="36-45"/>
    <s v="Very High"/>
    <s v="16+"/>
    <s v="Senior"/>
    <s v="Standard"/>
    <s v="Low"/>
    <x v="0"/>
  </r>
  <r>
    <n v="33"/>
    <x v="1"/>
    <s v="Non-Travel"/>
    <n v="1038"/>
    <x v="0"/>
    <n v="8"/>
    <n v="1"/>
    <s v="Life Sciences"/>
    <n v="1"/>
    <n v="1044"/>
    <x v="0"/>
    <s v="Female"/>
    <n v="88"/>
    <n v="2"/>
    <x v="1"/>
    <x v="6"/>
    <x v="0"/>
    <s v="Single"/>
    <n v="2342"/>
    <n v="21437"/>
    <n v="0"/>
    <s v="Y"/>
    <s v="No"/>
    <n v="19"/>
    <n v="3"/>
    <n v="4"/>
    <n v="80"/>
    <n v="0"/>
    <n v="3"/>
    <n v="2"/>
    <n v="2"/>
    <x v="4"/>
    <n v="2"/>
    <n v="2"/>
    <n v="2"/>
    <s v="26-35"/>
    <s v="Low"/>
    <s v="0-2"/>
    <s v="Junior"/>
    <s v="Standard"/>
    <s v="High"/>
    <x v="0"/>
  </r>
  <r>
    <n v="45"/>
    <x v="1"/>
    <s v="Travel_Rarely"/>
    <n v="1234"/>
    <x v="0"/>
    <n v="11"/>
    <n v="2"/>
    <s v="Life Sciences"/>
    <n v="1"/>
    <n v="1045"/>
    <x v="2"/>
    <s v="Female"/>
    <n v="90"/>
    <n v="3"/>
    <x v="3"/>
    <x v="5"/>
    <x v="0"/>
    <s v="Married"/>
    <n v="17650"/>
    <n v="5404"/>
    <n v="3"/>
    <s v="Y"/>
    <s v="No"/>
    <n v="13"/>
    <n v="3"/>
    <n v="2"/>
    <n v="80"/>
    <n v="1"/>
    <n v="26"/>
    <n v="4"/>
    <n v="4"/>
    <x v="7"/>
    <n v="3"/>
    <n v="1"/>
    <n v="1"/>
    <s v="36-45"/>
    <s v="Very High"/>
    <s v="6-10"/>
    <s v="Senior"/>
    <s v="Standard"/>
    <s v="High"/>
    <x v="0"/>
  </r>
  <r>
    <n v="32"/>
    <x v="1"/>
    <s v="Non-Travel"/>
    <n v="1109"/>
    <x v="1"/>
    <n v="29"/>
    <n v="4"/>
    <s v="Medical"/>
    <n v="1"/>
    <n v="1046"/>
    <x v="2"/>
    <s v="Female"/>
    <n v="69"/>
    <n v="3"/>
    <x v="1"/>
    <x v="2"/>
    <x v="2"/>
    <s v="Single"/>
    <n v="4025"/>
    <n v="11135"/>
    <n v="9"/>
    <s v="Y"/>
    <s v="No"/>
    <n v="12"/>
    <n v="3"/>
    <n v="2"/>
    <n v="80"/>
    <n v="0"/>
    <n v="10"/>
    <n v="2"/>
    <n v="3"/>
    <x v="3"/>
    <n v="7"/>
    <n v="7"/>
    <n v="7"/>
    <s v="26-35"/>
    <s v="Medium"/>
    <s v="6-10"/>
    <s v="Mid-Level"/>
    <s v="Standard"/>
    <s v="High"/>
    <x v="0"/>
  </r>
  <r>
    <n v="34"/>
    <x v="1"/>
    <s v="Travel_Rarely"/>
    <n v="216"/>
    <x v="0"/>
    <n v="1"/>
    <n v="4"/>
    <s v="Marketing"/>
    <n v="1"/>
    <n v="1047"/>
    <x v="0"/>
    <s v="Male"/>
    <n v="75"/>
    <n v="4"/>
    <x v="0"/>
    <x v="0"/>
    <x v="0"/>
    <s v="Divorced"/>
    <n v="9725"/>
    <n v="12278"/>
    <n v="0"/>
    <s v="Y"/>
    <s v="No"/>
    <n v="11"/>
    <n v="3"/>
    <n v="4"/>
    <n v="80"/>
    <n v="1"/>
    <n v="16"/>
    <n v="2"/>
    <n v="2"/>
    <x v="15"/>
    <n v="1"/>
    <n v="0"/>
    <n v="9"/>
    <s v="26-35"/>
    <s v="High"/>
    <s v="11-15"/>
    <s v="Senior"/>
    <s v="Standard"/>
    <s v="High"/>
    <x v="0"/>
  </r>
  <r>
    <n v="59"/>
    <x v="1"/>
    <s v="Travel_Rarely"/>
    <n v="1089"/>
    <x v="0"/>
    <n v="1"/>
    <n v="2"/>
    <s v="Technical Degree"/>
    <n v="1"/>
    <n v="1048"/>
    <x v="0"/>
    <s v="Male"/>
    <n v="66"/>
    <n v="3"/>
    <x v="2"/>
    <x v="5"/>
    <x v="0"/>
    <s v="Married"/>
    <n v="11904"/>
    <n v="11038"/>
    <n v="3"/>
    <s v="Y"/>
    <s v="Yes"/>
    <n v="14"/>
    <n v="3"/>
    <n v="3"/>
    <n v="80"/>
    <n v="1"/>
    <n v="14"/>
    <n v="1"/>
    <n v="1"/>
    <x v="0"/>
    <n v="4"/>
    <n v="0"/>
    <n v="4"/>
    <s v="56+"/>
    <s v="Very High"/>
    <s v="6-10"/>
    <s v="Mid-Level"/>
    <s v="Standard"/>
    <s v="High"/>
    <x v="0"/>
  </r>
  <r>
    <n v="45"/>
    <x v="1"/>
    <s v="Travel_Rarely"/>
    <n v="788"/>
    <x v="2"/>
    <n v="24"/>
    <n v="4"/>
    <s v="Medical"/>
    <n v="1"/>
    <n v="1049"/>
    <x v="0"/>
    <s v="Male"/>
    <n v="36"/>
    <n v="3"/>
    <x v="1"/>
    <x v="8"/>
    <x v="1"/>
    <s v="Single"/>
    <n v="2177"/>
    <n v="8318"/>
    <n v="1"/>
    <s v="Y"/>
    <s v="No"/>
    <n v="16"/>
    <n v="3"/>
    <n v="1"/>
    <n v="80"/>
    <n v="0"/>
    <n v="6"/>
    <n v="3"/>
    <n v="3"/>
    <x v="0"/>
    <n v="3"/>
    <n v="0"/>
    <n v="4"/>
    <s v="36-45"/>
    <s v="Low"/>
    <s v="6-10"/>
    <s v="Mid-Level"/>
    <s v="Standard"/>
    <s v="Low"/>
    <x v="0"/>
  </r>
  <r>
    <n v="53"/>
    <x v="1"/>
    <s v="Travel_Frequently"/>
    <n v="124"/>
    <x v="0"/>
    <n v="2"/>
    <n v="3"/>
    <s v="Marketing"/>
    <n v="1"/>
    <n v="1050"/>
    <x v="1"/>
    <s v="Female"/>
    <n v="38"/>
    <n v="2"/>
    <x v="2"/>
    <x v="0"/>
    <x v="1"/>
    <s v="Married"/>
    <n v="7525"/>
    <n v="23537"/>
    <n v="2"/>
    <s v="Y"/>
    <s v="No"/>
    <n v="12"/>
    <n v="3"/>
    <n v="1"/>
    <n v="80"/>
    <n v="1"/>
    <n v="30"/>
    <n v="2"/>
    <n v="3"/>
    <x v="15"/>
    <n v="7"/>
    <n v="6"/>
    <n v="12"/>
    <s v="46-55"/>
    <s v="High"/>
    <s v="11-15"/>
    <s v="Senior"/>
    <s v="Standard"/>
    <s v="Low"/>
    <x v="0"/>
  </r>
  <r>
    <n v="36"/>
    <x v="0"/>
    <s v="Travel_Rarely"/>
    <n v="660"/>
    <x v="1"/>
    <n v="15"/>
    <n v="3"/>
    <s v="Other"/>
    <n v="1"/>
    <n v="1052"/>
    <x v="3"/>
    <s v="Male"/>
    <n v="81"/>
    <n v="3"/>
    <x v="0"/>
    <x v="2"/>
    <x v="2"/>
    <s v="Divorced"/>
    <n v="4834"/>
    <n v="7858"/>
    <n v="7"/>
    <s v="Y"/>
    <s v="No"/>
    <n v="14"/>
    <n v="3"/>
    <n v="2"/>
    <n v="80"/>
    <n v="1"/>
    <n v="9"/>
    <n v="3"/>
    <n v="2"/>
    <x v="6"/>
    <n v="0"/>
    <n v="0"/>
    <n v="0"/>
    <s v="36-45"/>
    <s v="Medium"/>
    <s v="0-2"/>
    <s v="Mid-Level"/>
    <s v="Standard"/>
    <s v="High"/>
    <x v="0"/>
  </r>
  <r>
    <n v="26"/>
    <x v="0"/>
    <s v="Travel_Frequently"/>
    <n v="342"/>
    <x v="1"/>
    <n v="2"/>
    <n v="3"/>
    <s v="Life Sciences"/>
    <n v="1"/>
    <n v="1053"/>
    <x v="3"/>
    <s v="Male"/>
    <n v="57"/>
    <n v="3"/>
    <x v="1"/>
    <x v="1"/>
    <x v="3"/>
    <s v="Married"/>
    <n v="2042"/>
    <n v="15346"/>
    <n v="6"/>
    <s v="Y"/>
    <s v="Yes"/>
    <n v="14"/>
    <n v="3"/>
    <n v="2"/>
    <n v="80"/>
    <n v="1"/>
    <n v="6"/>
    <n v="2"/>
    <n v="3"/>
    <x v="11"/>
    <n v="2"/>
    <n v="1"/>
    <n v="2"/>
    <s v="26-35"/>
    <s v="Low"/>
    <s v="3-5"/>
    <s v="Mid-Level"/>
    <s v="Standard"/>
    <s v="Low"/>
    <x v="0"/>
  </r>
  <r>
    <n v="34"/>
    <x v="1"/>
    <s v="Travel_Rarely"/>
    <n v="1333"/>
    <x v="0"/>
    <n v="10"/>
    <n v="4"/>
    <s v="Life Sciences"/>
    <n v="1"/>
    <n v="1055"/>
    <x v="1"/>
    <s v="Female"/>
    <n v="87"/>
    <n v="3"/>
    <x v="1"/>
    <x v="6"/>
    <x v="2"/>
    <s v="Married"/>
    <n v="2220"/>
    <n v="18410"/>
    <n v="1"/>
    <s v="Y"/>
    <s v="Yes"/>
    <n v="19"/>
    <n v="3"/>
    <n v="4"/>
    <n v="80"/>
    <n v="1"/>
    <n v="1"/>
    <n v="2"/>
    <n v="3"/>
    <x v="6"/>
    <n v="1"/>
    <n v="0"/>
    <n v="0"/>
    <s v="26-35"/>
    <s v="Low"/>
    <s v="0-2"/>
    <s v="Junior"/>
    <s v="Standard"/>
    <s v="High"/>
    <x v="0"/>
  </r>
  <r>
    <n v="28"/>
    <x v="1"/>
    <s v="Travel_Rarely"/>
    <n v="1144"/>
    <x v="0"/>
    <n v="10"/>
    <n v="1"/>
    <s v="Medical"/>
    <n v="1"/>
    <n v="1056"/>
    <x v="2"/>
    <s v="Male"/>
    <n v="74"/>
    <n v="3"/>
    <x v="1"/>
    <x v="6"/>
    <x v="1"/>
    <s v="Married"/>
    <n v="1052"/>
    <n v="23384"/>
    <n v="1"/>
    <s v="Y"/>
    <s v="No"/>
    <n v="22"/>
    <n v="4"/>
    <n v="2"/>
    <n v="80"/>
    <n v="0"/>
    <n v="1"/>
    <n v="5"/>
    <n v="3"/>
    <x v="6"/>
    <n v="0"/>
    <n v="0"/>
    <n v="0"/>
    <s v="26-35"/>
    <s v="Low"/>
    <s v="0-2"/>
    <s v="Junior"/>
    <s v="Excellent"/>
    <s v="Low"/>
    <x v="0"/>
  </r>
  <r>
    <n v="38"/>
    <x v="1"/>
    <s v="Travel_Frequently"/>
    <n v="1186"/>
    <x v="1"/>
    <n v="3"/>
    <n v="4"/>
    <s v="Other"/>
    <n v="1"/>
    <n v="1060"/>
    <x v="1"/>
    <s v="Male"/>
    <n v="44"/>
    <n v="3"/>
    <x v="1"/>
    <x v="1"/>
    <x v="2"/>
    <s v="Married"/>
    <n v="2821"/>
    <n v="2997"/>
    <n v="3"/>
    <s v="Y"/>
    <s v="No"/>
    <n v="16"/>
    <n v="3"/>
    <n v="1"/>
    <n v="80"/>
    <n v="1"/>
    <n v="8"/>
    <n v="2"/>
    <n v="3"/>
    <x v="4"/>
    <n v="2"/>
    <n v="2"/>
    <n v="2"/>
    <s v="36-45"/>
    <s v="Low"/>
    <s v="0-2"/>
    <s v="Mid-Level"/>
    <s v="Standard"/>
    <s v="High"/>
    <x v="0"/>
  </r>
  <r>
    <n v="50"/>
    <x v="1"/>
    <s v="Travel_Rarely"/>
    <n v="1464"/>
    <x v="1"/>
    <n v="2"/>
    <n v="4"/>
    <s v="Medical"/>
    <n v="1"/>
    <n v="1061"/>
    <x v="0"/>
    <s v="Male"/>
    <n v="62"/>
    <n v="3"/>
    <x v="4"/>
    <x v="7"/>
    <x v="2"/>
    <s v="Married"/>
    <n v="19237"/>
    <n v="12853"/>
    <n v="2"/>
    <s v="Y"/>
    <s v="Yes"/>
    <n v="11"/>
    <n v="3"/>
    <n v="4"/>
    <n v="80"/>
    <n v="1"/>
    <n v="29"/>
    <n v="2"/>
    <n v="2"/>
    <x v="3"/>
    <n v="1"/>
    <n v="7"/>
    <n v="7"/>
    <s v="46-55"/>
    <s v="Very High"/>
    <s v="6-10"/>
    <s v="Senior"/>
    <s v="Standard"/>
    <s v="High"/>
    <x v="0"/>
  </r>
  <r>
    <n v="37"/>
    <x v="1"/>
    <s v="Travel_Rarely"/>
    <n v="124"/>
    <x v="1"/>
    <n v="3"/>
    <n v="3"/>
    <s v="Other"/>
    <n v="1"/>
    <n v="1062"/>
    <x v="2"/>
    <s v="Female"/>
    <n v="35"/>
    <n v="3"/>
    <x v="0"/>
    <x v="4"/>
    <x v="1"/>
    <s v="Single"/>
    <n v="4107"/>
    <n v="13848"/>
    <n v="3"/>
    <s v="Y"/>
    <s v="No"/>
    <n v="15"/>
    <n v="3"/>
    <n v="1"/>
    <n v="80"/>
    <n v="0"/>
    <n v="8"/>
    <n v="3"/>
    <n v="2"/>
    <x v="9"/>
    <n v="3"/>
    <n v="0"/>
    <n v="1"/>
    <s v="36-45"/>
    <s v="Medium"/>
    <s v="3-5"/>
    <s v="Mid-Level"/>
    <s v="Standard"/>
    <s v="Low"/>
    <x v="0"/>
  </r>
  <r>
    <n v="40"/>
    <x v="1"/>
    <s v="Travel_Rarely"/>
    <n v="300"/>
    <x v="0"/>
    <n v="26"/>
    <n v="3"/>
    <s v="Marketing"/>
    <n v="1"/>
    <n v="1066"/>
    <x v="1"/>
    <s v="Male"/>
    <n v="74"/>
    <n v="3"/>
    <x v="0"/>
    <x v="0"/>
    <x v="3"/>
    <s v="Married"/>
    <n v="8396"/>
    <n v="22217"/>
    <n v="1"/>
    <s v="Y"/>
    <s v="No"/>
    <n v="14"/>
    <n v="3"/>
    <n v="2"/>
    <n v="80"/>
    <n v="1"/>
    <n v="8"/>
    <n v="3"/>
    <n v="2"/>
    <x v="5"/>
    <n v="7"/>
    <n v="7"/>
    <n v="5"/>
    <s v="36-45"/>
    <s v="High"/>
    <s v="6-10"/>
    <s v="Mid-Level"/>
    <s v="Standard"/>
    <s v="Low"/>
    <x v="0"/>
  </r>
  <r>
    <n v="26"/>
    <x v="1"/>
    <s v="Travel_Frequently"/>
    <n v="921"/>
    <x v="1"/>
    <n v="1"/>
    <n v="1"/>
    <s v="Medical"/>
    <n v="1"/>
    <n v="1068"/>
    <x v="3"/>
    <s v="Female"/>
    <n v="66"/>
    <n v="2"/>
    <x v="1"/>
    <x v="1"/>
    <x v="2"/>
    <s v="Divorced"/>
    <n v="2007"/>
    <n v="25265"/>
    <n v="1"/>
    <s v="Y"/>
    <s v="No"/>
    <n v="13"/>
    <n v="3"/>
    <n v="3"/>
    <n v="80"/>
    <n v="2"/>
    <n v="5"/>
    <n v="5"/>
    <n v="3"/>
    <x v="8"/>
    <n v="3"/>
    <n v="1"/>
    <n v="3"/>
    <s v="26-35"/>
    <s v="Low"/>
    <s v="3-5"/>
    <s v="Junior"/>
    <s v="Standard"/>
    <s v="High"/>
    <x v="0"/>
  </r>
  <r>
    <n v="46"/>
    <x v="1"/>
    <s v="Travel_Rarely"/>
    <n v="430"/>
    <x v="1"/>
    <n v="1"/>
    <n v="4"/>
    <s v="Medical"/>
    <n v="1"/>
    <n v="1069"/>
    <x v="2"/>
    <s v="Male"/>
    <n v="40"/>
    <n v="3"/>
    <x v="4"/>
    <x v="7"/>
    <x v="0"/>
    <s v="Divorced"/>
    <n v="19627"/>
    <n v="21445"/>
    <n v="9"/>
    <s v="Y"/>
    <s v="No"/>
    <n v="17"/>
    <n v="3"/>
    <n v="4"/>
    <n v="80"/>
    <n v="2"/>
    <n v="23"/>
    <n v="0"/>
    <n v="3"/>
    <x v="4"/>
    <n v="2"/>
    <n v="2"/>
    <n v="2"/>
    <s v="46-55"/>
    <s v="Very High"/>
    <s v="0-2"/>
    <s v="Senior"/>
    <s v="Standard"/>
    <s v="High"/>
    <x v="0"/>
  </r>
  <r>
    <n v="54"/>
    <x v="1"/>
    <s v="Travel_Rarely"/>
    <n v="1082"/>
    <x v="0"/>
    <n v="2"/>
    <n v="4"/>
    <s v="Life Sciences"/>
    <n v="1"/>
    <n v="1070"/>
    <x v="1"/>
    <s v="Female"/>
    <n v="41"/>
    <n v="2"/>
    <x v="2"/>
    <x v="0"/>
    <x v="2"/>
    <s v="Married"/>
    <n v="10686"/>
    <n v="8392"/>
    <n v="6"/>
    <s v="Y"/>
    <s v="No"/>
    <n v="11"/>
    <n v="3"/>
    <n v="2"/>
    <n v="80"/>
    <n v="1"/>
    <n v="13"/>
    <n v="4"/>
    <n v="3"/>
    <x v="7"/>
    <n v="4"/>
    <n v="7"/>
    <n v="0"/>
    <s v="46-55"/>
    <s v="Very High"/>
    <s v="6-10"/>
    <s v="Mid-Level"/>
    <s v="Standard"/>
    <s v="High"/>
    <x v="0"/>
  </r>
  <r>
    <n v="56"/>
    <x v="1"/>
    <s v="Travel_Frequently"/>
    <n v="1240"/>
    <x v="1"/>
    <n v="9"/>
    <n v="3"/>
    <s v="Medical"/>
    <n v="1"/>
    <n v="1071"/>
    <x v="3"/>
    <s v="Female"/>
    <n v="63"/>
    <n v="3"/>
    <x v="1"/>
    <x v="1"/>
    <x v="2"/>
    <s v="Married"/>
    <n v="2942"/>
    <n v="12154"/>
    <n v="2"/>
    <s v="Y"/>
    <s v="No"/>
    <n v="19"/>
    <n v="3"/>
    <n v="2"/>
    <n v="80"/>
    <n v="1"/>
    <n v="18"/>
    <n v="4"/>
    <n v="3"/>
    <x v="8"/>
    <n v="4"/>
    <n v="0"/>
    <n v="3"/>
    <s v="56+"/>
    <s v="Low"/>
    <s v="3-5"/>
    <s v="Senior"/>
    <s v="Standard"/>
    <s v="High"/>
    <x v="0"/>
  </r>
  <r>
    <n v="36"/>
    <x v="1"/>
    <s v="Travel_Rarely"/>
    <n v="796"/>
    <x v="1"/>
    <n v="12"/>
    <n v="5"/>
    <s v="Medical"/>
    <n v="1"/>
    <n v="1073"/>
    <x v="2"/>
    <s v="Female"/>
    <n v="51"/>
    <n v="2"/>
    <x v="2"/>
    <x v="3"/>
    <x v="0"/>
    <s v="Single"/>
    <n v="8858"/>
    <n v="15669"/>
    <n v="0"/>
    <s v="Y"/>
    <s v="No"/>
    <n v="11"/>
    <n v="3"/>
    <n v="2"/>
    <n v="80"/>
    <n v="0"/>
    <n v="15"/>
    <n v="2"/>
    <n v="2"/>
    <x v="13"/>
    <n v="8"/>
    <n v="7"/>
    <n v="8"/>
    <s v="36-45"/>
    <s v="High"/>
    <s v="11-15"/>
    <s v="Mid-Level"/>
    <s v="Standard"/>
    <s v="High"/>
    <x v="0"/>
  </r>
  <r>
    <n v="55"/>
    <x v="1"/>
    <s v="Non-Travel"/>
    <n v="444"/>
    <x v="1"/>
    <n v="2"/>
    <n v="1"/>
    <s v="Medical"/>
    <n v="1"/>
    <n v="1074"/>
    <x v="1"/>
    <s v="Male"/>
    <n v="40"/>
    <n v="2"/>
    <x v="3"/>
    <x v="5"/>
    <x v="3"/>
    <s v="Single"/>
    <n v="16756"/>
    <n v="17323"/>
    <n v="7"/>
    <s v="Y"/>
    <s v="No"/>
    <n v="15"/>
    <n v="3"/>
    <n v="2"/>
    <n v="80"/>
    <n v="0"/>
    <n v="31"/>
    <n v="3"/>
    <n v="4"/>
    <x v="7"/>
    <n v="7"/>
    <n v="6"/>
    <n v="2"/>
    <s v="46-55"/>
    <s v="Very High"/>
    <s v="6-10"/>
    <s v="Senior"/>
    <s v="Standard"/>
    <s v="Low"/>
    <x v="0"/>
  </r>
  <r>
    <n v="43"/>
    <x v="1"/>
    <s v="Travel_Rarely"/>
    <n v="415"/>
    <x v="0"/>
    <n v="25"/>
    <n v="3"/>
    <s v="Medical"/>
    <n v="1"/>
    <n v="1076"/>
    <x v="1"/>
    <s v="Male"/>
    <n v="79"/>
    <n v="2"/>
    <x v="2"/>
    <x v="0"/>
    <x v="0"/>
    <s v="Divorced"/>
    <n v="10798"/>
    <n v="5268"/>
    <n v="5"/>
    <s v="Y"/>
    <s v="No"/>
    <n v="13"/>
    <n v="3"/>
    <n v="3"/>
    <n v="80"/>
    <n v="1"/>
    <n v="18"/>
    <n v="5"/>
    <n v="3"/>
    <x v="6"/>
    <n v="0"/>
    <n v="0"/>
    <n v="0"/>
    <s v="36-45"/>
    <s v="Very High"/>
    <s v="0-2"/>
    <s v="Senior"/>
    <s v="Standard"/>
    <s v="High"/>
    <x v="0"/>
  </r>
  <r>
    <n v="20"/>
    <x v="0"/>
    <s v="Travel_Frequently"/>
    <n v="769"/>
    <x v="0"/>
    <n v="9"/>
    <n v="3"/>
    <s v="Marketing"/>
    <n v="1"/>
    <n v="1077"/>
    <x v="2"/>
    <s v="Female"/>
    <n v="54"/>
    <n v="3"/>
    <x v="1"/>
    <x v="6"/>
    <x v="0"/>
    <s v="Single"/>
    <n v="2323"/>
    <n v="17205"/>
    <n v="1"/>
    <s v="Y"/>
    <s v="Yes"/>
    <n v="14"/>
    <n v="3"/>
    <n v="2"/>
    <n v="80"/>
    <n v="0"/>
    <n v="2"/>
    <n v="3"/>
    <n v="3"/>
    <x v="4"/>
    <n v="2"/>
    <n v="0"/>
    <n v="2"/>
    <s v="18-25"/>
    <s v="Low"/>
    <s v="0-2"/>
    <s v="Junior"/>
    <s v="Standard"/>
    <s v="High"/>
    <x v="0"/>
  </r>
  <r>
    <n v="21"/>
    <x v="0"/>
    <s v="Travel_Rarely"/>
    <n v="1334"/>
    <x v="1"/>
    <n v="10"/>
    <n v="3"/>
    <s v="Life Sciences"/>
    <n v="1"/>
    <n v="1079"/>
    <x v="1"/>
    <s v="Female"/>
    <n v="36"/>
    <n v="2"/>
    <x v="1"/>
    <x v="2"/>
    <x v="3"/>
    <s v="Single"/>
    <n v="1416"/>
    <n v="17258"/>
    <n v="1"/>
    <s v="Y"/>
    <s v="No"/>
    <n v="13"/>
    <n v="3"/>
    <n v="1"/>
    <n v="80"/>
    <n v="0"/>
    <n v="1"/>
    <n v="6"/>
    <n v="2"/>
    <x v="6"/>
    <n v="0"/>
    <n v="1"/>
    <n v="0"/>
    <s v="18-25"/>
    <s v="Low"/>
    <s v="0-2"/>
    <s v="Junior"/>
    <s v="Standard"/>
    <s v="Low"/>
    <x v="0"/>
  </r>
  <r>
    <n v="46"/>
    <x v="1"/>
    <s v="Travel_Rarely"/>
    <n v="1003"/>
    <x v="1"/>
    <n v="8"/>
    <n v="4"/>
    <s v="Life Sciences"/>
    <n v="1"/>
    <n v="1080"/>
    <x v="2"/>
    <s v="Female"/>
    <n v="74"/>
    <n v="2"/>
    <x v="0"/>
    <x v="1"/>
    <x v="3"/>
    <s v="Divorced"/>
    <n v="4615"/>
    <n v="21029"/>
    <n v="8"/>
    <s v="Y"/>
    <s v="Yes"/>
    <n v="23"/>
    <n v="4"/>
    <n v="1"/>
    <n v="80"/>
    <n v="3"/>
    <n v="19"/>
    <n v="2"/>
    <n v="3"/>
    <x v="22"/>
    <n v="13"/>
    <n v="1"/>
    <n v="7"/>
    <s v="46-55"/>
    <s v="Medium"/>
    <s v="16+"/>
    <s v="Senior"/>
    <s v="Excellent"/>
    <s v="Low"/>
    <x v="0"/>
  </r>
  <r>
    <n v="51"/>
    <x v="0"/>
    <s v="Travel_Rarely"/>
    <n v="1323"/>
    <x v="1"/>
    <n v="4"/>
    <n v="4"/>
    <s v="Life Sciences"/>
    <n v="1"/>
    <n v="1081"/>
    <x v="3"/>
    <s v="Male"/>
    <n v="34"/>
    <n v="3"/>
    <x v="1"/>
    <x v="1"/>
    <x v="2"/>
    <s v="Married"/>
    <n v="2461"/>
    <n v="10332"/>
    <n v="9"/>
    <s v="Y"/>
    <s v="Yes"/>
    <n v="12"/>
    <n v="3"/>
    <n v="3"/>
    <n v="80"/>
    <n v="3"/>
    <n v="18"/>
    <n v="2"/>
    <n v="4"/>
    <x v="1"/>
    <n v="0"/>
    <n v="2"/>
    <n v="7"/>
    <s v="46-55"/>
    <s v="Low"/>
    <s v="6-10"/>
    <s v="Senior"/>
    <s v="Standard"/>
    <s v="High"/>
    <x v="0"/>
  </r>
  <r>
    <n v="28"/>
    <x v="0"/>
    <s v="Non-Travel"/>
    <n v="1366"/>
    <x v="1"/>
    <n v="24"/>
    <n v="2"/>
    <s v="Technical Degree"/>
    <n v="1"/>
    <n v="1082"/>
    <x v="0"/>
    <s v="Male"/>
    <n v="72"/>
    <n v="2"/>
    <x v="2"/>
    <x v="4"/>
    <x v="3"/>
    <s v="Single"/>
    <n v="8722"/>
    <n v="12355"/>
    <n v="1"/>
    <s v="Y"/>
    <s v="No"/>
    <n v="12"/>
    <n v="3"/>
    <n v="1"/>
    <n v="80"/>
    <n v="0"/>
    <n v="10"/>
    <n v="2"/>
    <n v="2"/>
    <x v="1"/>
    <n v="7"/>
    <n v="1"/>
    <n v="9"/>
    <s v="26-35"/>
    <s v="High"/>
    <s v="6-10"/>
    <s v="Mid-Level"/>
    <s v="Standard"/>
    <s v="Low"/>
    <x v="0"/>
  </r>
  <r>
    <n v="26"/>
    <x v="1"/>
    <s v="Travel_Rarely"/>
    <n v="192"/>
    <x v="1"/>
    <n v="1"/>
    <n v="2"/>
    <s v="Medical"/>
    <n v="1"/>
    <n v="1083"/>
    <x v="3"/>
    <s v="Male"/>
    <n v="59"/>
    <n v="2"/>
    <x v="1"/>
    <x v="2"/>
    <x v="3"/>
    <s v="Married"/>
    <n v="3955"/>
    <n v="11141"/>
    <n v="1"/>
    <s v="Y"/>
    <s v="No"/>
    <n v="16"/>
    <n v="3"/>
    <n v="1"/>
    <n v="80"/>
    <n v="2"/>
    <n v="6"/>
    <n v="2"/>
    <n v="3"/>
    <x v="8"/>
    <n v="3"/>
    <n v="1"/>
    <n v="3"/>
    <s v="26-35"/>
    <s v="Medium"/>
    <s v="3-5"/>
    <s v="Mid-Level"/>
    <s v="Standard"/>
    <s v="Low"/>
    <x v="0"/>
  </r>
  <r>
    <n v="30"/>
    <x v="1"/>
    <s v="Travel_Rarely"/>
    <n v="1176"/>
    <x v="1"/>
    <n v="20"/>
    <n v="3"/>
    <s v="Other"/>
    <n v="1"/>
    <n v="1084"/>
    <x v="1"/>
    <s v="Male"/>
    <n v="85"/>
    <n v="3"/>
    <x v="0"/>
    <x v="3"/>
    <x v="3"/>
    <s v="Married"/>
    <n v="9957"/>
    <n v="9096"/>
    <n v="0"/>
    <s v="Y"/>
    <s v="No"/>
    <n v="15"/>
    <n v="3"/>
    <n v="3"/>
    <n v="80"/>
    <n v="1"/>
    <n v="7"/>
    <n v="1"/>
    <n v="2"/>
    <x v="0"/>
    <n v="2"/>
    <n v="0"/>
    <n v="2"/>
    <s v="26-35"/>
    <s v="High"/>
    <s v="6-10"/>
    <s v="Mid-Level"/>
    <s v="Standard"/>
    <s v="Low"/>
    <x v="0"/>
  </r>
  <r>
    <n v="41"/>
    <x v="1"/>
    <s v="Travel_Rarely"/>
    <n v="509"/>
    <x v="1"/>
    <n v="7"/>
    <n v="2"/>
    <s v="Technical Degree"/>
    <n v="1"/>
    <n v="1085"/>
    <x v="0"/>
    <s v="Female"/>
    <n v="43"/>
    <n v="4"/>
    <x v="1"/>
    <x v="1"/>
    <x v="2"/>
    <s v="Married"/>
    <n v="3376"/>
    <n v="18863"/>
    <n v="1"/>
    <s v="Y"/>
    <s v="No"/>
    <n v="13"/>
    <n v="3"/>
    <n v="3"/>
    <n v="80"/>
    <n v="0"/>
    <n v="10"/>
    <n v="3"/>
    <n v="3"/>
    <x v="1"/>
    <n v="6"/>
    <n v="0"/>
    <n v="8"/>
    <s v="36-45"/>
    <s v="Medium"/>
    <s v="6-10"/>
    <s v="Mid-Level"/>
    <s v="Standard"/>
    <s v="High"/>
    <x v="0"/>
  </r>
  <r>
    <n v="38"/>
    <x v="1"/>
    <s v="Travel_Rarely"/>
    <n v="330"/>
    <x v="1"/>
    <n v="17"/>
    <n v="1"/>
    <s v="Life Sciences"/>
    <n v="1"/>
    <n v="1088"/>
    <x v="1"/>
    <s v="Female"/>
    <n v="65"/>
    <n v="2"/>
    <x v="2"/>
    <x v="4"/>
    <x v="2"/>
    <s v="Married"/>
    <n v="8823"/>
    <n v="24608"/>
    <n v="0"/>
    <s v="Y"/>
    <s v="No"/>
    <n v="18"/>
    <n v="3"/>
    <n v="1"/>
    <n v="80"/>
    <n v="1"/>
    <n v="20"/>
    <n v="4"/>
    <n v="2"/>
    <x v="27"/>
    <n v="9"/>
    <n v="1"/>
    <n v="9"/>
    <s v="36-45"/>
    <s v="High"/>
    <s v="16+"/>
    <s v="Senior"/>
    <s v="Standard"/>
    <s v="High"/>
    <x v="0"/>
  </r>
  <r>
    <n v="40"/>
    <x v="1"/>
    <s v="Travel_Rarely"/>
    <n v="1492"/>
    <x v="1"/>
    <n v="20"/>
    <n v="4"/>
    <s v="Technical Degree"/>
    <n v="1"/>
    <n v="1092"/>
    <x v="3"/>
    <s v="Male"/>
    <n v="61"/>
    <n v="3"/>
    <x v="2"/>
    <x v="4"/>
    <x v="0"/>
    <s v="Married"/>
    <n v="10322"/>
    <n v="26542"/>
    <n v="4"/>
    <s v="Y"/>
    <s v="No"/>
    <n v="20"/>
    <n v="4"/>
    <n v="4"/>
    <n v="80"/>
    <n v="1"/>
    <n v="14"/>
    <n v="6"/>
    <n v="3"/>
    <x v="19"/>
    <n v="10"/>
    <n v="11"/>
    <n v="1"/>
    <s v="36-45"/>
    <s v="Very High"/>
    <s v="11-15"/>
    <s v="Mid-Level"/>
    <s v="Excellent"/>
    <s v="High"/>
    <x v="0"/>
  </r>
  <r>
    <n v="27"/>
    <x v="1"/>
    <s v="Non-Travel"/>
    <n v="1277"/>
    <x v="1"/>
    <n v="8"/>
    <n v="5"/>
    <s v="Life Sciences"/>
    <n v="1"/>
    <n v="1094"/>
    <x v="3"/>
    <s v="Male"/>
    <n v="87"/>
    <n v="1"/>
    <x v="1"/>
    <x v="2"/>
    <x v="2"/>
    <s v="Married"/>
    <n v="4621"/>
    <n v="5869"/>
    <n v="1"/>
    <s v="Y"/>
    <s v="No"/>
    <n v="19"/>
    <n v="3"/>
    <n v="4"/>
    <n v="80"/>
    <n v="3"/>
    <n v="3"/>
    <n v="4"/>
    <n v="3"/>
    <x v="11"/>
    <n v="2"/>
    <n v="1"/>
    <n v="2"/>
    <s v="26-35"/>
    <s v="Medium"/>
    <s v="3-5"/>
    <s v="Junior"/>
    <s v="Standard"/>
    <s v="High"/>
    <x v="0"/>
  </r>
  <r>
    <n v="55"/>
    <x v="1"/>
    <s v="Travel_Frequently"/>
    <n v="1091"/>
    <x v="1"/>
    <n v="2"/>
    <n v="1"/>
    <s v="Life Sciences"/>
    <n v="1"/>
    <n v="1096"/>
    <x v="2"/>
    <s v="Male"/>
    <n v="65"/>
    <n v="3"/>
    <x v="2"/>
    <x v="3"/>
    <x v="1"/>
    <s v="Married"/>
    <n v="10976"/>
    <n v="15813"/>
    <n v="3"/>
    <s v="Y"/>
    <s v="No"/>
    <n v="18"/>
    <n v="3"/>
    <n v="2"/>
    <n v="80"/>
    <n v="1"/>
    <n v="23"/>
    <n v="4"/>
    <n v="3"/>
    <x v="11"/>
    <n v="2"/>
    <n v="1"/>
    <n v="2"/>
    <s v="46-55"/>
    <s v="Very High"/>
    <s v="3-5"/>
    <s v="Senior"/>
    <s v="Standard"/>
    <s v="Low"/>
    <x v="0"/>
  </r>
  <r>
    <n v="28"/>
    <x v="1"/>
    <s v="Travel_Rarely"/>
    <n v="857"/>
    <x v="1"/>
    <n v="10"/>
    <n v="3"/>
    <s v="Other"/>
    <n v="1"/>
    <n v="1097"/>
    <x v="1"/>
    <s v="Female"/>
    <n v="59"/>
    <n v="3"/>
    <x v="0"/>
    <x v="1"/>
    <x v="2"/>
    <s v="Single"/>
    <n v="3660"/>
    <n v="7909"/>
    <n v="3"/>
    <s v="Y"/>
    <s v="No"/>
    <n v="13"/>
    <n v="3"/>
    <n v="4"/>
    <n v="80"/>
    <n v="0"/>
    <n v="10"/>
    <n v="4"/>
    <n v="4"/>
    <x v="3"/>
    <n v="7"/>
    <n v="1"/>
    <n v="7"/>
    <s v="26-35"/>
    <s v="Medium"/>
    <s v="6-10"/>
    <s v="Mid-Level"/>
    <s v="Standard"/>
    <s v="High"/>
    <x v="0"/>
  </r>
  <r>
    <n v="44"/>
    <x v="0"/>
    <s v="Travel_Rarely"/>
    <n v="1376"/>
    <x v="2"/>
    <n v="1"/>
    <n v="2"/>
    <s v="Medical"/>
    <n v="1"/>
    <n v="1098"/>
    <x v="0"/>
    <s v="Male"/>
    <n v="91"/>
    <n v="2"/>
    <x v="2"/>
    <x v="8"/>
    <x v="3"/>
    <s v="Married"/>
    <n v="10482"/>
    <n v="2326"/>
    <n v="9"/>
    <s v="Y"/>
    <s v="No"/>
    <n v="14"/>
    <n v="3"/>
    <n v="4"/>
    <n v="80"/>
    <n v="1"/>
    <n v="24"/>
    <n v="1"/>
    <n v="3"/>
    <x v="23"/>
    <n v="6"/>
    <n v="3"/>
    <n v="6"/>
    <s v="36-45"/>
    <s v="Very High"/>
    <s v="16+"/>
    <s v="Senior"/>
    <s v="Standard"/>
    <s v="Low"/>
    <x v="0"/>
  </r>
  <r>
    <n v="33"/>
    <x v="1"/>
    <s v="Travel_Rarely"/>
    <n v="654"/>
    <x v="1"/>
    <n v="5"/>
    <n v="3"/>
    <s v="Life Sciences"/>
    <n v="1"/>
    <n v="1099"/>
    <x v="2"/>
    <s v="Male"/>
    <n v="34"/>
    <n v="2"/>
    <x v="2"/>
    <x v="4"/>
    <x v="0"/>
    <s v="Divorced"/>
    <n v="7119"/>
    <n v="21214"/>
    <n v="4"/>
    <s v="Y"/>
    <s v="No"/>
    <n v="15"/>
    <n v="3"/>
    <n v="3"/>
    <n v="80"/>
    <n v="1"/>
    <n v="9"/>
    <n v="2"/>
    <n v="3"/>
    <x v="11"/>
    <n v="2"/>
    <n v="1"/>
    <n v="2"/>
    <s v="26-35"/>
    <s v="High"/>
    <s v="3-5"/>
    <s v="Mid-Level"/>
    <s v="Standard"/>
    <s v="High"/>
    <x v="0"/>
  </r>
  <r>
    <n v="35"/>
    <x v="0"/>
    <s v="Travel_Rarely"/>
    <n v="1204"/>
    <x v="0"/>
    <n v="4"/>
    <n v="3"/>
    <s v="Technical Degree"/>
    <n v="1"/>
    <n v="1100"/>
    <x v="2"/>
    <s v="Male"/>
    <n v="86"/>
    <n v="3"/>
    <x v="2"/>
    <x v="0"/>
    <x v="3"/>
    <s v="Single"/>
    <n v="9582"/>
    <n v="10333"/>
    <n v="0"/>
    <s v="Y"/>
    <s v="Yes"/>
    <n v="22"/>
    <n v="4"/>
    <n v="1"/>
    <n v="80"/>
    <n v="0"/>
    <n v="9"/>
    <n v="2"/>
    <n v="3"/>
    <x v="3"/>
    <n v="7"/>
    <n v="4"/>
    <n v="7"/>
    <s v="26-35"/>
    <s v="High"/>
    <s v="6-10"/>
    <s v="Mid-Level"/>
    <s v="Excellent"/>
    <s v="Low"/>
    <x v="0"/>
  </r>
  <r>
    <n v="33"/>
    <x v="0"/>
    <s v="Travel_Frequently"/>
    <n v="827"/>
    <x v="1"/>
    <n v="29"/>
    <n v="4"/>
    <s v="Medical"/>
    <n v="1"/>
    <n v="1101"/>
    <x v="3"/>
    <s v="Female"/>
    <n v="54"/>
    <n v="2"/>
    <x v="0"/>
    <x v="1"/>
    <x v="2"/>
    <s v="Single"/>
    <n v="4508"/>
    <n v="3129"/>
    <n v="1"/>
    <s v="Y"/>
    <s v="No"/>
    <n v="22"/>
    <n v="4"/>
    <n v="2"/>
    <n v="80"/>
    <n v="0"/>
    <n v="14"/>
    <n v="4"/>
    <n v="3"/>
    <x v="20"/>
    <n v="7"/>
    <n v="3"/>
    <n v="8"/>
    <s v="26-35"/>
    <s v="Medium"/>
    <s v="11-15"/>
    <s v="Mid-Level"/>
    <s v="Excellent"/>
    <s v="High"/>
    <x v="0"/>
  </r>
  <r>
    <n v="28"/>
    <x v="1"/>
    <s v="Travel_Rarely"/>
    <n v="895"/>
    <x v="1"/>
    <n v="15"/>
    <n v="2"/>
    <s v="Life Sciences"/>
    <n v="1"/>
    <n v="1102"/>
    <x v="3"/>
    <s v="Male"/>
    <n v="50"/>
    <n v="3"/>
    <x v="1"/>
    <x v="2"/>
    <x v="2"/>
    <s v="Divorced"/>
    <n v="2207"/>
    <n v="22482"/>
    <n v="1"/>
    <s v="Y"/>
    <s v="No"/>
    <n v="16"/>
    <n v="3"/>
    <n v="4"/>
    <n v="80"/>
    <n v="1"/>
    <n v="4"/>
    <n v="5"/>
    <n v="2"/>
    <x v="9"/>
    <n v="2"/>
    <n v="2"/>
    <n v="2"/>
    <s v="26-35"/>
    <s v="Low"/>
    <s v="3-5"/>
    <s v="Junior"/>
    <s v="Standard"/>
    <s v="High"/>
    <x v="0"/>
  </r>
  <r>
    <n v="34"/>
    <x v="1"/>
    <s v="Travel_Frequently"/>
    <n v="618"/>
    <x v="1"/>
    <n v="3"/>
    <n v="1"/>
    <s v="Life Sciences"/>
    <n v="1"/>
    <n v="1103"/>
    <x v="3"/>
    <s v="Male"/>
    <n v="45"/>
    <n v="3"/>
    <x v="0"/>
    <x v="4"/>
    <x v="0"/>
    <s v="Single"/>
    <n v="7756"/>
    <n v="22266"/>
    <n v="0"/>
    <s v="Y"/>
    <s v="No"/>
    <n v="17"/>
    <n v="3"/>
    <n v="3"/>
    <n v="80"/>
    <n v="0"/>
    <n v="7"/>
    <n v="1"/>
    <n v="2"/>
    <x v="0"/>
    <n v="2"/>
    <n v="0"/>
    <n v="4"/>
    <s v="26-35"/>
    <s v="High"/>
    <s v="6-10"/>
    <s v="Mid-Level"/>
    <s v="Standard"/>
    <s v="High"/>
    <x v="0"/>
  </r>
  <r>
    <n v="37"/>
    <x v="1"/>
    <s v="Travel_Rarely"/>
    <n v="309"/>
    <x v="0"/>
    <n v="10"/>
    <n v="4"/>
    <s v="Life Sciences"/>
    <n v="1"/>
    <n v="1105"/>
    <x v="2"/>
    <s v="Female"/>
    <n v="88"/>
    <n v="2"/>
    <x v="0"/>
    <x v="0"/>
    <x v="0"/>
    <s v="Divorced"/>
    <n v="6694"/>
    <n v="24223"/>
    <n v="2"/>
    <s v="Y"/>
    <s v="Yes"/>
    <n v="14"/>
    <n v="3"/>
    <n v="3"/>
    <n v="80"/>
    <n v="3"/>
    <n v="8"/>
    <n v="5"/>
    <n v="3"/>
    <x v="6"/>
    <n v="0"/>
    <n v="0"/>
    <n v="0"/>
    <s v="36-45"/>
    <s v="High"/>
    <s v="0-2"/>
    <s v="Mid-Level"/>
    <s v="Standard"/>
    <s v="High"/>
    <x v="0"/>
  </r>
  <r>
    <n v="25"/>
    <x v="0"/>
    <s v="Travel_Rarely"/>
    <n v="1219"/>
    <x v="1"/>
    <n v="4"/>
    <n v="1"/>
    <s v="Technical Degree"/>
    <n v="1"/>
    <n v="1106"/>
    <x v="2"/>
    <s v="Male"/>
    <n v="32"/>
    <n v="3"/>
    <x v="1"/>
    <x v="2"/>
    <x v="0"/>
    <s v="Married"/>
    <n v="3691"/>
    <n v="4605"/>
    <n v="1"/>
    <s v="Y"/>
    <s v="Yes"/>
    <n v="15"/>
    <n v="3"/>
    <n v="2"/>
    <n v="80"/>
    <n v="1"/>
    <n v="7"/>
    <n v="3"/>
    <n v="4"/>
    <x v="5"/>
    <n v="7"/>
    <n v="5"/>
    <n v="6"/>
    <s v="18-25"/>
    <s v="Medium"/>
    <s v="6-10"/>
    <s v="Mid-Level"/>
    <s v="Standard"/>
    <s v="High"/>
    <x v="0"/>
  </r>
  <r>
    <n v="26"/>
    <x v="0"/>
    <s v="Travel_Rarely"/>
    <n v="1330"/>
    <x v="1"/>
    <n v="21"/>
    <n v="3"/>
    <s v="Medical"/>
    <n v="1"/>
    <n v="1107"/>
    <x v="3"/>
    <s v="Male"/>
    <n v="37"/>
    <n v="3"/>
    <x v="1"/>
    <x v="2"/>
    <x v="2"/>
    <s v="Divorced"/>
    <n v="2377"/>
    <n v="19373"/>
    <n v="1"/>
    <s v="Y"/>
    <s v="No"/>
    <n v="20"/>
    <n v="4"/>
    <n v="3"/>
    <n v="80"/>
    <n v="1"/>
    <n v="1"/>
    <n v="0"/>
    <n v="2"/>
    <x v="6"/>
    <n v="1"/>
    <n v="0"/>
    <n v="0"/>
    <s v="26-35"/>
    <s v="Low"/>
    <s v="0-2"/>
    <s v="Junior"/>
    <s v="Excellent"/>
    <s v="High"/>
    <x v="0"/>
  </r>
  <r>
    <n v="33"/>
    <x v="0"/>
    <s v="Travel_Rarely"/>
    <n v="1017"/>
    <x v="1"/>
    <n v="25"/>
    <n v="3"/>
    <s v="Medical"/>
    <n v="1"/>
    <n v="1108"/>
    <x v="3"/>
    <s v="Male"/>
    <n v="55"/>
    <n v="2"/>
    <x v="1"/>
    <x v="1"/>
    <x v="1"/>
    <s v="Single"/>
    <n v="2313"/>
    <n v="2993"/>
    <n v="4"/>
    <s v="Y"/>
    <s v="Yes"/>
    <n v="20"/>
    <n v="4"/>
    <n v="2"/>
    <n v="80"/>
    <n v="0"/>
    <n v="5"/>
    <n v="0"/>
    <n v="3"/>
    <x v="4"/>
    <n v="2"/>
    <n v="2"/>
    <n v="2"/>
    <s v="26-35"/>
    <s v="Low"/>
    <s v="0-2"/>
    <s v="Junior"/>
    <s v="Excellent"/>
    <s v="Low"/>
    <x v="1"/>
  </r>
  <r>
    <n v="42"/>
    <x v="1"/>
    <s v="Travel_Rarely"/>
    <n v="469"/>
    <x v="1"/>
    <n v="2"/>
    <n v="2"/>
    <s v="Medical"/>
    <n v="1"/>
    <n v="1109"/>
    <x v="2"/>
    <s v="Male"/>
    <n v="35"/>
    <n v="3"/>
    <x v="3"/>
    <x v="5"/>
    <x v="3"/>
    <s v="Married"/>
    <n v="17665"/>
    <n v="14399"/>
    <n v="0"/>
    <s v="Y"/>
    <s v="No"/>
    <n v="17"/>
    <n v="3"/>
    <n v="4"/>
    <n v="80"/>
    <n v="1"/>
    <n v="23"/>
    <n v="3"/>
    <n v="3"/>
    <x v="14"/>
    <n v="6"/>
    <n v="13"/>
    <n v="7"/>
    <s v="36-45"/>
    <s v="Very High"/>
    <s v="16+"/>
    <s v="Senior"/>
    <s v="Standard"/>
    <s v="Low"/>
    <x v="0"/>
  </r>
  <r>
    <n v="28"/>
    <x v="0"/>
    <s v="Travel_Frequently"/>
    <n v="1009"/>
    <x v="1"/>
    <n v="1"/>
    <n v="3"/>
    <s v="Medical"/>
    <n v="1"/>
    <n v="1111"/>
    <x v="3"/>
    <s v="Male"/>
    <n v="45"/>
    <n v="2"/>
    <x v="1"/>
    <x v="2"/>
    <x v="1"/>
    <s v="Divorced"/>
    <n v="2596"/>
    <n v="7160"/>
    <n v="1"/>
    <s v="Y"/>
    <s v="No"/>
    <n v="15"/>
    <n v="3"/>
    <n v="1"/>
    <n v="80"/>
    <n v="2"/>
    <n v="1"/>
    <n v="2"/>
    <n v="3"/>
    <x v="6"/>
    <n v="0"/>
    <n v="0"/>
    <n v="0"/>
    <s v="26-35"/>
    <s v="Low"/>
    <s v="0-2"/>
    <s v="Junior"/>
    <s v="Standard"/>
    <s v="Low"/>
    <x v="0"/>
  </r>
  <r>
    <n v="50"/>
    <x v="0"/>
    <s v="Travel_Frequently"/>
    <n v="959"/>
    <x v="0"/>
    <n v="1"/>
    <n v="4"/>
    <s v="Other"/>
    <n v="1"/>
    <n v="1113"/>
    <x v="2"/>
    <s v="Male"/>
    <n v="81"/>
    <n v="3"/>
    <x v="0"/>
    <x v="0"/>
    <x v="2"/>
    <s v="Single"/>
    <n v="4728"/>
    <n v="17251"/>
    <n v="3"/>
    <s v="Y"/>
    <s v="Yes"/>
    <n v="14"/>
    <n v="3"/>
    <n v="4"/>
    <n v="80"/>
    <n v="0"/>
    <n v="5"/>
    <n v="4"/>
    <n v="3"/>
    <x v="2"/>
    <n v="0"/>
    <n v="0"/>
    <n v="0"/>
    <s v="46-55"/>
    <s v="Medium"/>
    <s v="0-2"/>
    <s v="Junior"/>
    <s v="Standard"/>
    <s v="High"/>
    <x v="0"/>
  </r>
  <r>
    <n v="33"/>
    <x v="1"/>
    <s v="Travel_Frequently"/>
    <n v="970"/>
    <x v="0"/>
    <n v="7"/>
    <n v="3"/>
    <s v="Life Sciences"/>
    <n v="1"/>
    <n v="1114"/>
    <x v="2"/>
    <s v="Female"/>
    <n v="30"/>
    <n v="3"/>
    <x v="0"/>
    <x v="0"/>
    <x v="1"/>
    <s v="Married"/>
    <n v="4302"/>
    <n v="13401"/>
    <n v="0"/>
    <s v="Y"/>
    <s v="No"/>
    <n v="17"/>
    <n v="3"/>
    <n v="3"/>
    <n v="80"/>
    <n v="1"/>
    <n v="4"/>
    <n v="3"/>
    <n v="3"/>
    <x v="11"/>
    <n v="2"/>
    <n v="0"/>
    <n v="2"/>
    <s v="26-35"/>
    <s v="Medium"/>
    <s v="3-5"/>
    <s v="Junior"/>
    <s v="Standard"/>
    <s v="Low"/>
    <x v="0"/>
  </r>
  <r>
    <n v="34"/>
    <x v="1"/>
    <s v="Non-Travel"/>
    <n v="697"/>
    <x v="1"/>
    <n v="3"/>
    <n v="4"/>
    <s v="Life Sciences"/>
    <n v="1"/>
    <n v="1115"/>
    <x v="1"/>
    <s v="Male"/>
    <n v="40"/>
    <n v="2"/>
    <x v="1"/>
    <x v="1"/>
    <x v="0"/>
    <s v="Married"/>
    <n v="2979"/>
    <n v="22478"/>
    <n v="3"/>
    <s v="Y"/>
    <s v="No"/>
    <n v="17"/>
    <n v="3"/>
    <n v="4"/>
    <n v="80"/>
    <n v="3"/>
    <n v="6"/>
    <n v="2"/>
    <n v="3"/>
    <x v="2"/>
    <n v="0"/>
    <n v="0"/>
    <n v="0"/>
    <s v="26-35"/>
    <s v="Low"/>
    <s v="0-2"/>
    <s v="Mid-Level"/>
    <s v="Standard"/>
    <s v="High"/>
    <x v="0"/>
  </r>
  <r>
    <n v="48"/>
    <x v="1"/>
    <s v="Non-Travel"/>
    <n v="1262"/>
    <x v="1"/>
    <n v="1"/>
    <n v="4"/>
    <s v="Medical"/>
    <n v="1"/>
    <n v="1116"/>
    <x v="3"/>
    <s v="Male"/>
    <n v="35"/>
    <n v="4"/>
    <x v="3"/>
    <x v="5"/>
    <x v="0"/>
    <s v="Single"/>
    <n v="16885"/>
    <n v="16154"/>
    <n v="2"/>
    <s v="Y"/>
    <s v="No"/>
    <n v="22"/>
    <n v="4"/>
    <n v="3"/>
    <n v="80"/>
    <n v="0"/>
    <n v="27"/>
    <n v="3"/>
    <n v="2"/>
    <x v="8"/>
    <n v="4"/>
    <n v="2"/>
    <n v="1"/>
    <s v="46-55"/>
    <s v="Very High"/>
    <s v="3-5"/>
    <s v="Senior"/>
    <s v="Excellent"/>
    <s v="High"/>
    <x v="0"/>
  </r>
  <r>
    <n v="45"/>
    <x v="1"/>
    <s v="Non-Travel"/>
    <n v="1050"/>
    <x v="0"/>
    <n v="9"/>
    <n v="4"/>
    <s v="Life Sciences"/>
    <n v="1"/>
    <n v="1117"/>
    <x v="0"/>
    <s v="Female"/>
    <n v="65"/>
    <n v="2"/>
    <x v="0"/>
    <x v="0"/>
    <x v="2"/>
    <s v="Married"/>
    <n v="5593"/>
    <n v="17970"/>
    <n v="1"/>
    <s v="Y"/>
    <s v="No"/>
    <n v="13"/>
    <n v="3"/>
    <n v="4"/>
    <n v="80"/>
    <n v="1"/>
    <n v="15"/>
    <n v="2"/>
    <n v="3"/>
    <x v="15"/>
    <n v="10"/>
    <n v="4"/>
    <n v="12"/>
    <s v="36-45"/>
    <s v="Medium"/>
    <s v="11-15"/>
    <s v="Mid-Level"/>
    <s v="Standard"/>
    <s v="High"/>
    <x v="0"/>
  </r>
  <r>
    <n v="52"/>
    <x v="1"/>
    <s v="Travel_Rarely"/>
    <n v="994"/>
    <x v="1"/>
    <n v="7"/>
    <n v="4"/>
    <s v="Life Sciences"/>
    <n v="1"/>
    <n v="1118"/>
    <x v="0"/>
    <s v="Male"/>
    <n v="87"/>
    <n v="3"/>
    <x v="2"/>
    <x v="4"/>
    <x v="1"/>
    <s v="Single"/>
    <n v="10445"/>
    <n v="15322"/>
    <n v="7"/>
    <s v="Y"/>
    <s v="No"/>
    <n v="19"/>
    <n v="3"/>
    <n v="4"/>
    <n v="80"/>
    <n v="0"/>
    <n v="18"/>
    <n v="4"/>
    <n v="3"/>
    <x v="3"/>
    <n v="6"/>
    <n v="4"/>
    <n v="0"/>
    <s v="46-55"/>
    <s v="Very High"/>
    <s v="6-10"/>
    <s v="Senior"/>
    <s v="Standard"/>
    <s v="Low"/>
    <x v="0"/>
  </r>
  <r>
    <n v="38"/>
    <x v="1"/>
    <s v="Travel_Rarely"/>
    <n v="770"/>
    <x v="0"/>
    <n v="10"/>
    <n v="4"/>
    <s v="Marketing"/>
    <n v="1"/>
    <n v="1119"/>
    <x v="1"/>
    <s v="Male"/>
    <n v="73"/>
    <n v="2"/>
    <x v="2"/>
    <x v="0"/>
    <x v="2"/>
    <s v="Divorced"/>
    <n v="8740"/>
    <n v="5569"/>
    <n v="0"/>
    <s v="Y"/>
    <s v="Yes"/>
    <n v="14"/>
    <n v="3"/>
    <n v="2"/>
    <n v="80"/>
    <n v="2"/>
    <n v="9"/>
    <n v="2"/>
    <n v="3"/>
    <x v="3"/>
    <n v="7"/>
    <n v="2"/>
    <n v="7"/>
    <s v="36-45"/>
    <s v="High"/>
    <s v="6-10"/>
    <s v="Mid-Level"/>
    <s v="Standard"/>
    <s v="High"/>
    <x v="0"/>
  </r>
  <r>
    <n v="29"/>
    <x v="1"/>
    <s v="Travel_Rarely"/>
    <n v="1107"/>
    <x v="1"/>
    <n v="28"/>
    <n v="4"/>
    <s v="Life Sciences"/>
    <n v="1"/>
    <n v="1120"/>
    <x v="1"/>
    <s v="Female"/>
    <n v="93"/>
    <n v="3"/>
    <x v="1"/>
    <x v="1"/>
    <x v="0"/>
    <s v="Divorced"/>
    <n v="2514"/>
    <n v="26968"/>
    <n v="4"/>
    <s v="Y"/>
    <s v="No"/>
    <n v="22"/>
    <n v="4"/>
    <n v="1"/>
    <n v="80"/>
    <n v="1"/>
    <n v="11"/>
    <n v="1"/>
    <n v="3"/>
    <x v="5"/>
    <n v="5"/>
    <n v="1"/>
    <n v="7"/>
    <s v="26-35"/>
    <s v="Low"/>
    <s v="6-10"/>
    <s v="Mid-Level"/>
    <s v="Excellent"/>
    <s v="High"/>
    <x v="0"/>
  </r>
  <r>
    <n v="28"/>
    <x v="1"/>
    <s v="Travel_Rarely"/>
    <n v="950"/>
    <x v="1"/>
    <n v="3"/>
    <n v="3"/>
    <s v="Medical"/>
    <n v="1"/>
    <n v="1121"/>
    <x v="2"/>
    <s v="Female"/>
    <n v="93"/>
    <n v="3"/>
    <x v="2"/>
    <x v="3"/>
    <x v="1"/>
    <s v="Divorced"/>
    <n v="7655"/>
    <n v="8039"/>
    <n v="0"/>
    <s v="Y"/>
    <s v="No"/>
    <n v="17"/>
    <n v="3"/>
    <n v="2"/>
    <n v="80"/>
    <n v="3"/>
    <n v="10"/>
    <n v="3"/>
    <n v="2"/>
    <x v="7"/>
    <n v="7"/>
    <n v="1"/>
    <n v="7"/>
    <s v="26-35"/>
    <s v="High"/>
    <s v="6-10"/>
    <s v="Mid-Level"/>
    <s v="Standard"/>
    <s v="Low"/>
    <x v="0"/>
  </r>
  <r>
    <n v="46"/>
    <x v="1"/>
    <s v="Travel_Rarely"/>
    <n v="406"/>
    <x v="0"/>
    <n v="3"/>
    <n v="1"/>
    <s v="Marketing"/>
    <n v="1"/>
    <n v="1124"/>
    <x v="3"/>
    <s v="Male"/>
    <n v="52"/>
    <n v="3"/>
    <x v="3"/>
    <x v="5"/>
    <x v="2"/>
    <s v="Married"/>
    <n v="17465"/>
    <n v="15596"/>
    <n v="3"/>
    <s v="Y"/>
    <s v="No"/>
    <n v="12"/>
    <n v="3"/>
    <n v="4"/>
    <n v="80"/>
    <n v="1"/>
    <n v="23"/>
    <n v="3"/>
    <n v="3"/>
    <x v="12"/>
    <n v="9"/>
    <n v="4"/>
    <n v="9"/>
    <s v="46-55"/>
    <s v="Very High"/>
    <s v="11-15"/>
    <s v="Senior"/>
    <s v="Standard"/>
    <s v="High"/>
    <x v="0"/>
  </r>
  <r>
    <n v="38"/>
    <x v="1"/>
    <s v="Travel_Rarely"/>
    <n v="130"/>
    <x v="0"/>
    <n v="2"/>
    <n v="2"/>
    <s v="Marketing"/>
    <n v="1"/>
    <n v="1125"/>
    <x v="2"/>
    <s v="Male"/>
    <n v="32"/>
    <n v="3"/>
    <x v="2"/>
    <x v="0"/>
    <x v="1"/>
    <s v="Single"/>
    <n v="7351"/>
    <n v="20619"/>
    <n v="7"/>
    <s v="Y"/>
    <s v="No"/>
    <n v="16"/>
    <n v="3"/>
    <n v="3"/>
    <n v="80"/>
    <n v="0"/>
    <n v="10"/>
    <n v="2"/>
    <n v="3"/>
    <x v="6"/>
    <n v="0"/>
    <n v="0"/>
    <n v="0"/>
    <s v="36-45"/>
    <s v="High"/>
    <s v="0-2"/>
    <s v="Mid-Level"/>
    <s v="Standard"/>
    <s v="Low"/>
    <x v="0"/>
  </r>
  <r>
    <n v="43"/>
    <x v="1"/>
    <s v="Travel_Frequently"/>
    <n v="1082"/>
    <x v="1"/>
    <n v="27"/>
    <n v="3"/>
    <s v="Life Sciences"/>
    <n v="1"/>
    <n v="1126"/>
    <x v="1"/>
    <s v="Female"/>
    <n v="83"/>
    <n v="3"/>
    <x v="2"/>
    <x v="3"/>
    <x v="3"/>
    <s v="Married"/>
    <n v="10820"/>
    <n v="11535"/>
    <n v="8"/>
    <s v="Y"/>
    <s v="No"/>
    <n v="11"/>
    <n v="3"/>
    <n v="3"/>
    <n v="80"/>
    <n v="1"/>
    <n v="18"/>
    <n v="1"/>
    <n v="3"/>
    <x v="3"/>
    <n v="7"/>
    <n v="0"/>
    <n v="1"/>
    <s v="36-45"/>
    <s v="Very High"/>
    <s v="6-10"/>
    <s v="Senior"/>
    <s v="Standard"/>
    <s v="Low"/>
    <x v="0"/>
  </r>
  <r>
    <n v="39"/>
    <x v="0"/>
    <s v="Travel_Frequently"/>
    <n v="203"/>
    <x v="1"/>
    <n v="2"/>
    <n v="3"/>
    <s v="Life Sciences"/>
    <n v="1"/>
    <n v="1127"/>
    <x v="3"/>
    <s v="Male"/>
    <n v="84"/>
    <n v="3"/>
    <x v="3"/>
    <x v="4"/>
    <x v="0"/>
    <s v="Divorced"/>
    <n v="12169"/>
    <n v="13547"/>
    <n v="7"/>
    <s v="Y"/>
    <s v="No"/>
    <n v="11"/>
    <n v="3"/>
    <n v="4"/>
    <n v="80"/>
    <n v="3"/>
    <n v="21"/>
    <n v="4"/>
    <n v="3"/>
    <x v="29"/>
    <n v="7"/>
    <n v="11"/>
    <n v="5"/>
    <s v="36-45"/>
    <s v="Very High"/>
    <s v="16+"/>
    <s v="Senior"/>
    <s v="Standard"/>
    <s v="High"/>
    <x v="0"/>
  </r>
  <r>
    <n v="40"/>
    <x v="1"/>
    <s v="Travel_Rarely"/>
    <n v="1308"/>
    <x v="1"/>
    <n v="14"/>
    <n v="3"/>
    <s v="Medical"/>
    <n v="1"/>
    <n v="1128"/>
    <x v="1"/>
    <s v="Male"/>
    <n v="44"/>
    <n v="2"/>
    <x v="4"/>
    <x v="7"/>
    <x v="2"/>
    <s v="Single"/>
    <n v="19626"/>
    <n v="17544"/>
    <n v="1"/>
    <s v="Y"/>
    <s v="No"/>
    <n v="14"/>
    <n v="3"/>
    <n v="1"/>
    <n v="80"/>
    <n v="0"/>
    <n v="21"/>
    <n v="2"/>
    <n v="4"/>
    <x v="23"/>
    <n v="7"/>
    <n v="4"/>
    <n v="9"/>
    <s v="36-45"/>
    <s v="Very High"/>
    <s v="16+"/>
    <s v="Senior"/>
    <s v="Standard"/>
    <s v="High"/>
    <x v="0"/>
  </r>
  <r>
    <n v="21"/>
    <x v="1"/>
    <s v="Travel_Rarely"/>
    <n v="984"/>
    <x v="1"/>
    <n v="1"/>
    <n v="1"/>
    <s v="Technical Degree"/>
    <n v="1"/>
    <n v="1131"/>
    <x v="2"/>
    <s v="Female"/>
    <n v="70"/>
    <n v="2"/>
    <x v="1"/>
    <x v="1"/>
    <x v="1"/>
    <s v="Single"/>
    <n v="2070"/>
    <n v="25326"/>
    <n v="1"/>
    <s v="Y"/>
    <s v="Yes"/>
    <n v="11"/>
    <n v="3"/>
    <n v="3"/>
    <n v="80"/>
    <n v="0"/>
    <n v="2"/>
    <n v="6"/>
    <n v="4"/>
    <x v="4"/>
    <n v="2"/>
    <n v="2"/>
    <n v="2"/>
    <s v="18-25"/>
    <s v="Low"/>
    <s v="0-2"/>
    <s v="Junior"/>
    <s v="Standard"/>
    <s v="Low"/>
    <x v="1"/>
  </r>
  <r>
    <n v="39"/>
    <x v="1"/>
    <s v="Non-Travel"/>
    <n v="439"/>
    <x v="1"/>
    <n v="9"/>
    <n v="3"/>
    <s v="Life Sciences"/>
    <n v="1"/>
    <n v="1132"/>
    <x v="1"/>
    <s v="Male"/>
    <n v="70"/>
    <n v="3"/>
    <x v="0"/>
    <x v="2"/>
    <x v="1"/>
    <s v="Single"/>
    <n v="6782"/>
    <n v="8770"/>
    <n v="9"/>
    <s v="Y"/>
    <s v="No"/>
    <n v="15"/>
    <n v="3"/>
    <n v="3"/>
    <n v="80"/>
    <n v="0"/>
    <n v="9"/>
    <n v="2"/>
    <n v="2"/>
    <x v="8"/>
    <n v="4"/>
    <n v="0"/>
    <n v="3"/>
    <s v="36-45"/>
    <s v="High"/>
    <s v="3-5"/>
    <s v="Mid-Level"/>
    <s v="Standard"/>
    <s v="Low"/>
    <x v="0"/>
  </r>
  <r>
    <n v="36"/>
    <x v="1"/>
    <s v="Non-Travel"/>
    <n v="217"/>
    <x v="1"/>
    <n v="18"/>
    <n v="4"/>
    <s v="Life Sciences"/>
    <n v="1"/>
    <n v="1133"/>
    <x v="3"/>
    <s v="Male"/>
    <n v="78"/>
    <n v="3"/>
    <x v="0"/>
    <x v="3"/>
    <x v="0"/>
    <s v="Single"/>
    <n v="7779"/>
    <n v="23238"/>
    <n v="2"/>
    <s v="Y"/>
    <s v="No"/>
    <n v="20"/>
    <n v="4"/>
    <n v="1"/>
    <n v="80"/>
    <n v="0"/>
    <n v="18"/>
    <n v="0"/>
    <n v="3"/>
    <x v="19"/>
    <n v="9"/>
    <n v="0"/>
    <n v="9"/>
    <s v="36-45"/>
    <s v="High"/>
    <s v="11-15"/>
    <s v="Senior"/>
    <s v="Excellent"/>
    <s v="High"/>
    <x v="0"/>
  </r>
  <r>
    <n v="31"/>
    <x v="1"/>
    <s v="Travel_Frequently"/>
    <n v="793"/>
    <x v="0"/>
    <n v="20"/>
    <n v="3"/>
    <s v="Life Sciences"/>
    <n v="1"/>
    <n v="1135"/>
    <x v="1"/>
    <s v="Male"/>
    <n v="67"/>
    <n v="4"/>
    <x v="1"/>
    <x v="6"/>
    <x v="0"/>
    <s v="Married"/>
    <n v="2791"/>
    <n v="21981"/>
    <n v="0"/>
    <s v="Y"/>
    <s v="No"/>
    <n v="12"/>
    <n v="3"/>
    <n v="1"/>
    <n v="80"/>
    <n v="1"/>
    <n v="3"/>
    <n v="4"/>
    <n v="3"/>
    <x v="4"/>
    <n v="2"/>
    <n v="2"/>
    <n v="2"/>
    <s v="26-35"/>
    <s v="Low"/>
    <s v="0-2"/>
    <s v="Junior"/>
    <s v="Standard"/>
    <s v="High"/>
    <x v="0"/>
  </r>
  <r>
    <n v="28"/>
    <x v="1"/>
    <s v="Travel_Rarely"/>
    <n v="1451"/>
    <x v="1"/>
    <n v="2"/>
    <n v="1"/>
    <s v="Life Sciences"/>
    <n v="1"/>
    <n v="1136"/>
    <x v="3"/>
    <s v="Male"/>
    <n v="67"/>
    <n v="2"/>
    <x v="1"/>
    <x v="1"/>
    <x v="1"/>
    <s v="Married"/>
    <n v="3201"/>
    <n v="19911"/>
    <n v="0"/>
    <s v="Y"/>
    <s v="No"/>
    <n v="17"/>
    <n v="3"/>
    <n v="1"/>
    <n v="80"/>
    <n v="0"/>
    <n v="6"/>
    <n v="2"/>
    <n v="1"/>
    <x v="8"/>
    <n v="3"/>
    <n v="0"/>
    <n v="4"/>
    <s v="26-35"/>
    <s v="Medium"/>
    <s v="3-5"/>
    <s v="Mid-Level"/>
    <s v="Standard"/>
    <s v="Low"/>
    <x v="0"/>
  </r>
  <r>
    <n v="35"/>
    <x v="1"/>
    <s v="Travel_Frequently"/>
    <n v="1182"/>
    <x v="0"/>
    <n v="11"/>
    <n v="2"/>
    <s v="Marketing"/>
    <n v="1"/>
    <n v="1137"/>
    <x v="2"/>
    <s v="Male"/>
    <n v="54"/>
    <n v="3"/>
    <x v="0"/>
    <x v="0"/>
    <x v="0"/>
    <s v="Divorced"/>
    <n v="4968"/>
    <n v="18500"/>
    <n v="1"/>
    <s v="Y"/>
    <s v="No"/>
    <n v="11"/>
    <n v="3"/>
    <n v="4"/>
    <n v="80"/>
    <n v="1"/>
    <n v="5"/>
    <n v="3"/>
    <n v="3"/>
    <x v="8"/>
    <n v="2"/>
    <n v="0"/>
    <n v="2"/>
    <s v="26-35"/>
    <s v="Medium"/>
    <s v="3-5"/>
    <s v="Junior"/>
    <s v="Standard"/>
    <s v="High"/>
    <x v="0"/>
  </r>
  <r>
    <n v="49"/>
    <x v="1"/>
    <s v="Travel_Rarely"/>
    <n v="174"/>
    <x v="0"/>
    <n v="8"/>
    <n v="4"/>
    <s v="Technical Degree"/>
    <n v="1"/>
    <n v="1138"/>
    <x v="2"/>
    <s v="Male"/>
    <n v="56"/>
    <n v="2"/>
    <x v="3"/>
    <x v="0"/>
    <x v="1"/>
    <s v="Married"/>
    <n v="13120"/>
    <n v="11879"/>
    <n v="6"/>
    <s v="Y"/>
    <s v="No"/>
    <n v="17"/>
    <n v="3"/>
    <n v="2"/>
    <n v="80"/>
    <n v="1"/>
    <n v="22"/>
    <n v="3"/>
    <n v="3"/>
    <x v="7"/>
    <n v="8"/>
    <n v="2"/>
    <n v="3"/>
    <s v="46-55"/>
    <s v="Very High"/>
    <s v="6-10"/>
    <s v="Senior"/>
    <s v="Standard"/>
    <s v="Low"/>
    <x v="0"/>
  </r>
  <r>
    <n v="34"/>
    <x v="1"/>
    <s v="Travel_Frequently"/>
    <n v="1003"/>
    <x v="1"/>
    <n v="2"/>
    <n v="2"/>
    <s v="Life Sciences"/>
    <n v="1"/>
    <n v="1140"/>
    <x v="2"/>
    <s v="Male"/>
    <n v="95"/>
    <n v="3"/>
    <x v="0"/>
    <x v="3"/>
    <x v="2"/>
    <s v="Single"/>
    <n v="4033"/>
    <n v="15834"/>
    <n v="2"/>
    <s v="Y"/>
    <s v="No"/>
    <n v="11"/>
    <n v="3"/>
    <n v="4"/>
    <n v="80"/>
    <n v="0"/>
    <n v="5"/>
    <n v="3"/>
    <n v="2"/>
    <x v="11"/>
    <n v="2"/>
    <n v="0"/>
    <n v="2"/>
    <s v="26-35"/>
    <s v="Medium"/>
    <s v="3-5"/>
    <s v="Junior"/>
    <s v="Standard"/>
    <s v="High"/>
    <x v="0"/>
  </r>
  <r>
    <n v="29"/>
    <x v="1"/>
    <s v="Travel_Frequently"/>
    <n v="490"/>
    <x v="1"/>
    <n v="10"/>
    <n v="3"/>
    <s v="Life Sciences"/>
    <n v="1"/>
    <n v="1143"/>
    <x v="2"/>
    <s v="Female"/>
    <n v="61"/>
    <n v="3"/>
    <x v="1"/>
    <x v="1"/>
    <x v="1"/>
    <s v="Divorced"/>
    <n v="3291"/>
    <n v="17940"/>
    <n v="0"/>
    <s v="Y"/>
    <s v="No"/>
    <n v="14"/>
    <n v="3"/>
    <n v="4"/>
    <n v="80"/>
    <n v="2"/>
    <n v="8"/>
    <n v="2"/>
    <n v="2"/>
    <x v="5"/>
    <n v="5"/>
    <n v="1"/>
    <n v="1"/>
    <s v="26-35"/>
    <s v="Medium"/>
    <s v="6-10"/>
    <s v="Mid-Level"/>
    <s v="Standard"/>
    <s v="Low"/>
    <x v="0"/>
  </r>
  <r>
    <n v="42"/>
    <x v="1"/>
    <s v="Travel_Rarely"/>
    <n v="188"/>
    <x v="1"/>
    <n v="29"/>
    <n v="3"/>
    <s v="Medical"/>
    <n v="1"/>
    <n v="1148"/>
    <x v="0"/>
    <s v="Male"/>
    <n v="56"/>
    <n v="1"/>
    <x v="0"/>
    <x v="2"/>
    <x v="0"/>
    <s v="Single"/>
    <n v="4272"/>
    <n v="9558"/>
    <n v="4"/>
    <s v="Y"/>
    <s v="No"/>
    <n v="19"/>
    <n v="3"/>
    <n v="1"/>
    <n v="80"/>
    <n v="0"/>
    <n v="16"/>
    <n v="3"/>
    <n v="3"/>
    <x v="6"/>
    <n v="0"/>
    <n v="0"/>
    <n v="0"/>
    <s v="36-45"/>
    <s v="Medium"/>
    <s v="0-2"/>
    <s v="Senior"/>
    <s v="Standard"/>
    <s v="High"/>
    <x v="0"/>
  </r>
  <r>
    <n v="29"/>
    <x v="1"/>
    <s v="Travel_Rarely"/>
    <n v="718"/>
    <x v="1"/>
    <n v="8"/>
    <n v="1"/>
    <s v="Medical"/>
    <n v="1"/>
    <n v="1150"/>
    <x v="0"/>
    <s v="Male"/>
    <n v="79"/>
    <n v="2"/>
    <x v="0"/>
    <x v="3"/>
    <x v="0"/>
    <s v="Married"/>
    <n v="5056"/>
    <n v="17689"/>
    <n v="1"/>
    <s v="Y"/>
    <s v="Yes"/>
    <n v="15"/>
    <n v="3"/>
    <n v="3"/>
    <n v="80"/>
    <n v="1"/>
    <n v="10"/>
    <n v="2"/>
    <n v="2"/>
    <x v="1"/>
    <n v="7"/>
    <n v="1"/>
    <n v="2"/>
    <s v="26-35"/>
    <s v="Medium"/>
    <s v="6-10"/>
    <s v="Mid-Level"/>
    <s v="Standard"/>
    <s v="High"/>
    <x v="0"/>
  </r>
  <r>
    <n v="38"/>
    <x v="1"/>
    <s v="Travel_Rarely"/>
    <n v="433"/>
    <x v="2"/>
    <n v="1"/>
    <n v="3"/>
    <s v="Human Resources"/>
    <n v="1"/>
    <n v="1152"/>
    <x v="1"/>
    <s v="Male"/>
    <n v="37"/>
    <n v="4"/>
    <x v="1"/>
    <x v="8"/>
    <x v="2"/>
    <s v="Married"/>
    <n v="2844"/>
    <n v="6004"/>
    <n v="1"/>
    <s v="Y"/>
    <s v="No"/>
    <n v="13"/>
    <n v="3"/>
    <n v="4"/>
    <n v="80"/>
    <n v="1"/>
    <n v="7"/>
    <n v="2"/>
    <n v="4"/>
    <x v="5"/>
    <n v="6"/>
    <n v="5"/>
    <n v="0"/>
    <s v="36-45"/>
    <s v="Low"/>
    <s v="6-10"/>
    <s v="Mid-Level"/>
    <s v="Standard"/>
    <s v="High"/>
    <x v="0"/>
  </r>
  <r>
    <n v="28"/>
    <x v="1"/>
    <s v="Travel_Frequently"/>
    <n v="773"/>
    <x v="1"/>
    <n v="6"/>
    <n v="3"/>
    <s v="Life Sciences"/>
    <n v="1"/>
    <n v="1154"/>
    <x v="1"/>
    <s v="Male"/>
    <n v="39"/>
    <n v="2"/>
    <x v="1"/>
    <x v="1"/>
    <x v="2"/>
    <s v="Divorced"/>
    <n v="2703"/>
    <n v="22088"/>
    <n v="1"/>
    <s v="Y"/>
    <s v="Yes"/>
    <n v="14"/>
    <n v="3"/>
    <n v="4"/>
    <n v="80"/>
    <n v="1"/>
    <n v="3"/>
    <n v="2"/>
    <n v="3"/>
    <x v="11"/>
    <n v="1"/>
    <n v="0"/>
    <n v="2"/>
    <s v="26-35"/>
    <s v="Low"/>
    <s v="3-5"/>
    <s v="Junior"/>
    <s v="Standard"/>
    <s v="High"/>
    <x v="0"/>
  </r>
  <r>
    <n v="18"/>
    <x v="0"/>
    <s v="Non-Travel"/>
    <n v="247"/>
    <x v="1"/>
    <n v="8"/>
    <n v="1"/>
    <s v="Medical"/>
    <n v="1"/>
    <n v="1156"/>
    <x v="1"/>
    <s v="Male"/>
    <n v="80"/>
    <n v="3"/>
    <x v="1"/>
    <x v="2"/>
    <x v="2"/>
    <s v="Single"/>
    <n v="1904"/>
    <n v="13556"/>
    <n v="1"/>
    <s v="Y"/>
    <s v="No"/>
    <n v="12"/>
    <n v="3"/>
    <n v="4"/>
    <n v="80"/>
    <n v="0"/>
    <n v="0"/>
    <n v="0"/>
    <n v="3"/>
    <x v="2"/>
    <n v="0"/>
    <n v="0"/>
    <n v="0"/>
    <s v="18-25"/>
    <s v="Low"/>
    <s v="0-2"/>
    <s v="Junior"/>
    <s v="Standard"/>
    <s v="High"/>
    <x v="0"/>
  </r>
  <r>
    <n v="33"/>
    <x v="0"/>
    <s v="Travel_Rarely"/>
    <n v="603"/>
    <x v="0"/>
    <n v="9"/>
    <n v="4"/>
    <s v="Marketing"/>
    <n v="1"/>
    <n v="1157"/>
    <x v="3"/>
    <s v="Female"/>
    <n v="77"/>
    <n v="3"/>
    <x v="0"/>
    <x v="0"/>
    <x v="3"/>
    <s v="Single"/>
    <n v="8224"/>
    <n v="18385"/>
    <n v="0"/>
    <s v="Y"/>
    <s v="Yes"/>
    <n v="17"/>
    <n v="3"/>
    <n v="1"/>
    <n v="80"/>
    <n v="0"/>
    <n v="6"/>
    <n v="3"/>
    <n v="3"/>
    <x v="8"/>
    <n v="2"/>
    <n v="0"/>
    <n v="3"/>
    <s v="26-35"/>
    <s v="High"/>
    <s v="3-5"/>
    <s v="Mid-Level"/>
    <s v="Standard"/>
    <s v="Low"/>
    <x v="0"/>
  </r>
  <r>
    <n v="41"/>
    <x v="1"/>
    <s v="Travel_Rarely"/>
    <n v="167"/>
    <x v="1"/>
    <n v="12"/>
    <n v="4"/>
    <s v="Life Sciences"/>
    <n v="1"/>
    <n v="1158"/>
    <x v="0"/>
    <s v="Male"/>
    <n v="46"/>
    <n v="3"/>
    <x v="1"/>
    <x v="2"/>
    <x v="0"/>
    <s v="Married"/>
    <n v="4766"/>
    <n v="9051"/>
    <n v="3"/>
    <s v="Y"/>
    <s v="Yes"/>
    <n v="11"/>
    <n v="3"/>
    <n v="1"/>
    <n v="80"/>
    <n v="1"/>
    <n v="6"/>
    <n v="4"/>
    <n v="3"/>
    <x v="6"/>
    <n v="0"/>
    <n v="0"/>
    <n v="0"/>
    <s v="36-45"/>
    <s v="Medium"/>
    <s v="0-2"/>
    <s v="Mid-Level"/>
    <s v="Standard"/>
    <s v="High"/>
    <x v="0"/>
  </r>
  <r>
    <n v="31"/>
    <x v="0"/>
    <s v="Travel_Frequently"/>
    <n v="874"/>
    <x v="1"/>
    <n v="15"/>
    <n v="3"/>
    <s v="Medical"/>
    <n v="1"/>
    <n v="1160"/>
    <x v="1"/>
    <s v="Male"/>
    <n v="72"/>
    <n v="3"/>
    <x v="1"/>
    <x v="2"/>
    <x v="2"/>
    <s v="Married"/>
    <n v="2610"/>
    <n v="6233"/>
    <n v="1"/>
    <s v="Y"/>
    <s v="No"/>
    <n v="12"/>
    <n v="3"/>
    <n v="3"/>
    <n v="80"/>
    <n v="1"/>
    <n v="2"/>
    <n v="5"/>
    <n v="2"/>
    <x v="4"/>
    <n v="2"/>
    <n v="2"/>
    <n v="2"/>
    <s v="26-35"/>
    <s v="Low"/>
    <s v="0-2"/>
    <s v="Junior"/>
    <s v="Standard"/>
    <s v="High"/>
    <x v="0"/>
  </r>
  <r>
    <n v="37"/>
    <x v="1"/>
    <s v="Travel_Rarely"/>
    <n v="367"/>
    <x v="1"/>
    <n v="25"/>
    <n v="2"/>
    <s v="Medical"/>
    <n v="1"/>
    <n v="1161"/>
    <x v="1"/>
    <s v="Female"/>
    <n v="52"/>
    <n v="2"/>
    <x v="0"/>
    <x v="4"/>
    <x v="0"/>
    <s v="Divorced"/>
    <n v="5731"/>
    <n v="17171"/>
    <n v="7"/>
    <s v="Y"/>
    <s v="No"/>
    <n v="13"/>
    <n v="3"/>
    <n v="3"/>
    <n v="80"/>
    <n v="2"/>
    <n v="9"/>
    <n v="2"/>
    <n v="3"/>
    <x v="0"/>
    <n v="2"/>
    <n v="1"/>
    <n v="3"/>
    <s v="36-45"/>
    <s v="Medium"/>
    <s v="6-10"/>
    <s v="Mid-Level"/>
    <s v="Standard"/>
    <s v="High"/>
    <x v="0"/>
  </r>
  <r>
    <n v="27"/>
    <x v="1"/>
    <s v="Travel_Rarely"/>
    <n v="199"/>
    <x v="1"/>
    <n v="6"/>
    <n v="3"/>
    <s v="Life Sciences"/>
    <n v="1"/>
    <n v="1162"/>
    <x v="2"/>
    <s v="Male"/>
    <n v="55"/>
    <n v="2"/>
    <x v="1"/>
    <x v="1"/>
    <x v="2"/>
    <s v="Married"/>
    <n v="2539"/>
    <n v="7950"/>
    <n v="1"/>
    <s v="Y"/>
    <s v="No"/>
    <n v="13"/>
    <n v="3"/>
    <n v="3"/>
    <n v="80"/>
    <n v="1"/>
    <n v="4"/>
    <n v="0"/>
    <n v="3"/>
    <x v="9"/>
    <n v="2"/>
    <n v="2"/>
    <n v="2"/>
    <s v="26-35"/>
    <s v="Low"/>
    <s v="3-5"/>
    <s v="Junior"/>
    <s v="Standard"/>
    <s v="High"/>
    <x v="0"/>
  </r>
  <r>
    <n v="34"/>
    <x v="1"/>
    <s v="Travel_Rarely"/>
    <n v="1400"/>
    <x v="0"/>
    <n v="9"/>
    <n v="1"/>
    <s v="Life Sciences"/>
    <n v="1"/>
    <n v="1163"/>
    <x v="0"/>
    <s v="Female"/>
    <n v="70"/>
    <n v="3"/>
    <x v="0"/>
    <x v="0"/>
    <x v="2"/>
    <s v="Married"/>
    <n v="5714"/>
    <n v="5829"/>
    <n v="1"/>
    <s v="Y"/>
    <s v="No"/>
    <n v="20"/>
    <n v="4"/>
    <n v="1"/>
    <n v="80"/>
    <n v="0"/>
    <n v="6"/>
    <n v="3"/>
    <n v="2"/>
    <x v="0"/>
    <n v="5"/>
    <n v="1"/>
    <n v="3"/>
    <s v="26-35"/>
    <s v="Medium"/>
    <s v="6-10"/>
    <s v="Mid-Level"/>
    <s v="Excellent"/>
    <s v="High"/>
    <x v="0"/>
  </r>
  <r>
    <n v="35"/>
    <x v="1"/>
    <s v="Travel_Rarely"/>
    <n v="528"/>
    <x v="2"/>
    <n v="8"/>
    <n v="4"/>
    <s v="Technical Degree"/>
    <n v="1"/>
    <n v="1164"/>
    <x v="1"/>
    <s v="Male"/>
    <n v="100"/>
    <n v="3"/>
    <x v="1"/>
    <x v="8"/>
    <x v="2"/>
    <s v="Single"/>
    <n v="4323"/>
    <n v="7108"/>
    <n v="1"/>
    <s v="Y"/>
    <s v="No"/>
    <n v="17"/>
    <n v="3"/>
    <n v="2"/>
    <n v="80"/>
    <n v="0"/>
    <n v="6"/>
    <n v="2"/>
    <n v="1"/>
    <x v="8"/>
    <n v="4"/>
    <n v="1"/>
    <n v="4"/>
    <s v="26-35"/>
    <s v="Medium"/>
    <s v="3-5"/>
    <s v="Mid-Level"/>
    <s v="Standard"/>
    <s v="High"/>
    <x v="0"/>
  </r>
  <r>
    <n v="29"/>
    <x v="0"/>
    <s v="Travel_Rarely"/>
    <n v="408"/>
    <x v="0"/>
    <n v="23"/>
    <n v="1"/>
    <s v="Life Sciences"/>
    <n v="1"/>
    <n v="1165"/>
    <x v="2"/>
    <s v="Female"/>
    <n v="45"/>
    <n v="2"/>
    <x v="2"/>
    <x v="0"/>
    <x v="3"/>
    <s v="Married"/>
    <n v="7336"/>
    <n v="11162"/>
    <n v="1"/>
    <s v="Y"/>
    <s v="No"/>
    <n v="13"/>
    <n v="3"/>
    <n v="1"/>
    <n v="80"/>
    <n v="1"/>
    <n v="11"/>
    <n v="3"/>
    <n v="1"/>
    <x v="19"/>
    <n v="8"/>
    <n v="3"/>
    <n v="10"/>
    <s v="26-35"/>
    <s v="High"/>
    <s v="11-15"/>
    <s v="Mid-Level"/>
    <s v="Standard"/>
    <s v="Low"/>
    <x v="0"/>
  </r>
  <r>
    <n v="40"/>
    <x v="1"/>
    <s v="Travel_Frequently"/>
    <n v="593"/>
    <x v="1"/>
    <n v="9"/>
    <n v="4"/>
    <s v="Medical"/>
    <n v="1"/>
    <n v="1166"/>
    <x v="0"/>
    <s v="Female"/>
    <n v="88"/>
    <n v="3"/>
    <x v="2"/>
    <x v="7"/>
    <x v="2"/>
    <s v="Single"/>
    <n v="13499"/>
    <n v="13782"/>
    <n v="9"/>
    <s v="Y"/>
    <s v="No"/>
    <n v="17"/>
    <n v="3"/>
    <n v="3"/>
    <n v="80"/>
    <n v="0"/>
    <n v="20"/>
    <n v="3"/>
    <n v="2"/>
    <x v="29"/>
    <n v="7"/>
    <n v="2"/>
    <n v="13"/>
    <s v="36-45"/>
    <s v="Very High"/>
    <s v="16+"/>
    <s v="Senior"/>
    <s v="Standard"/>
    <s v="High"/>
    <x v="0"/>
  </r>
  <r>
    <n v="42"/>
    <x v="0"/>
    <s v="Travel_Frequently"/>
    <n v="481"/>
    <x v="0"/>
    <n v="12"/>
    <n v="3"/>
    <s v="Life Sciences"/>
    <n v="1"/>
    <n v="1167"/>
    <x v="1"/>
    <s v="Male"/>
    <n v="44"/>
    <n v="3"/>
    <x v="3"/>
    <x v="0"/>
    <x v="3"/>
    <s v="Single"/>
    <n v="13758"/>
    <n v="2447"/>
    <n v="0"/>
    <s v="Y"/>
    <s v="Yes"/>
    <n v="12"/>
    <n v="3"/>
    <n v="2"/>
    <n v="80"/>
    <n v="0"/>
    <n v="22"/>
    <n v="2"/>
    <n v="2"/>
    <x v="17"/>
    <n v="9"/>
    <n v="13"/>
    <n v="14"/>
    <s v="36-45"/>
    <s v="Very High"/>
    <s v="16+"/>
    <s v="Senior"/>
    <s v="Standard"/>
    <s v="Low"/>
    <x v="0"/>
  </r>
  <r>
    <n v="42"/>
    <x v="1"/>
    <s v="Travel_Rarely"/>
    <n v="647"/>
    <x v="0"/>
    <n v="4"/>
    <n v="4"/>
    <s v="Marketing"/>
    <n v="1"/>
    <n v="1171"/>
    <x v="0"/>
    <s v="Male"/>
    <n v="45"/>
    <n v="3"/>
    <x v="0"/>
    <x v="0"/>
    <x v="3"/>
    <s v="Single"/>
    <n v="5155"/>
    <n v="2253"/>
    <n v="7"/>
    <s v="Y"/>
    <s v="No"/>
    <n v="13"/>
    <n v="3"/>
    <n v="4"/>
    <n v="80"/>
    <n v="0"/>
    <n v="9"/>
    <n v="3"/>
    <n v="4"/>
    <x v="0"/>
    <n v="4"/>
    <n v="1"/>
    <n v="5"/>
    <s v="36-45"/>
    <s v="Medium"/>
    <s v="6-10"/>
    <s v="Mid-Level"/>
    <s v="Standard"/>
    <s v="Low"/>
    <x v="0"/>
  </r>
  <r>
    <n v="35"/>
    <x v="1"/>
    <s v="Travel_Rarely"/>
    <n v="982"/>
    <x v="1"/>
    <n v="1"/>
    <n v="4"/>
    <s v="Medical"/>
    <n v="1"/>
    <n v="1172"/>
    <x v="2"/>
    <s v="Male"/>
    <n v="58"/>
    <n v="2"/>
    <x v="1"/>
    <x v="2"/>
    <x v="2"/>
    <s v="Married"/>
    <n v="2258"/>
    <n v="16340"/>
    <n v="6"/>
    <s v="Y"/>
    <s v="No"/>
    <n v="12"/>
    <n v="3"/>
    <n v="2"/>
    <n v="80"/>
    <n v="1"/>
    <n v="10"/>
    <n v="2"/>
    <n v="3"/>
    <x v="3"/>
    <n v="0"/>
    <n v="1"/>
    <n v="7"/>
    <s v="26-35"/>
    <s v="Low"/>
    <s v="6-10"/>
    <s v="Mid-Level"/>
    <s v="Standard"/>
    <s v="High"/>
    <x v="0"/>
  </r>
  <r>
    <n v="24"/>
    <x v="1"/>
    <s v="Travel_Rarely"/>
    <n v="477"/>
    <x v="1"/>
    <n v="24"/>
    <n v="3"/>
    <s v="Medical"/>
    <n v="1"/>
    <n v="1173"/>
    <x v="2"/>
    <s v="Male"/>
    <n v="49"/>
    <n v="3"/>
    <x v="1"/>
    <x v="2"/>
    <x v="1"/>
    <s v="Single"/>
    <n v="3597"/>
    <n v="6409"/>
    <n v="8"/>
    <s v="Y"/>
    <s v="No"/>
    <n v="22"/>
    <n v="4"/>
    <n v="4"/>
    <n v="80"/>
    <n v="0"/>
    <n v="6"/>
    <n v="2"/>
    <n v="3"/>
    <x v="9"/>
    <n v="3"/>
    <n v="1"/>
    <n v="2"/>
    <s v="18-25"/>
    <s v="Medium"/>
    <s v="3-5"/>
    <s v="Mid-Level"/>
    <s v="Excellent"/>
    <s v="Low"/>
    <x v="0"/>
  </r>
  <r>
    <n v="28"/>
    <x v="0"/>
    <s v="Travel_Rarely"/>
    <n v="1485"/>
    <x v="1"/>
    <n v="12"/>
    <n v="1"/>
    <s v="Life Sciences"/>
    <n v="1"/>
    <n v="1175"/>
    <x v="1"/>
    <s v="Female"/>
    <n v="79"/>
    <n v="3"/>
    <x v="1"/>
    <x v="2"/>
    <x v="0"/>
    <s v="Married"/>
    <n v="2515"/>
    <n v="22955"/>
    <n v="1"/>
    <s v="Y"/>
    <s v="Yes"/>
    <n v="11"/>
    <n v="3"/>
    <n v="4"/>
    <n v="80"/>
    <n v="0"/>
    <n v="1"/>
    <n v="4"/>
    <n v="2"/>
    <x v="6"/>
    <n v="1"/>
    <n v="0"/>
    <n v="0"/>
    <s v="26-35"/>
    <s v="Low"/>
    <s v="0-2"/>
    <s v="Junior"/>
    <s v="Standard"/>
    <s v="High"/>
    <x v="0"/>
  </r>
  <r>
    <n v="26"/>
    <x v="1"/>
    <s v="Travel_Rarely"/>
    <n v="1384"/>
    <x v="1"/>
    <n v="3"/>
    <n v="4"/>
    <s v="Medical"/>
    <n v="1"/>
    <n v="1177"/>
    <x v="3"/>
    <s v="Male"/>
    <n v="82"/>
    <n v="4"/>
    <x v="1"/>
    <x v="2"/>
    <x v="0"/>
    <s v="Married"/>
    <n v="4420"/>
    <n v="13421"/>
    <n v="1"/>
    <s v="Y"/>
    <s v="No"/>
    <n v="22"/>
    <n v="4"/>
    <n v="2"/>
    <n v="80"/>
    <n v="1"/>
    <n v="8"/>
    <n v="2"/>
    <n v="3"/>
    <x v="3"/>
    <n v="7"/>
    <n v="0"/>
    <n v="7"/>
    <s v="26-35"/>
    <s v="Medium"/>
    <s v="6-10"/>
    <s v="Mid-Level"/>
    <s v="Excellent"/>
    <s v="High"/>
    <x v="0"/>
  </r>
  <r>
    <n v="30"/>
    <x v="1"/>
    <s v="Travel_Rarely"/>
    <n v="852"/>
    <x v="0"/>
    <n v="10"/>
    <n v="3"/>
    <s v="Marketing"/>
    <n v="1"/>
    <n v="1179"/>
    <x v="1"/>
    <s v="Male"/>
    <n v="72"/>
    <n v="2"/>
    <x v="0"/>
    <x v="0"/>
    <x v="2"/>
    <s v="Married"/>
    <n v="6578"/>
    <n v="2706"/>
    <n v="1"/>
    <s v="Y"/>
    <s v="No"/>
    <n v="18"/>
    <n v="3"/>
    <n v="1"/>
    <n v="80"/>
    <n v="1"/>
    <n v="10"/>
    <n v="3"/>
    <n v="3"/>
    <x v="1"/>
    <n v="3"/>
    <n v="1"/>
    <n v="4"/>
    <s v="26-35"/>
    <s v="High"/>
    <s v="6-10"/>
    <s v="Mid-Level"/>
    <s v="Standard"/>
    <s v="High"/>
    <x v="0"/>
  </r>
  <r>
    <n v="40"/>
    <x v="1"/>
    <s v="Travel_Frequently"/>
    <n v="902"/>
    <x v="1"/>
    <n v="26"/>
    <n v="2"/>
    <s v="Medical"/>
    <n v="1"/>
    <n v="1180"/>
    <x v="1"/>
    <s v="Female"/>
    <n v="92"/>
    <n v="2"/>
    <x v="0"/>
    <x v="1"/>
    <x v="0"/>
    <s v="Married"/>
    <n v="4422"/>
    <n v="21203"/>
    <n v="3"/>
    <s v="Y"/>
    <s v="Yes"/>
    <n v="13"/>
    <n v="3"/>
    <n v="4"/>
    <n v="80"/>
    <n v="1"/>
    <n v="16"/>
    <n v="3"/>
    <n v="1"/>
    <x v="6"/>
    <n v="1"/>
    <n v="0"/>
    <n v="0"/>
    <s v="36-45"/>
    <s v="Medium"/>
    <s v="0-2"/>
    <s v="Senior"/>
    <s v="Standard"/>
    <s v="High"/>
    <x v="0"/>
  </r>
  <r>
    <n v="35"/>
    <x v="1"/>
    <s v="Travel_Rarely"/>
    <n v="819"/>
    <x v="1"/>
    <n v="2"/>
    <n v="3"/>
    <s v="Life Sciences"/>
    <n v="1"/>
    <n v="1182"/>
    <x v="1"/>
    <s v="Male"/>
    <n v="44"/>
    <n v="2"/>
    <x v="2"/>
    <x v="3"/>
    <x v="1"/>
    <s v="Divorced"/>
    <n v="10274"/>
    <n v="19588"/>
    <n v="2"/>
    <s v="Y"/>
    <s v="No"/>
    <n v="18"/>
    <n v="3"/>
    <n v="2"/>
    <n v="80"/>
    <n v="1"/>
    <n v="15"/>
    <n v="2"/>
    <n v="4"/>
    <x v="5"/>
    <n v="7"/>
    <n v="6"/>
    <n v="4"/>
    <s v="26-35"/>
    <s v="Very High"/>
    <s v="6-10"/>
    <s v="Mid-Level"/>
    <s v="Standard"/>
    <s v="Low"/>
    <x v="0"/>
  </r>
  <r>
    <n v="34"/>
    <x v="1"/>
    <s v="Travel_Frequently"/>
    <n v="669"/>
    <x v="1"/>
    <n v="1"/>
    <n v="3"/>
    <s v="Medical"/>
    <n v="1"/>
    <n v="1184"/>
    <x v="2"/>
    <s v="Male"/>
    <n v="97"/>
    <n v="2"/>
    <x v="0"/>
    <x v="4"/>
    <x v="3"/>
    <s v="Single"/>
    <n v="5343"/>
    <n v="25755"/>
    <n v="0"/>
    <s v="Y"/>
    <s v="No"/>
    <n v="20"/>
    <n v="4"/>
    <n v="3"/>
    <n v="80"/>
    <n v="0"/>
    <n v="14"/>
    <n v="3"/>
    <n v="3"/>
    <x v="20"/>
    <n v="9"/>
    <n v="4"/>
    <n v="9"/>
    <s v="26-35"/>
    <s v="Medium"/>
    <s v="11-15"/>
    <s v="Mid-Level"/>
    <s v="Excellent"/>
    <s v="Low"/>
    <x v="0"/>
  </r>
  <r>
    <n v="35"/>
    <x v="1"/>
    <s v="Travel_Frequently"/>
    <n v="636"/>
    <x v="1"/>
    <n v="4"/>
    <n v="4"/>
    <s v="Other"/>
    <n v="1"/>
    <n v="1185"/>
    <x v="2"/>
    <s v="Male"/>
    <n v="47"/>
    <n v="2"/>
    <x v="1"/>
    <x v="2"/>
    <x v="0"/>
    <s v="Married"/>
    <n v="2376"/>
    <n v="26537"/>
    <n v="1"/>
    <s v="Y"/>
    <s v="No"/>
    <n v="13"/>
    <n v="3"/>
    <n v="2"/>
    <n v="80"/>
    <n v="1"/>
    <n v="2"/>
    <n v="2"/>
    <n v="4"/>
    <x v="4"/>
    <n v="2"/>
    <n v="2"/>
    <n v="2"/>
    <s v="26-35"/>
    <s v="Low"/>
    <s v="0-2"/>
    <s v="Junior"/>
    <s v="Standard"/>
    <s v="High"/>
    <x v="0"/>
  </r>
  <r>
    <n v="43"/>
    <x v="0"/>
    <s v="Travel_Rarely"/>
    <n v="1372"/>
    <x v="0"/>
    <n v="9"/>
    <n v="3"/>
    <s v="Marketing"/>
    <n v="1"/>
    <n v="1188"/>
    <x v="3"/>
    <s v="Female"/>
    <n v="85"/>
    <n v="1"/>
    <x v="0"/>
    <x v="0"/>
    <x v="2"/>
    <s v="Single"/>
    <n v="5346"/>
    <n v="9489"/>
    <n v="8"/>
    <s v="Y"/>
    <s v="No"/>
    <n v="13"/>
    <n v="3"/>
    <n v="2"/>
    <n v="80"/>
    <n v="0"/>
    <n v="7"/>
    <n v="2"/>
    <n v="2"/>
    <x v="9"/>
    <n v="3"/>
    <n v="1"/>
    <n v="3"/>
    <s v="36-45"/>
    <s v="Medium"/>
    <s v="3-5"/>
    <s v="Mid-Level"/>
    <s v="Standard"/>
    <s v="High"/>
    <x v="0"/>
  </r>
  <r>
    <n v="32"/>
    <x v="1"/>
    <s v="Non-Travel"/>
    <n v="862"/>
    <x v="0"/>
    <n v="2"/>
    <n v="1"/>
    <s v="Life Sciences"/>
    <n v="1"/>
    <n v="1190"/>
    <x v="1"/>
    <s v="Female"/>
    <n v="76"/>
    <n v="3"/>
    <x v="1"/>
    <x v="6"/>
    <x v="3"/>
    <s v="Divorced"/>
    <n v="2827"/>
    <n v="14947"/>
    <n v="1"/>
    <s v="Y"/>
    <s v="No"/>
    <n v="12"/>
    <n v="3"/>
    <n v="3"/>
    <n v="80"/>
    <n v="3"/>
    <n v="1"/>
    <n v="3"/>
    <n v="3"/>
    <x v="6"/>
    <n v="0"/>
    <n v="0"/>
    <n v="0"/>
    <s v="26-35"/>
    <s v="Low"/>
    <s v="0-2"/>
    <s v="Junior"/>
    <s v="Standard"/>
    <s v="Low"/>
    <x v="0"/>
  </r>
  <r>
    <n v="56"/>
    <x v="1"/>
    <s v="Travel_Rarely"/>
    <n v="718"/>
    <x v="1"/>
    <n v="4"/>
    <n v="4"/>
    <s v="Technical Degree"/>
    <n v="1"/>
    <n v="1191"/>
    <x v="2"/>
    <s v="Female"/>
    <n v="92"/>
    <n v="3"/>
    <x v="4"/>
    <x v="5"/>
    <x v="3"/>
    <s v="Divorced"/>
    <n v="19943"/>
    <n v="18575"/>
    <n v="4"/>
    <s v="Y"/>
    <s v="No"/>
    <n v="13"/>
    <n v="3"/>
    <n v="4"/>
    <n v="80"/>
    <n v="1"/>
    <n v="28"/>
    <n v="2"/>
    <n v="3"/>
    <x v="8"/>
    <n v="2"/>
    <n v="4"/>
    <n v="2"/>
    <s v="56+"/>
    <s v="Very High"/>
    <s v="3-5"/>
    <s v="Senior"/>
    <s v="Standard"/>
    <s v="Low"/>
    <x v="0"/>
  </r>
  <r>
    <n v="29"/>
    <x v="1"/>
    <s v="Travel_Rarely"/>
    <n v="1401"/>
    <x v="1"/>
    <n v="6"/>
    <n v="1"/>
    <s v="Medical"/>
    <n v="1"/>
    <n v="1192"/>
    <x v="0"/>
    <s v="Female"/>
    <n v="54"/>
    <n v="3"/>
    <x v="1"/>
    <x v="2"/>
    <x v="0"/>
    <s v="Married"/>
    <n v="3131"/>
    <n v="26342"/>
    <n v="1"/>
    <s v="Y"/>
    <s v="No"/>
    <n v="13"/>
    <n v="3"/>
    <n v="1"/>
    <n v="80"/>
    <n v="1"/>
    <n v="10"/>
    <n v="5"/>
    <n v="3"/>
    <x v="1"/>
    <n v="8"/>
    <n v="0"/>
    <n v="8"/>
    <s v="26-35"/>
    <s v="Medium"/>
    <s v="6-10"/>
    <s v="Mid-Level"/>
    <s v="Standard"/>
    <s v="High"/>
    <x v="0"/>
  </r>
  <r>
    <n v="19"/>
    <x v="1"/>
    <s v="Travel_Rarely"/>
    <n v="645"/>
    <x v="1"/>
    <n v="9"/>
    <n v="2"/>
    <s v="Life Sciences"/>
    <n v="1"/>
    <n v="1193"/>
    <x v="1"/>
    <s v="Male"/>
    <n v="54"/>
    <n v="3"/>
    <x v="1"/>
    <x v="1"/>
    <x v="3"/>
    <s v="Single"/>
    <n v="2552"/>
    <n v="7172"/>
    <n v="1"/>
    <s v="Y"/>
    <s v="No"/>
    <n v="25"/>
    <n v="4"/>
    <n v="3"/>
    <n v="80"/>
    <n v="0"/>
    <n v="1"/>
    <n v="4"/>
    <n v="3"/>
    <x v="6"/>
    <n v="1"/>
    <n v="0"/>
    <n v="0"/>
    <s v="18-25"/>
    <s v="Low"/>
    <s v="0-2"/>
    <s v="Junior"/>
    <s v="Excellent"/>
    <s v="Low"/>
    <x v="0"/>
  </r>
  <r>
    <n v="45"/>
    <x v="1"/>
    <s v="Travel_Rarely"/>
    <n v="1457"/>
    <x v="1"/>
    <n v="7"/>
    <n v="3"/>
    <s v="Medical"/>
    <n v="1"/>
    <n v="1195"/>
    <x v="3"/>
    <s v="Female"/>
    <n v="83"/>
    <n v="3"/>
    <x v="1"/>
    <x v="1"/>
    <x v="2"/>
    <s v="Married"/>
    <n v="4477"/>
    <n v="20100"/>
    <n v="4"/>
    <s v="Y"/>
    <s v="Yes"/>
    <n v="19"/>
    <n v="3"/>
    <n v="3"/>
    <n v="80"/>
    <n v="1"/>
    <n v="7"/>
    <n v="2"/>
    <n v="2"/>
    <x v="11"/>
    <n v="2"/>
    <n v="0"/>
    <n v="2"/>
    <s v="36-45"/>
    <s v="Medium"/>
    <s v="3-5"/>
    <s v="Mid-Level"/>
    <s v="Standard"/>
    <s v="High"/>
    <x v="0"/>
  </r>
  <r>
    <n v="37"/>
    <x v="1"/>
    <s v="Travel_Rarely"/>
    <n v="977"/>
    <x v="1"/>
    <n v="1"/>
    <n v="3"/>
    <s v="Life Sciences"/>
    <n v="1"/>
    <n v="1196"/>
    <x v="2"/>
    <s v="Female"/>
    <n v="56"/>
    <n v="2"/>
    <x v="0"/>
    <x v="3"/>
    <x v="0"/>
    <s v="Married"/>
    <n v="6474"/>
    <n v="9961"/>
    <n v="1"/>
    <s v="Y"/>
    <s v="No"/>
    <n v="13"/>
    <n v="3"/>
    <n v="2"/>
    <n v="80"/>
    <n v="1"/>
    <n v="14"/>
    <n v="2"/>
    <n v="2"/>
    <x v="13"/>
    <n v="8"/>
    <n v="3"/>
    <n v="11"/>
    <s v="36-45"/>
    <s v="High"/>
    <s v="11-15"/>
    <s v="Mid-Level"/>
    <s v="Standard"/>
    <s v="High"/>
    <x v="0"/>
  </r>
  <r>
    <n v="20"/>
    <x v="1"/>
    <s v="Travel_Rarely"/>
    <n v="805"/>
    <x v="1"/>
    <n v="3"/>
    <n v="3"/>
    <s v="Life Sciences"/>
    <n v="1"/>
    <n v="1198"/>
    <x v="3"/>
    <s v="Male"/>
    <n v="87"/>
    <n v="2"/>
    <x v="1"/>
    <x v="2"/>
    <x v="2"/>
    <s v="Single"/>
    <n v="3033"/>
    <n v="12828"/>
    <n v="1"/>
    <s v="Y"/>
    <s v="No"/>
    <n v="12"/>
    <n v="3"/>
    <n v="1"/>
    <n v="80"/>
    <n v="0"/>
    <n v="2"/>
    <n v="2"/>
    <n v="2"/>
    <x v="4"/>
    <n v="2"/>
    <n v="1"/>
    <n v="2"/>
    <s v="18-25"/>
    <s v="Medium"/>
    <s v="0-2"/>
    <s v="Junior"/>
    <s v="Standard"/>
    <s v="High"/>
    <x v="0"/>
  </r>
  <r>
    <n v="44"/>
    <x v="0"/>
    <s v="Travel_Rarely"/>
    <n v="1097"/>
    <x v="1"/>
    <n v="10"/>
    <n v="4"/>
    <s v="Life Sciences"/>
    <n v="1"/>
    <n v="1200"/>
    <x v="1"/>
    <s v="Male"/>
    <n v="96"/>
    <n v="3"/>
    <x v="1"/>
    <x v="1"/>
    <x v="2"/>
    <s v="Single"/>
    <n v="2936"/>
    <n v="10826"/>
    <n v="1"/>
    <s v="Y"/>
    <s v="Yes"/>
    <n v="11"/>
    <n v="3"/>
    <n v="3"/>
    <n v="80"/>
    <n v="0"/>
    <n v="6"/>
    <n v="4"/>
    <n v="3"/>
    <x v="0"/>
    <n v="4"/>
    <n v="0"/>
    <n v="2"/>
    <s v="36-45"/>
    <s v="Low"/>
    <s v="6-10"/>
    <s v="Mid-Level"/>
    <s v="Standard"/>
    <s v="High"/>
    <x v="0"/>
  </r>
  <r>
    <n v="53"/>
    <x v="1"/>
    <s v="Travel_Rarely"/>
    <n v="1223"/>
    <x v="1"/>
    <n v="7"/>
    <n v="2"/>
    <s v="Medical"/>
    <n v="1"/>
    <n v="1201"/>
    <x v="2"/>
    <s v="Female"/>
    <n v="50"/>
    <n v="3"/>
    <x v="4"/>
    <x v="5"/>
    <x v="2"/>
    <s v="Divorced"/>
    <n v="18606"/>
    <n v="18640"/>
    <n v="3"/>
    <s v="Y"/>
    <s v="No"/>
    <n v="18"/>
    <n v="3"/>
    <n v="2"/>
    <n v="80"/>
    <n v="1"/>
    <n v="26"/>
    <n v="6"/>
    <n v="3"/>
    <x v="5"/>
    <n v="7"/>
    <n v="4"/>
    <n v="7"/>
    <s v="46-55"/>
    <s v="Very High"/>
    <s v="6-10"/>
    <s v="Senior"/>
    <s v="Standard"/>
    <s v="High"/>
    <x v="0"/>
  </r>
  <r>
    <n v="29"/>
    <x v="1"/>
    <s v="Travel_Rarely"/>
    <n v="942"/>
    <x v="1"/>
    <n v="15"/>
    <n v="1"/>
    <s v="Life Sciences"/>
    <n v="1"/>
    <n v="1202"/>
    <x v="0"/>
    <s v="Female"/>
    <n v="69"/>
    <n v="1"/>
    <x v="1"/>
    <x v="1"/>
    <x v="0"/>
    <s v="Married"/>
    <n v="2168"/>
    <n v="26933"/>
    <n v="0"/>
    <s v="Y"/>
    <s v="Yes"/>
    <n v="18"/>
    <n v="3"/>
    <n v="1"/>
    <n v="80"/>
    <n v="1"/>
    <n v="6"/>
    <n v="2"/>
    <n v="2"/>
    <x v="8"/>
    <n v="4"/>
    <n v="1"/>
    <n v="3"/>
    <s v="26-35"/>
    <s v="Low"/>
    <s v="3-5"/>
    <s v="Mid-Level"/>
    <s v="Standard"/>
    <s v="High"/>
    <x v="0"/>
  </r>
  <r>
    <n v="22"/>
    <x v="0"/>
    <s v="Travel_Frequently"/>
    <n v="1256"/>
    <x v="1"/>
    <n v="3"/>
    <n v="4"/>
    <s v="Life Sciences"/>
    <n v="1"/>
    <n v="1203"/>
    <x v="1"/>
    <s v="Male"/>
    <n v="48"/>
    <n v="2"/>
    <x v="1"/>
    <x v="1"/>
    <x v="0"/>
    <s v="Married"/>
    <n v="2853"/>
    <n v="4223"/>
    <n v="0"/>
    <s v="Y"/>
    <s v="Yes"/>
    <n v="11"/>
    <n v="3"/>
    <n v="2"/>
    <n v="80"/>
    <n v="1"/>
    <n v="1"/>
    <n v="5"/>
    <n v="3"/>
    <x v="2"/>
    <n v="0"/>
    <n v="0"/>
    <n v="0"/>
    <s v="18-25"/>
    <s v="Low"/>
    <s v="0-2"/>
    <s v="Junior"/>
    <s v="Standard"/>
    <s v="High"/>
    <x v="0"/>
  </r>
  <r>
    <n v="46"/>
    <x v="1"/>
    <s v="Travel_Rarely"/>
    <n v="1402"/>
    <x v="0"/>
    <n v="2"/>
    <n v="3"/>
    <s v="Marketing"/>
    <n v="1"/>
    <n v="1204"/>
    <x v="1"/>
    <s v="Female"/>
    <n v="69"/>
    <n v="3"/>
    <x v="3"/>
    <x v="5"/>
    <x v="3"/>
    <s v="Married"/>
    <n v="17048"/>
    <n v="24097"/>
    <n v="8"/>
    <s v="Y"/>
    <s v="No"/>
    <n v="23"/>
    <n v="4"/>
    <n v="1"/>
    <n v="80"/>
    <n v="0"/>
    <n v="28"/>
    <n v="2"/>
    <n v="3"/>
    <x v="34"/>
    <n v="15"/>
    <n v="15"/>
    <n v="9"/>
    <s v="46-55"/>
    <s v="Very High"/>
    <s v="16+"/>
    <s v="Senior"/>
    <s v="Excellent"/>
    <s v="Low"/>
    <x v="0"/>
  </r>
  <r>
    <n v="44"/>
    <x v="1"/>
    <s v="Non-Travel"/>
    <n v="111"/>
    <x v="1"/>
    <n v="17"/>
    <n v="3"/>
    <s v="Life Sciences"/>
    <n v="1"/>
    <n v="1206"/>
    <x v="2"/>
    <s v="Male"/>
    <n v="74"/>
    <n v="1"/>
    <x v="1"/>
    <x v="1"/>
    <x v="2"/>
    <s v="Single"/>
    <n v="2290"/>
    <n v="4279"/>
    <n v="2"/>
    <s v="Y"/>
    <s v="No"/>
    <n v="13"/>
    <n v="3"/>
    <n v="4"/>
    <n v="80"/>
    <n v="0"/>
    <n v="6"/>
    <n v="3"/>
    <n v="3"/>
    <x v="2"/>
    <n v="0"/>
    <n v="0"/>
    <n v="0"/>
    <s v="36-45"/>
    <s v="Low"/>
    <s v="0-2"/>
    <s v="Mid-Level"/>
    <s v="Standard"/>
    <s v="High"/>
    <x v="0"/>
  </r>
  <r>
    <n v="33"/>
    <x v="1"/>
    <s v="Travel_Rarely"/>
    <n v="147"/>
    <x v="2"/>
    <n v="2"/>
    <n v="3"/>
    <s v="Human Resources"/>
    <n v="1"/>
    <n v="1207"/>
    <x v="0"/>
    <s v="Male"/>
    <n v="99"/>
    <n v="3"/>
    <x v="1"/>
    <x v="8"/>
    <x v="2"/>
    <s v="Married"/>
    <n v="3600"/>
    <n v="8429"/>
    <n v="1"/>
    <s v="Y"/>
    <s v="No"/>
    <n v="13"/>
    <n v="3"/>
    <n v="4"/>
    <n v="80"/>
    <n v="1"/>
    <n v="5"/>
    <n v="2"/>
    <n v="3"/>
    <x v="8"/>
    <n v="4"/>
    <n v="1"/>
    <n v="4"/>
    <s v="26-35"/>
    <s v="Medium"/>
    <s v="3-5"/>
    <s v="Junior"/>
    <s v="Standard"/>
    <s v="High"/>
    <x v="0"/>
  </r>
  <r>
    <n v="41"/>
    <x v="0"/>
    <s v="Non-Travel"/>
    <n v="906"/>
    <x v="1"/>
    <n v="5"/>
    <n v="2"/>
    <s v="Life Sciences"/>
    <n v="1"/>
    <n v="1210"/>
    <x v="3"/>
    <s v="Male"/>
    <n v="95"/>
    <n v="2"/>
    <x v="1"/>
    <x v="1"/>
    <x v="3"/>
    <s v="Divorced"/>
    <n v="2107"/>
    <n v="20293"/>
    <n v="6"/>
    <s v="Y"/>
    <s v="No"/>
    <n v="17"/>
    <n v="3"/>
    <n v="1"/>
    <n v="80"/>
    <n v="1"/>
    <n v="5"/>
    <n v="2"/>
    <n v="1"/>
    <x v="6"/>
    <n v="0"/>
    <n v="0"/>
    <n v="0"/>
    <s v="36-45"/>
    <s v="Low"/>
    <s v="0-2"/>
    <s v="Junior"/>
    <s v="Standard"/>
    <s v="Low"/>
    <x v="0"/>
  </r>
  <r>
    <n v="30"/>
    <x v="1"/>
    <s v="Travel_Rarely"/>
    <n v="1329"/>
    <x v="0"/>
    <n v="29"/>
    <n v="4"/>
    <s v="Life Sciences"/>
    <n v="1"/>
    <n v="1211"/>
    <x v="1"/>
    <s v="Male"/>
    <n v="61"/>
    <n v="3"/>
    <x v="0"/>
    <x v="0"/>
    <x v="3"/>
    <s v="Divorced"/>
    <n v="4115"/>
    <n v="13192"/>
    <n v="8"/>
    <s v="Y"/>
    <s v="No"/>
    <n v="19"/>
    <n v="3"/>
    <n v="3"/>
    <n v="80"/>
    <n v="3"/>
    <n v="8"/>
    <n v="3"/>
    <n v="3"/>
    <x v="9"/>
    <n v="3"/>
    <n v="0"/>
    <n v="3"/>
    <s v="26-35"/>
    <s v="Medium"/>
    <s v="3-5"/>
    <s v="Mid-Level"/>
    <s v="Standard"/>
    <s v="Low"/>
    <x v="0"/>
  </r>
  <r>
    <n v="40"/>
    <x v="1"/>
    <s v="Travel_Frequently"/>
    <n v="1184"/>
    <x v="0"/>
    <n v="2"/>
    <n v="4"/>
    <s v="Medical"/>
    <n v="1"/>
    <n v="1212"/>
    <x v="0"/>
    <s v="Male"/>
    <n v="62"/>
    <n v="3"/>
    <x v="0"/>
    <x v="0"/>
    <x v="1"/>
    <s v="Married"/>
    <n v="4327"/>
    <n v="25440"/>
    <n v="5"/>
    <s v="Y"/>
    <s v="No"/>
    <n v="12"/>
    <n v="3"/>
    <n v="4"/>
    <n v="80"/>
    <n v="3"/>
    <n v="5"/>
    <n v="2"/>
    <n v="3"/>
    <x v="2"/>
    <n v="0"/>
    <n v="0"/>
    <n v="0"/>
    <s v="36-45"/>
    <s v="Medium"/>
    <s v="0-2"/>
    <s v="Junior"/>
    <s v="Standard"/>
    <s v="Low"/>
    <x v="0"/>
  </r>
  <r>
    <n v="50"/>
    <x v="1"/>
    <s v="Travel_Frequently"/>
    <n v="1421"/>
    <x v="1"/>
    <n v="2"/>
    <n v="3"/>
    <s v="Medical"/>
    <n v="1"/>
    <n v="1215"/>
    <x v="2"/>
    <s v="Female"/>
    <n v="30"/>
    <n v="3"/>
    <x v="3"/>
    <x v="5"/>
    <x v="3"/>
    <s v="Married"/>
    <n v="17856"/>
    <n v="9490"/>
    <n v="2"/>
    <s v="Y"/>
    <s v="No"/>
    <n v="22"/>
    <n v="4"/>
    <n v="3"/>
    <n v="80"/>
    <n v="1"/>
    <n v="32"/>
    <n v="3"/>
    <n v="3"/>
    <x v="4"/>
    <n v="2"/>
    <n v="2"/>
    <n v="2"/>
    <s v="46-55"/>
    <s v="Very High"/>
    <s v="0-2"/>
    <s v="Senior"/>
    <s v="Excellent"/>
    <s v="Low"/>
    <x v="0"/>
  </r>
  <r>
    <n v="28"/>
    <x v="1"/>
    <s v="Travel_Rarely"/>
    <n v="1179"/>
    <x v="1"/>
    <n v="19"/>
    <n v="4"/>
    <s v="Medical"/>
    <n v="1"/>
    <n v="1216"/>
    <x v="2"/>
    <s v="Male"/>
    <n v="78"/>
    <n v="2"/>
    <x v="1"/>
    <x v="2"/>
    <x v="3"/>
    <s v="Married"/>
    <n v="3196"/>
    <n v="12449"/>
    <n v="1"/>
    <s v="Y"/>
    <s v="No"/>
    <n v="12"/>
    <n v="3"/>
    <n v="3"/>
    <n v="80"/>
    <n v="3"/>
    <n v="6"/>
    <n v="2"/>
    <n v="3"/>
    <x v="0"/>
    <n v="5"/>
    <n v="3"/>
    <n v="3"/>
    <s v="26-35"/>
    <s v="Medium"/>
    <s v="6-10"/>
    <s v="Mid-Level"/>
    <s v="Standard"/>
    <s v="Low"/>
    <x v="0"/>
  </r>
  <r>
    <n v="46"/>
    <x v="1"/>
    <s v="Travel_Rarely"/>
    <n v="1450"/>
    <x v="1"/>
    <n v="15"/>
    <n v="2"/>
    <s v="Life Sciences"/>
    <n v="1"/>
    <n v="1217"/>
    <x v="2"/>
    <s v="Male"/>
    <n v="52"/>
    <n v="3"/>
    <x v="4"/>
    <x v="7"/>
    <x v="1"/>
    <s v="Married"/>
    <n v="19081"/>
    <n v="10849"/>
    <n v="5"/>
    <s v="Y"/>
    <s v="No"/>
    <n v="11"/>
    <n v="3"/>
    <n v="1"/>
    <n v="80"/>
    <n v="1"/>
    <n v="25"/>
    <n v="2"/>
    <n v="3"/>
    <x v="9"/>
    <n v="2"/>
    <n v="0"/>
    <n v="3"/>
    <s v="46-55"/>
    <s v="Very High"/>
    <s v="3-5"/>
    <s v="Senior"/>
    <s v="Standard"/>
    <s v="Low"/>
    <x v="0"/>
  </r>
  <r>
    <n v="35"/>
    <x v="1"/>
    <s v="Travel_Rarely"/>
    <n v="1361"/>
    <x v="0"/>
    <n v="17"/>
    <n v="4"/>
    <s v="Life Sciences"/>
    <n v="1"/>
    <n v="1218"/>
    <x v="1"/>
    <s v="Male"/>
    <n v="94"/>
    <n v="3"/>
    <x v="0"/>
    <x v="0"/>
    <x v="3"/>
    <s v="Married"/>
    <n v="8966"/>
    <n v="21026"/>
    <n v="3"/>
    <s v="Y"/>
    <s v="Yes"/>
    <n v="15"/>
    <n v="3"/>
    <n v="4"/>
    <n v="80"/>
    <n v="3"/>
    <n v="15"/>
    <n v="2"/>
    <n v="3"/>
    <x v="5"/>
    <n v="7"/>
    <n v="1"/>
    <n v="7"/>
    <s v="26-35"/>
    <s v="High"/>
    <s v="6-10"/>
    <s v="Mid-Level"/>
    <s v="Standard"/>
    <s v="Low"/>
    <x v="0"/>
  </r>
  <r>
    <n v="24"/>
    <x v="0"/>
    <s v="Travel_Rarely"/>
    <n v="984"/>
    <x v="1"/>
    <n v="17"/>
    <n v="2"/>
    <s v="Life Sciences"/>
    <n v="1"/>
    <n v="1219"/>
    <x v="2"/>
    <s v="Female"/>
    <n v="97"/>
    <n v="3"/>
    <x v="1"/>
    <x v="2"/>
    <x v="1"/>
    <s v="Married"/>
    <n v="2210"/>
    <n v="3372"/>
    <n v="1"/>
    <s v="Y"/>
    <s v="No"/>
    <n v="13"/>
    <n v="3"/>
    <n v="1"/>
    <n v="80"/>
    <n v="1"/>
    <n v="1"/>
    <n v="3"/>
    <n v="1"/>
    <x v="6"/>
    <n v="0"/>
    <n v="0"/>
    <n v="0"/>
    <s v="18-25"/>
    <s v="Low"/>
    <s v="0-2"/>
    <s v="Junior"/>
    <s v="Standard"/>
    <s v="Low"/>
    <x v="0"/>
  </r>
  <r>
    <n v="33"/>
    <x v="1"/>
    <s v="Travel_Frequently"/>
    <n v="1146"/>
    <x v="0"/>
    <n v="25"/>
    <n v="3"/>
    <s v="Medical"/>
    <n v="1"/>
    <n v="1220"/>
    <x v="0"/>
    <s v="Female"/>
    <n v="82"/>
    <n v="3"/>
    <x v="0"/>
    <x v="0"/>
    <x v="2"/>
    <s v="Married"/>
    <n v="4539"/>
    <n v="4905"/>
    <n v="1"/>
    <s v="Y"/>
    <s v="No"/>
    <n v="12"/>
    <n v="3"/>
    <n v="1"/>
    <n v="80"/>
    <n v="1"/>
    <n v="10"/>
    <n v="3"/>
    <n v="2"/>
    <x v="1"/>
    <n v="7"/>
    <n v="0"/>
    <n v="1"/>
    <s v="26-35"/>
    <s v="Medium"/>
    <s v="6-10"/>
    <s v="Mid-Level"/>
    <s v="Standard"/>
    <s v="High"/>
    <x v="0"/>
  </r>
  <r>
    <n v="36"/>
    <x v="1"/>
    <s v="Travel_Rarely"/>
    <n v="917"/>
    <x v="1"/>
    <n v="6"/>
    <n v="4"/>
    <s v="Life Sciences"/>
    <n v="1"/>
    <n v="1221"/>
    <x v="1"/>
    <s v="Male"/>
    <n v="60"/>
    <n v="1"/>
    <x v="1"/>
    <x v="2"/>
    <x v="2"/>
    <s v="Divorced"/>
    <n v="2741"/>
    <n v="6865"/>
    <n v="1"/>
    <s v="Y"/>
    <s v="No"/>
    <n v="14"/>
    <n v="3"/>
    <n v="3"/>
    <n v="80"/>
    <n v="1"/>
    <n v="7"/>
    <n v="4"/>
    <n v="3"/>
    <x v="5"/>
    <n v="7"/>
    <n v="1"/>
    <n v="7"/>
    <s v="36-45"/>
    <s v="Low"/>
    <s v="6-10"/>
    <s v="Mid-Level"/>
    <s v="Standard"/>
    <s v="High"/>
    <x v="0"/>
  </r>
  <r>
    <n v="30"/>
    <x v="1"/>
    <s v="Travel_Rarely"/>
    <n v="853"/>
    <x v="1"/>
    <n v="7"/>
    <n v="4"/>
    <s v="Life Sciences"/>
    <n v="1"/>
    <n v="1224"/>
    <x v="1"/>
    <s v="Male"/>
    <n v="49"/>
    <n v="3"/>
    <x v="0"/>
    <x v="2"/>
    <x v="2"/>
    <s v="Divorced"/>
    <n v="3491"/>
    <n v="11309"/>
    <n v="1"/>
    <s v="Y"/>
    <s v="No"/>
    <n v="13"/>
    <n v="3"/>
    <n v="1"/>
    <n v="80"/>
    <n v="3"/>
    <n v="10"/>
    <n v="4"/>
    <n v="2"/>
    <x v="1"/>
    <n v="7"/>
    <n v="8"/>
    <n v="9"/>
    <s v="26-35"/>
    <s v="Medium"/>
    <s v="6-10"/>
    <s v="Mid-Level"/>
    <s v="Standard"/>
    <s v="High"/>
    <x v="0"/>
  </r>
  <r>
    <n v="44"/>
    <x v="1"/>
    <s v="Travel_Rarely"/>
    <n v="200"/>
    <x v="1"/>
    <n v="29"/>
    <n v="4"/>
    <s v="Other"/>
    <n v="1"/>
    <n v="1225"/>
    <x v="2"/>
    <s v="Male"/>
    <n v="32"/>
    <n v="3"/>
    <x v="0"/>
    <x v="1"/>
    <x v="0"/>
    <s v="Single"/>
    <n v="4541"/>
    <n v="7744"/>
    <n v="1"/>
    <s v="Y"/>
    <s v="No"/>
    <n v="25"/>
    <n v="4"/>
    <n v="2"/>
    <n v="80"/>
    <n v="0"/>
    <n v="20"/>
    <n v="3"/>
    <n v="3"/>
    <x v="23"/>
    <n v="11"/>
    <n v="13"/>
    <n v="17"/>
    <s v="36-45"/>
    <s v="Medium"/>
    <s v="16+"/>
    <s v="Senior"/>
    <s v="Excellent"/>
    <s v="High"/>
    <x v="0"/>
  </r>
  <r>
    <n v="20"/>
    <x v="1"/>
    <s v="Travel_Rarely"/>
    <n v="654"/>
    <x v="0"/>
    <n v="21"/>
    <n v="3"/>
    <s v="Marketing"/>
    <n v="1"/>
    <n v="1226"/>
    <x v="1"/>
    <s v="Male"/>
    <n v="43"/>
    <n v="4"/>
    <x v="1"/>
    <x v="6"/>
    <x v="0"/>
    <s v="Single"/>
    <n v="2678"/>
    <n v="5050"/>
    <n v="1"/>
    <s v="Y"/>
    <s v="No"/>
    <n v="17"/>
    <n v="3"/>
    <n v="4"/>
    <n v="80"/>
    <n v="0"/>
    <n v="2"/>
    <n v="2"/>
    <n v="3"/>
    <x v="4"/>
    <n v="1"/>
    <n v="2"/>
    <n v="2"/>
    <s v="18-25"/>
    <s v="Low"/>
    <s v="0-2"/>
    <s v="Junior"/>
    <s v="Standard"/>
    <s v="High"/>
    <x v="0"/>
  </r>
  <r>
    <n v="46"/>
    <x v="1"/>
    <s v="Travel_Rarely"/>
    <n v="150"/>
    <x v="1"/>
    <n v="2"/>
    <n v="4"/>
    <s v="Technical Degree"/>
    <n v="1"/>
    <n v="1228"/>
    <x v="2"/>
    <s v="Male"/>
    <n v="60"/>
    <n v="3"/>
    <x v="0"/>
    <x v="3"/>
    <x v="0"/>
    <s v="Divorced"/>
    <n v="7379"/>
    <n v="17433"/>
    <n v="2"/>
    <s v="Y"/>
    <s v="No"/>
    <n v="11"/>
    <n v="3"/>
    <n v="3"/>
    <n v="80"/>
    <n v="1"/>
    <n v="12"/>
    <n v="3"/>
    <n v="2"/>
    <x v="0"/>
    <n v="3"/>
    <n v="1"/>
    <n v="4"/>
    <s v="46-55"/>
    <s v="High"/>
    <s v="6-10"/>
    <s v="Mid-Level"/>
    <s v="Standard"/>
    <s v="High"/>
    <x v="0"/>
  </r>
  <r>
    <n v="42"/>
    <x v="1"/>
    <s v="Non-Travel"/>
    <n v="179"/>
    <x v="2"/>
    <n v="2"/>
    <n v="5"/>
    <s v="Medical"/>
    <n v="1"/>
    <n v="1231"/>
    <x v="2"/>
    <s v="Male"/>
    <n v="79"/>
    <n v="4"/>
    <x v="0"/>
    <x v="8"/>
    <x v="3"/>
    <s v="Married"/>
    <n v="6272"/>
    <n v="12858"/>
    <n v="7"/>
    <s v="Y"/>
    <s v="No"/>
    <n v="16"/>
    <n v="3"/>
    <n v="1"/>
    <n v="80"/>
    <n v="1"/>
    <n v="10"/>
    <n v="3"/>
    <n v="4"/>
    <x v="9"/>
    <n v="3"/>
    <n v="0"/>
    <n v="3"/>
    <s v="36-45"/>
    <s v="High"/>
    <s v="3-5"/>
    <s v="Mid-Level"/>
    <s v="Standard"/>
    <s v="Low"/>
    <x v="0"/>
  </r>
  <r>
    <n v="60"/>
    <x v="1"/>
    <s v="Travel_Rarely"/>
    <n v="696"/>
    <x v="0"/>
    <n v="7"/>
    <n v="4"/>
    <s v="Marketing"/>
    <n v="1"/>
    <n v="1233"/>
    <x v="0"/>
    <s v="Male"/>
    <n v="52"/>
    <n v="4"/>
    <x v="0"/>
    <x v="0"/>
    <x v="0"/>
    <s v="Divorced"/>
    <n v="5220"/>
    <n v="10893"/>
    <n v="0"/>
    <s v="Y"/>
    <s v="Yes"/>
    <n v="18"/>
    <n v="3"/>
    <n v="2"/>
    <n v="80"/>
    <n v="1"/>
    <n v="12"/>
    <n v="3"/>
    <n v="3"/>
    <x v="19"/>
    <n v="7"/>
    <n v="1"/>
    <n v="9"/>
    <s v="56+"/>
    <s v="Medium"/>
    <s v="11-15"/>
    <s v="Mid-Level"/>
    <s v="Standard"/>
    <s v="High"/>
    <x v="0"/>
  </r>
  <r>
    <n v="32"/>
    <x v="1"/>
    <s v="Travel_Frequently"/>
    <n v="116"/>
    <x v="1"/>
    <n v="13"/>
    <n v="3"/>
    <s v="Other"/>
    <n v="1"/>
    <n v="1234"/>
    <x v="1"/>
    <s v="Female"/>
    <n v="77"/>
    <n v="2"/>
    <x v="1"/>
    <x v="2"/>
    <x v="1"/>
    <s v="Married"/>
    <n v="2743"/>
    <n v="7331"/>
    <n v="1"/>
    <s v="Y"/>
    <s v="No"/>
    <n v="20"/>
    <n v="4"/>
    <n v="3"/>
    <n v="80"/>
    <n v="1"/>
    <n v="2"/>
    <n v="2"/>
    <n v="3"/>
    <x v="4"/>
    <n v="2"/>
    <n v="2"/>
    <n v="2"/>
    <s v="26-35"/>
    <s v="Low"/>
    <s v="0-2"/>
    <s v="Junior"/>
    <s v="Excellent"/>
    <s v="Low"/>
    <x v="0"/>
  </r>
  <r>
    <n v="32"/>
    <x v="1"/>
    <s v="Travel_Frequently"/>
    <n v="1316"/>
    <x v="1"/>
    <n v="2"/>
    <n v="2"/>
    <s v="Life Sciences"/>
    <n v="1"/>
    <n v="1235"/>
    <x v="2"/>
    <s v="Female"/>
    <n v="38"/>
    <n v="3"/>
    <x v="0"/>
    <x v="1"/>
    <x v="2"/>
    <s v="Single"/>
    <n v="4998"/>
    <n v="2338"/>
    <n v="4"/>
    <s v="Y"/>
    <s v="Yes"/>
    <n v="14"/>
    <n v="3"/>
    <n v="4"/>
    <n v="80"/>
    <n v="0"/>
    <n v="10"/>
    <n v="2"/>
    <n v="3"/>
    <x v="3"/>
    <n v="7"/>
    <n v="0"/>
    <n v="7"/>
    <s v="26-35"/>
    <s v="Medium"/>
    <s v="6-10"/>
    <s v="Mid-Level"/>
    <s v="Standard"/>
    <s v="High"/>
    <x v="0"/>
  </r>
  <r>
    <n v="36"/>
    <x v="1"/>
    <s v="Travel_Rarely"/>
    <n v="363"/>
    <x v="1"/>
    <n v="1"/>
    <n v="3"/>
    <s v="Technical Degree"/>
    <n v="1"/>
    <n v="1237"/>
    <x v="1"/>
    <s v="Female"/>
    <n v="77"/>
    <n v="1"/>
    <x v="2"/>
    <x v="3"/>
    <x v="3"/>
    <s v="Divorced"/>
    <n v="10252"/>
    <n v="4235"/>
    <n v="2"/>
    <s v="Y"/>
    <s v="Yes"/>
    <n v="21"/>
    <n v="4"/>
    <n v="3"/>
    <n v="80"/>
    <n v="1"/>
    <n v="17"/>
    <n v="2"/>
    <n v="3"/>
    <x v="5"/>
    <n v="7"/>
    <n v="7"/>
    <n v="7"/>
    <s v="36-45"/>
    <s v="Very High"/>
    <s v="6-10"/>
    <s v="Senior"/>
    <s v="Excellent"/>
    <s v="Low"/>
    <x v="0"/>
  </r>
  <r>
    <n v="33"/>
    <x v="1"/>
    <s v="Travel_Rarely"/>
    <n v="117"/>
    <x v="1"/>
    <n v="9"/>
    <n v="3"/>
    <s v="Medical"/>
    <n v="1"/>
    <n v="1238"/>
    <x v="3"/>
    <s v="Male"/>
    <n v="60"/>
    <n v="3"/>
    <x v="1"/>
    <x v="1"/>
    <x v="0"/>
    <s v="Married"/>
    <n v="2781"/>
    <n v="6311"/>
    <n v="0"/>
    <s v="Y"/>
    <s v="No"/>
    <n v="13"/>
    <n v="3"/>
    <n v="2"/>
    <n v="80"/>
    <n v="1"/>
    <n v="15"/>
    <n v="5"/>
    <n v="3"/>
    <x v="13"/>
    <n v="10"/>
    <n v="4"/>
    <n v="10"/>
    <s v="26-35"/>
    <s v="Low"/>
    <s v="11-15"/>
    <s v="Mid-Level"/>
    <s v="Standard"/>
    <s v="High"/>
    <x v="0"/>
  </r>
  <r>
    <n v="40"/>
    <x v="1"/>
    <s v="Travel_Rarely"/>
    <n v="107"/>
    <x v="0"/>
    <n v="10"/>
    <n v="3"/>
    <s v="Technical Degree"/>
    <n v="1"/>
    <n v="1239"/>
    <x v="0"/>
    <s v="Female"/>
    <n v="84"/>
    <n v="2"/>
    <x v="0"/>
    <x v="0"/>
    <x v="1"/>
    <s v="Divorced"/>
    <n v="6852"/>
    <n v="11591"/>
    <n v="7"/>
    <s v="Y"/>
    <s v="No"/>
    <n v="12"/>
    <n v="3"/>
    <n v="2"/>
    <n v="80"/>
    <n v="1"/>
    <n v="7"/>
    <n v="2"/>
    <n v="4"/>
    <x v="8"/>
    <n v="1"/>
    <n v="1"/>
    <n v="3"/>
    <s v="36-45"/>
    <s v="High"/>
    <s v="3-5"/>
    <s v="Mid-Level"/>
    <s v="Standard"/>
    <s v="Low"/>
    <x v="0"/>
  </r>
  <r>
    <n v="25"/>
    <x v="1"/>
    <s v="Travel_Rarely"/>
    <n v="1356"/>
    <x v="0"/>
    <n v="10"/>
    <n v="4"/>
    <s v="Life Sciences"/>
    <n v="1"/>
    <n v="1240"/>
    <x v="1"/>
    <s v="Male"/>
    <n v="57"/>
    <n v="3"/>
    <x v="0"/>
    <x v="0"/>
    <x v="0"/>
    <s v="Single"/>
    <n v="4950"/>
    <n v="20623"/>
    <n v="0"/>
    <s v="Y"/>
    <s v="No"/>
    <n v="14"/>
    <n v="3"/>
    <n v="2"/>
    <n v="80"/>
    <n v="0"/>
    <n v="5"/>
    <n v="4"/>
    <n v="3"/>
    <x v="9"/>
    <n v="3"/>
    <n v="1"/>
    <n v="1"/>
    <s v="18-25"/>
    <s v="Medium"/>
    <s v="3-5"/>
    <s v="Junior"/>
    <s v="Standard"/>
    <s v="High"/>
    <x v="0"/>
  </r>
  <r>
    <n v="30"/>
    <x v="1"/>
    <s v="Travel_Rarely"/>
    <n v="1465"/>
    <x v="1"/>
    <n v="1"/>
    <n v="3"/>
    <s v="Medical"/>
    <n v="1"/>
    <n v="1241"/>
    <x v="2"/>
    <s v="Male"/>
    <n v="63"/>
    <n v="3"/>
    <x v="1"/>
    <x v="1"/>
    <x v="1"/>
    <s v="Married"/>
    <n v="3579"/>
    <n v="9369"/>
    <n v="0"/>
    <s v="Y"/>
    <s v="Yes"/>
    <n v="21"/>
    <n v="4"/>
    <n v="1"/>
    <n v="80"/>
    <n v="1"/>
    <n v="12"/>
    <n v="2"/>
    <n v="3"/>
    <x v="19"/>
    <n v="9"/>
    <n v="5"/>
    <n v="7"/>
    <s v="26-35"/>
    <s v="Medium"/>
    <s v="11-15"/>
    <s v="Mid-Level"/>
    <s v="Excellent"/>
    <s v="Low"/>
    <x v="0"/>
  </r>
  <r>
    <n v="42"/>
    <x v="1"/>
    <s v="Travel_Frequently"/>
    <n v="458"/>
    <x v="1"/>
    <n v="26"/>
    <n v="5"/>
    <s v="Medical"/>
    <n v="1"/>
    <n v="1242"/>
    <x v="3"/>
    <s v="Female"/>
    <n v="60"/>
    <n v="3"/>
    <x v="2"/>
    <x v="7"/>
    <x v="3"/>
    <s v="Married"/>
    <n v="13191"/>
    <n v="23281"/>
    <n v="3"/>
    <s v="Y"/>
    <s v="Yes"/>
    <n v="17"/>
    <n v="3"/>
    <n v="3"/>
    <n v="80"/>
    <n v="0"/>
    <n v="20"/>
    <n v="6"/>
    <n v="3"/>
    <x v="6"/>
    <n v="0"/>
    <n v="0"/>
    <n v="0"/>
    <s v="36-45"/>
    <s v="Very High"/>
    <s v="0-2"/>
    <s v="Senior"/>
    <s v="Standard"/>
    <s v="Low"/>
    <x v="1"/>
  </r>
  <r>
    <n v="35"/>
    <x v="1"/>
    <s v="Non-Travel"/>
    <n v="1212"/>
    <x v="0"/>
    <n v="8"/>
    <n v="2"/>
    <s v="Marketing"/>
    <n v="1"/>
    <n v="1243"/>
    <x v="1"/>
    <s v="Female"/>
    <n v="78"/>
    <n v="2"/>
    <x v="2"/>
    <x v="0"/>
    <x v="0"/>
    <s v="Married"/>
    <n v="10377"/>
    <n v="13755"/>
    <n v="4"/>
    <s v="Y"/>
    <s v="Yes"/>
    <n v="11"/>
    <n v="3"/>
    <n v="2"/>
    <n v="80"/>
    <n v="1"/>
    <n v="16"/>
    <n v="6"/>
    <n v="2"/>
    <x v="20"/>
    <n v="2"/>
    <n v="4"/>
    <n v="12"/>
    <s v="26-35"/>
    <s v="Very High"/>
    <s v="11-15"/>
    <s v="Senior"/>
    <s v="Standard"/>
    <s v="High"/>
    <x v="0"/>
  </r>
  <r>
    <n v="27"/>
    <x v="1"/>
    <s v="Travel_Rarely"/>
    <n v="1103"/>
    <x v="1"/>
    <n v="14"/>
    <n v="3"/>
    <s v="Life Sciences"/>
    <n v="1"/>
    <n v="1244"/>
    <x v="3"/>
    <s v="Male"/>
    <n v="42"/>
    <n v="3"/>
    <x v="1"/>
    <x v="1"/>
    <x v="3"/>
    <s v="Married"/>
    <n v="2235"/>
    <n v="14377"/>
    <n v="1"/>
    <s v="Y"/>
    <s v="Yes"/>
    <n v="14"/>
    <n v="3"/>
    <n v="4"/>
    <n v="80"/>
    <n v="2"/>
    <n v="9"/>
    <n v="3"/>
    <n v="2"/>
    <x v="7"/>
    <n v="7"/>
    <n v="6"/>
    <n v="8"/>
    <s v="26-35"/>
    <s v="Low"/>
    <s v="6-10"/>
    <s v="Mid-Level"/>
    <s v="Standard"/>
    <s v="Low"/>
    <x v="0"/>
  </r>
  <r>
    <n v="54"/>
    <x v="1"/>
    <s v="Travel_Frequently"/>
    <n v="966"/>
    <x v="1"/>
    <n v="1"/>
    <n v="4"/>
    <s v="Life Sciences"/>
    <n v="1"/>
    <n v="1245"/>
    <x v="2"/>
    <s v="Female"/>
    <n v="53"/>
    <n v="3"/>
    <x v="2"/>
    <x v="3"/>
    <x v="2"/>
    <s v="Divorced"/>
    <n v="10502"/>
    <n v="9659"/>
    <n v="7"/>
    <s v="Y"/>
    <s v="No"/>
    <n v="17"/>
    <n v="3"/>
    <n v="1"/>
    <n v="80"/>
    <n v="1"/>
    <n v="33"/>
    <n v="2"/>
    <n v="1"/>
    <x v="8"/>
    <n v="4"/>
    <n v="1"/>
    <n v="4"/>
    <s v="46-55"/>
    <s v="Very High"/>
    <s v="3-5"/>
    <s v="Senior"/>
    <s v="Standard"/>
    <s v="High"/>
    <x v="0"/>
  </r>
  <r>
    <n v="44"/>
    <x v="1"/>
    <s v="Travel_Rarely"/>
    <n v="1117"/>
    <x v="1"/>
    <n v="2"/>
    <n v="1"/>
    <s v="Life Sciences"/>
    <n v="1"/>
    <n v="1246"/>
    <x v="3"/>
    <s v="Female"/>
    <n v="72"/>
    <n v="4"/>
    <x v="1"/>
    <x v="1"/>
    <x v="0"/>
    <s v="Married"/>
    <n v="2011"/>
    <n v="19982"/>
    <n v="1"/>
    <s v="Y"/>
    <s v="No"/>
    <n v="13"/>
    <n v="3"/>
    <n v="4"/>
    <n v="80"/>
    <n v="1"/>
    <n v="10"/>
    <n v="5"/>
    <n v="3"/>
    <x v="1"/>
    <n v="5"/>
    <n v="7"/>
    <n v="7"/>
    <s v="36-45"/>
    <s v="Low"/>
    <s v="6-10"/>
    <s v="Mid-Level"/>
    <s v="Standard"/>
    <s v="High"/>
    <x v="0"/>
  </r>
  <r>
    <n v="19"/>
    <x v="0"/>
    <s v="Non-Travel"/>
    <n v="504"/>
    <x v="1"/>
    <n v="10"/>
    <n v="3"/>
    <s v="Medical"/>
    <n v="1"/>
    <n v="1248"/>
    <x v="3"/>
    <s v="Female"/>
    <n v="96"/>
    <n v="2"/>
    <x v="1"/>
    <x v="1"/>
    <x v="1"/>
    <s v="Single"/>
    <n v="1859"/>
    <n v="6148"/>
    <n v="1"/>
    <s v="Y"/>
    <s v="Yes"/>
    <n v="25"/>
    <n v="4"/>
    <n v="2"/>
    <n v="80"/>
    <n v="0"/>
    <n v="1"/>
    <n v="2"/>
    <n v="4"/>
    <x v="6"/>
    <n v="1"/>
    <n v="0"/>
    <n v="0"/>
    <s v="18-25"/>
    <s v="Low"/>
    <s v="0-2"/>
    <s v="Junior"/>
    <s v="Excellent"/>
    <s v="Low"/>
    <x v="1"/>
  </r>
  <r>
    <n v="29"/>
    <x v="1"/>
    <s v="Travel_Rarely"/>
    <n v="1010"/>
    <x v="1"/>
    <n v="1"/>
    <n v="3"/>
    <s v="Life Sciences"/>
    <n v="1"/>
    <n v="1249"/>
    <x v="3"/>
    <s v="Female"/>
    <n v="97"/>
    <n v="3"/>
    <x v="1"/>
    <x v="1"/>
    <x v="0"/>
    <s v="Divorced"/>
    <n v="3760"/>
    <n v="5598"/>
    <n v="1"/>
    <s v="Y"/>
    <s v="No"/>
    <n v="15"/>
    <n v="3"/>
    <n v="1"/>
    <n v="80"/>
    <n v="3"/>
    <n v="3"/>
    <n v="5"/>
    <n v="3"/>
    <x v="11"/>
    <n v="2"/>
    <n v="1"/>
    <n v="2"/>
    <s v="26-35"/>
    <s v="Medium"/>
    <s v="3-5"/>
    <s v="Junior"/>
    <s v="Standard"/>
    <s v="High"/>
    <x v="0"/>
  </r>
  <r>
    <n v="54"/>
    <x v="1"/>
    <s v="Travel_Rarely"/>
    <n v="685"/>
    <x v="1"/>
    <n v="3"/>
    <n v="3"/>
    <s v="Life Sciences"/>
    <n v="1"/>
    <n v="1250"/>
    <x v="2"/>
    <s v="Male"/>
    <n v="85"/>
    <n v="3"/>
    <x v="3"/>
    <x v="7"/>
    <x v="0"/>
    <s v="Married"/>
    <n v="17779"/>
    <n v="23474"/>
    <n v="3"/>
    <s v="Y"/>
    <s v="No"/>
    <n v="14"/>
    <n v="3"/>
    <n v="1"/>
    <n v="80"/>
    <n v="0"/>
    <n v="36"/>
    <n v="2"/>
    <n v="3"/>
    <x v="1"/>
    <n v="9"/>
    <n v="0"/>
    <n v="9"/>
    <s v="46-55"/>
    <s v="Very High"/>
    <s v="6-10"/>
    <s v="Senior"/>
    <s v="Standard"/>
    <s v="High"/>
    <x v="0"/>
  </r>
  <r>
    <n v="31"/>
    <x v="1"/>
    <s v="Travel_Rarely"/>
    <n v="1332"/>
    <x v="1"/>
    <n v="11"/>
    <n v="2"/>
    <s v="Medical"/>
    <n v="1"/>
    <n v="1251"/>
    <x v="1"/>
    <s v="Male"/>
    <n v="80"/>
    <n v="3"/>
    <x v="0"/>
    <x v="4"/>
    <x v="3"/>
    <s v="Married"/>
    <n v="6833"/>
    <n v="17089"/>
    <n v="1"/>
    <s v="Y"/>
    <s v="Yes"/>
    <n v="12"/>
    <n v="3"/>
    <n v="4"/>
    <n v="80"/>
    <n v="0"/>
    <n v="6"/>
    <n v="2"/>
    <n v="2"/>
    <x v="0"/>
    <n v="5"/>
    <n v="0"/>
    <n v="1"/>
    <s v="26-35"/>
    <s v="High"/>
    <s v="6-10"/>
    <s v="Mid-Level"/>
    <s v="Standard"/>
    <s v="Low"/>
    <x v="0"/>
  </r>
  <r>
    <n v="31"/>
    <x v="1"/>
    <s v="Travel_Rarely"/>
    <n v="1062"/>
    <x v="1"/>
    <n v="24"/>
    <n v="3"/>
    <s v="Medical"/>
    <n v="1"/>
    <n v="1252"/>
    <x v="1"/>
    <s v="Female"/>
    <n v="96"/>
    <n v="2"/>
    <x v="0"/>
    <x v="4"/>
    <x v="3"/>
    <s v="Single"/>
    <n v="6812"/>
    <n v="17198"/>
    <n v="1"/>
    <s v="Y"/>
    <s v="No"/>
    <n v="19"/>
    <n v="3"/>
    <n v="2"/>
    <n v="80"/>
    <n v="0"/>
    <n v="10"/>
    <n v="2"/>
    <n v="3"/>
    <x v="1"/>
    <n v="9"/>
    <n v="1"/>
    <n v="8"/>
    <s v="26-35"/>
    <s v="High"/>
    <s v="6-10"/>
    <s v="Mid-Level"/>
    <s v="Standard"/>
    <s v="Low"/>
    <x v="0"/>
  </r>
  <r>
    <n v="59"/>
    <x v="1"/>
    <s v="Travel_Rarely"/>
    <n v="326"/>
    <x v="0"/>
    <n v="3"/>
    <n v="3"/>
    <s v="Life Sciences"/>
    <n v="1"/>
    <n v="1254"/>
    <x v="1"/>
    <s v="Female"/>
    <n v="48"/>
    <n v="2"/>
    <x v="0"/>
    <x v="0"/>
    <x v="0"/>
    <s v="Single"/>
    <n v="5171"/>
    <n v="16490"/>
    <n v="5"/>
    <s v="Y"/>
    <s v="No"/>
    <n v="17"/>
    <n v="3"/>
    <n v="4"/>
    <n v="80"/>
    <n v="0"/>
    <n v="13"/>
    <n v="2"/>
    <n v="3"/>
    <x v="0"/>
    <n v="1"/>
    <n v="0"/>
    <n v="5"/>
    <s v="56+"/>
    <s v="Medium"/>
    <s v="6-10"/>
    <s v="Mid-Level"/>
    <s v="Standard"/>
    <s v="High"/>
    <x v="0"/>
  </r>
  <r>
    <n v="43"/>
    <x v="1"/>
    <s v="Travel_Rarely"/>
    <n v="920"/>
    <x v="1"/>
    <n v="3"/>
    <n v="3"/>
    <s v="Life Sciences"/>
    <n v="1"/>
    <n v="1255"/>
    <x v="1"/>
    <s v="Male"/>
    <n v="96"/>
    <n v="1"/>
    <x v="4"/>
    <x v="7"/>
    <x v="0"/>
    <s v="Married"/>
    <n v="19740"/>
    <n v="18625"/>
    <n v="3"/>
    <s v="Y"/>
    <s v="No"/>
    <n v="14"/>
    <n v="3"/>
    <n v="2"/>
    <n v="80"/>
    <n v="1"/>
    <n v="25"/>
    <n v="2"/>
    <n v="3"/>
    <x v="3"/>
    <n v="7"/>
    <n v="0"/>
    <n v="7"/>
    <s v="36-45"/>
    <s v="Very High"/>
    <s v="6-10"/>
    <s v="Senior"/>
    <s v="Standard"/>
    <s v="High"/>
    <x v="0"/>
  </r>
  <r>
    <n v="49"/>
    <x v="1"/>
    <s v="Travel_Rarely"/>
    <n v="1098"/>
    <x v="1"/>
    <n v="4"/>
    <n v="2"/>
    <s v="Medical"/>
    <n v="1"/>
    <n v="1256"/>
    <x v="3"/>
    <s v="Male"/>
    <n v="85"/>
    <n v="2"/>
    <x v="4"/>
    <x v="5"/>
    <x v="2"/>
    <s v="Married"/>
    <n v="18711"/>
    <n v="12124"/>
    <n v="2"/>
    <s v="Y"/>
    <s v="No"/>
    <n v="13"/>
    <n v="3"/>
    <n v="3"/>
    <n v="80"/>
    <n v="1"/>
    <n v="23"/>
    <n v="2"/>
    <n v="4"/>
    <x v="6"/>
    <n v="0"/>
    <n v="0"/>
    <n v="0"/>
    <s v="46-55"/>
    <s v="Very High"/>
    <s v="0-2"/>
    <s v="Senior"/>
    <s v="Standard"/>
    <s v="High"/>
    <x v="0"/>
  </r>
  <r>
    <n v="36"/>
    <x v="1"/>
    <s v="Travel_Frequently"/>
    <n v="469"/>
    <x v="1"/>
    <n v="3"/>
    <n v="3"/>
    <s v="Technical Degree"/>
    <n v="1"/>
    <n v="1257"/>
    <x v="1"/>
    <s v="Male"/>
    <n v="46"/>
    <n v="3"/>
    <x v="1"/>
    <x v="1"/>
    <x v="1"/>
    <s v="Married"/>
    <n v="3692"/>
    <n v="9256"/>
    <n v="1"/>
    <s v="Y"/>
    <s v="No"/>
    <n v="12"/>
    <n v="3"/>
    <n v="3"/>
    <n v="80"/>
    <n v="0"/>
    <n v="12"/>
    <n v="2"/>
    <n v="2"/>
    <x v="19"/>
    <n v="10"/>
    <n v="0"/>
    <n v="7"/>
    <s v="36-45"/>
    <s v="Medium"/>
    <s v="11-15"/>
    <s v="Mid-Level"/>
    <s v="Standard"/>
    <s v="Low"/>
    <x v="0"/>
  </r>
  <r>
    <n v="48"/>
    <x v="1"/>
    <s v="Travel_Rarely"/>
    <n v="969"/>
    <x v="1"/>
    <n v="2"/>
    <n v="2"/>
    <s v="Technical Degree"/>
    <n v="1"/>
    <n v="1258"/>
    <x v="2"/>
    <s v="Male"/>
    <n v="76"/>
    <n v="4"/>
    <x v="1"/>
    <x v="2"/>
    <x v="1"/>
    <s v="Single"/>
    <n v="2559"/>
    <n v="16620"/>
    <n v="5"/>
    <s v="Y"/>
    <s v="No"/>
    <n v="11"/>
    <n v="3"/>
    <n v="3"/>
    <n v="80"/>
    <n v="0"/>
    <n v="7"/>
    <n v="4"/>
    <n v="2"/>
    <x v="6"/>
    <n v="0"/>
    <n v="0"/>
    <n v="0"/>
    <s v="46-55"/>
    <s v="Low"/>
    <s v="0-2"/>
    <s v="Mid-Level"/>
    <s v="Standard"/>
    <s v="Low"/>
    <x v="0"/>
  </r>
  <r>
    <n v="27"/>
    <x v="1"/>
    <s v="Travel_Rarely"/>
    <n v="1167"/>
    <x v="1"/>
    <n v="4"/>
    <n v="2"/>
    <s v="Life Sciences"/>
    <n v="1"/>
    <n v="1259"/>
    <x v="3"/>
    <s v="Male"/>
    <n v="76"/>
    <n v="3"/>
    <x v="1"/>
    <x v="1"/>
    <x v="2"/>
    <s v="Divorced"/>
    <n v="2517"/>
    <n v="3208"/>
    <n v="1"/>
    <s v="Y"/>
    <s v="No"/>
    <n v="11"/>
    <n v="3"/>
    <n v="2"/>
    <n v="80"/>
    <n v="3"/>
    <n v="5"/>
    <n v="2"/>
    <n v="3"/>
    <x v="8"/>
    <n v="3"/>
    <n v="0"/>
    <n v="3"/>
    <s v="26-35"/>
    <s v="Low"/>
    <s v="3-5"/>
    <s v="Junior"/>
    <s v="Standard"/>
    <s v="High"/>
    <x v="0"/>
  </r>
  <r>
    <n v="29"/>
    <x v="1"/>
    <s v="Travel_Rarely"/>
    <n v="1329"/>
    <x v="1"/>
    <n v="7"/>
    <n v="3"/>
    <s v="Life Sciences"/>
    <n v="1"/>
    <n v="1260"/>
    <x v="1"/>
    <s v="Male"/>
    <n v="82"/>
    <n v="3"/>
    <x v="0"/>
    <x v="4"/>
    <x v="0"/>
    <s v="Divorced"/>
    <n v="6623"/>
    <n v="4204"/>
    <n v="1"/>
    <s v="Y"/>
    <s v="Yes"/>
    <n v="11"/>
    <n v="3"/>
    <n v="2"/>
    <n v="80"/>
    <n v="2"/>
    <n v="6"/>
    <n v="2"/>
    <n v="3"/>
    <x v="0"/>
    <n v="0"/>
    <n v="1"/>
    <n v="0"/>
    <s v="26-35"/>
    <s v="High"/>
    <s v="6-10"/>
    <s v="Mid-Level"/>
    <s v="Standard"/>
    <s v="High"/>
    <x v="0"/>
  </r>
  <r>
    <n v="48"/>
    <x v="1"/>
    <s v="Travel_Rarely"/>
    <n v="715"/>
    <x v="1"/>
    <n v="1"/>
    <n v="3"/>
    <s v="Life Sciences"/>
    <n v="1"/>
    <n v="1263"/>
    <x v="2"/>
    <s v="Male"/>
    <n v="76"/>
    <n v="2"/>
    <x v="4"/>
    <x v="7"/>
    <x v="0"/>
    <s v="Single"/>
    <n v="18265"/>
    <n v="8733"/>
    <n v="6"/>
    <s v="Y"/>
    <s v="No"/>
    <n v="12"/>
    <n v="3"/>
    <n v="3"/>
    <n v="80"/>
    <n v="0"/>
    <n v="25"/>
    <n v="3"/>
    <n v="4"/>
    <x v="6"/>
    <n v="0"/>
    <n v="0"/>
    <n v="0"/>
    <s v="46-55"/>
    <s v="Very High"/>
    <s v="0-2"/>
    <s v="Senior"/>
    <s v="Standard"/>
    <s v="High"/>
    <x v="0"/>
  </r>
  <r>
    <n v="29"/>
    <x v="1"/>
    <s v="Travel_Rarely"/>
    <n v="694"/>
    <x v="1"/>
    <n v="1"/>
    <n v="3"/>
    <s v="Life Sciences"/>
    <n v="1"/>
    <n v="1264"/>
    <x v="2"/>
    <s v="Female"/>
    <n v="87"/>
    <n v="2"/>
    <x v="3"/>
    <x v="7"/>
    <x v="0"/>
    <s v="Divorced"/>
    <n v="16124"/>
    <n v="3423"/>
    <n v="3"/>
    <s v="Y"/>
    <s v="No"/>
    <n v="14"/>
    <n v="3"/>
    <n v="2"/>
    <n v="80"/>
    <n v="2"/>
    <n v="9"/>
    <n v="2"/>
    <n v="2"/>
    <x v="5"/>
    <n v="7"/>
    <n v="1"/>
    <n v="7"/>
    <s v="26-35"/>
    <s v="Very High"/>
    <s v="6-10"/>
    <s v="Mid-Level"/>
    <s v="Standard"/>
    <s v="High"/>
    <x v="0"/>
  </r>
  <r>
    <n v="34"/>
    <x v="1"/>
    <s v="Travel_Rarely"/>
    <n v="1320"/>
    <x v="1"/>
    <n v="20"/>
    <n v="3"/>
    <s v="Technical Degree"/>
    <n v="1"/>
    <n v="1265"/>
    <x v="1"/>
    <s v="Female"/>
    <n v="89"/>
    <n v="4"/>
    <x v="1"/>
    <x v="1"/>
    <x v="2"/>
    <s v="Married"/>
    <n v="2585"/>
    <n v="21643"/>
    <n v="0"/>
    <s v="Y"/>
    <s v="No"/>
    <n v="17"/>
    <n v="3"/>
    <n v="4"/>
    <n v="80"/>
    <n v="0"/>
    <n v="2"/>
    <n v="5"/>
    <n v="2"/>
    <x v="6"/>
    <n v="0"/>
    <n v="0"/>
    <n v="0"/>
    <s v="26-35"/>
    <s v="Low"/>
    <s v="0-2"/>
    <s v="Junior"/>
    <s v="Standard"/>
    <s v="High"/>
    <x v="0"/>
  </r>
  <r>
    <n v="44"/>
    <x v="1"/>
    <s v="Travel_Rarely"/>
    <n v="1099"/>
    <x v="0"/>
    <n v="5"/>
    <n v="3"/>
    <s v="Marketing"/>
    <n v="1"/>
    <n v="1267"/>
    <x v="0"/>
    <s v="Male"/>
    <n v="88"/>
    <n v="3"/>
    <x v="4"/>
    <x v="5"/>
    <x v="1"/>
    <s v="Married"/>
    <n v="18213"/>
    <n v="8751"/>
    <n v="7"/>
    <s v="Y"/>
    <s v="No"/>
    <n v="11"/>
    <n v="3"/>
    <n v="3"/>
    <n v="80"/>
    <n v="1"/>
    <n v="26"/>
    <n v="5"/>
    <n v="3"/>
    <x v="14"/>
    <n v="9"/>
    <n v="3"/>
    <n v="10"/>
    <s v="36-45"/>
    <s v="Very High"/>
    <s v="16+"/>
    <s v="Senior"/>
    <s v="Standard"/>
    <s v="Low"/>
    <x v="0"/>
  </r>
  <r>
    <n v="33"/>
    <x v="1"/>
    <s v="Travel_Rarely"/>
    <n v="536"/>
    <x v="0"/>
    <n v="10"/>
    <n v="5"/>
    <s v="Marketing"/>
    <n v="1"/>
    <n v="1268"/>
    <x v="2"/>
    <s v="Male"/>
    <n v="82"/>
    <n v="4"/>
    <x v="2"/>
    <x v="0"/>
    <x v="2"/>
    <s v="Divorced"/>
    <n v="8380"/>
    <n v="21708"/>
    <n v="0"/>
    <s v="Y"/>
    <s v="Yes"/>
    <n v="14"/>
    <n v="3"/>
    <n v="4"/>
    <n v="80"/>
    <n v="2"/>
    <n v="10"/>
    <n v="3"/>
    <n v="3"/>
    <x v="7"/>
    <n v="8"/>
    <n v="0"/>
    <n v="8"/>
    <s v="26-35"/>
    <s v="High"/>
    <s v="6-10"/>
    <s v="Mid-Level"/>
    <s v="Standard"/>
    <s v="High"/>
    <x v="0"/>
  </r>
  <r>
    <n v="19"/>
    <x v="1"/>
    <s v="Travel_Rarely"/>
    <n v="265"/>
    <x v="1"/>
    <n v="25"/>
    <n v="3"/>
    <s v="Life Sciences"/>
    <n v="1"/>
    <n v="1269"/>
    <x v="0"/>
    <s v="Female"/>
    <n v="57"/>
    <n v="4"/>
    <x v="1"/>
    <x v="1"/>
    <x v="0"/>
    <s v="Single"/>
    <n v="2994"/>
    <n v="21221"/>
    <n v="1"/>
    <s v="Y"/>
    <s v="Yes"/>
    <n v="12"/>
    <n v="3"/>
    <n v="4"/>
    <n v="80"/>
    <n v="0"/>
    <n v="1"/>
    <n v="2"/>
    <n v="3"/>
    <x v="6"/>
    <n v="0"/>
    <n v="0"/>
    <n v="1"/>
    <s v="18-25"/>
    <s v="Low"/>
    <s v="0-2"/>
    <s v="Junior"/>
    <s v="Standard"/>
    <s v="High"/>
    <x v="0"/>
  </r>
  <r>
    <n v="23"/>
    <x v="1"/>
    <s v="Travel_Rarely"/>
    <n v="373"/>
    <x v="1"/>
    <n v="1"/>
    <n v="2"/>
    <s v="Life Sciences"/>
    <n v="1"/>
    <n v="1270"/>
    <x v="2"/>
    <s v="Male"/>
    <n v="47"/>
    <n v="3"/>
    <x v="1"/>
    <x v="1"/>
    <x v="2"/>
    <s v="Married"/>
    <n v="1223"/>
    <n v="16901"/>
    <n v="1"/>
    <s v="Y"/>
    <s v="No"/>
    <n v="22"/>
    <n v="4"/>
    <n v="4"/>
    <n v="80"/>
    <n v="1"/>
    <n v="1"/>
    <n v="2"/>
    <n v="3"/>
    <x v="6"/>
    <n v="0"/>
    <n v="0"/>
    <n v="1"/>
    <s v="18-25"/>
    <s v="Low"/>
    <s v="0-2"/>
    <s v="Junior"/>
    <s v="Excellent"/>
    <s v="High"/>
    <x v="0"/>
  </r>
  <r>
    <n v="25"/>
    <x v="0"/>
    <s v="Travel_Frequently"/>
    <n v="599"/>
    <x v="0"/>
    <n v="24"/>
    <n v="1"/>
    <s v="Life Sciences"/>
    <n v="1"/>
    <n v="1273"/>
    <x v="1"/>
    <s v="Male"/>
    <n v="73"/>
    <n v="1"/>
    <x v="1"/>
    <x v="6"/>
    <x v="0"/>
    <s v="Single"/>
    <n v="1118"/>
    <n v="8040"/>
    <n v="1"/>
    <s v="Y"/>
    <s v="Yes"/>
    <n v="14"/>
    <n v="3"/>
    <n v="4"/>
    <n v="80"/>
    <n v="0"/>
    <n v="1"/>
    <n v="4"/>
    <n v="3"/>
    <x v="6"/>
    <n v="0"/>
    <n v="1"/>
    <n v="0"/>
    <s v="18-25"/>
    <s v="Low"/>
    <s v="0-2"/>
    <s v="Junior"/>
    <s v="Standard"/>
    <s v="High"/>
    <x v="0"/>
  </r>
  <r>
    <n v="26"/>
    <x v="1"/>
    <s v="Travel_Rarely"/>
    <n v="583"/>
    <x v="1"/>
    <n v="4"/>
    <n v="2"/>
    <s v="Life Sciences"/>
    <n v="1"/>
    <n v="1275"/>
    <x v="1"/>
    <s v="Male"/>
    <n v="53"/>
    <n v="3"/>
    <x v="1"/>
    <x v="1"/>
    <x v="0"/>
    <s v="Single"/>
    <n v="2875"/>
    <n v="9973"/>
    <n v="1"/>
    <s v="Y"/>
    <s v="Yes"/>
    <n v="20"/>
    <n v="4"/>
    <n v="2"/>
    <n v="80"/>
    <n v="0"/>
    <n v="8"/>
    <n v="2"/>
    <n v="2"/>
    <x v="3"/>
    <n v="5"/>
    <n v="2"/>
    <n v="2"/>
    <s v="26-35"/>
    <s v="Low"/>
    <s v="6-10"/>
    <s v="Mid-Level"/>
    <s v="Excellent"/>
    <s v="High"/>
    <x v="0"/>
  </r>
  <r>
    <n v="45"/>
    <x v="0"/>
    <s v="Travel_Rarely"/>
    <n v="1449"/>
    <x v="0"/>
    <n v="2"/>
    <n v="3"/>
    <s v="Marketing"/>
    <n v="1"/>
    <n v="1277"/>
    <x v="3"/>
    <s v="Female"/>
    <n v="94"/>
    <n v="1"/>
    <x v="4"/>
    <x v="5"/>
    <x v="1"/>
    <s v="Single"/>
    <n v="18824"/>
    <n v="2493"/>
    <n v="2"/>
    <s v="Y"/>
    <s v="Yes"/>
    <n v="16"/>
    <n v="3"/>
    <n v="1"/>
    <n v="80"/>
    <n v="0"/>
    <n v="26"/>
    <n v="2"/>
    <n v="3"/>
    <x v="25"/>
    <n v="10"/>
    <n v="1"/>
    <n v="11"/>
    <s v="36-45"/>
    <s v="Very High"/>
    <s v="16+"/>
    <s v="Senior"/>
    <s v="Standard"/>
    <s v="Low"/>
    <x v="0"/>
  </r>
  <r>
    <n v="55"/>
    <x v="1"/>
    <s v="Non-Travel"/>
    <n v="177"/>
    <x v="1"/>
    <n v="8"/>
    <n v="1"/>
    <s v="Medical"/>
    <n v="1"/>
    <n v="1278"/>
    <x v="2"/>
    <s v="Male"/>
    <n v="37"/>
    <n v="2"/>
    <x v="3"/>
    <x v="4"/>
    <x v="1"/>
    <s v="Divorced"/>
    <n v="13577"/>
    <n v="25592"/>
    <n v="1"/>
    <s v="Y"/>
    <s v="Yes"/>
    <n v="15"/>
    <n v="3"/>
    <n v="4"/>
    <n v="80"/>
    <n v="1"/>
    <n v="34"/>
    <n v="3"/>
    <n v="3"/>
    <x v="26"/>
    <n v="9"/>
    <n v="15"/>
    <n v="0"/>
    <s v="46-55"/>
    <s v="Very High"/>
    <s v="16+"/>
    <s v="Senior"/>
    <s v="Standard"/>
    <s v="Low"/>
    <x v="0"/>
  </r>
  <r>
    <n v="21"/>
    <x v="0"/>
    <s v="Travel_Frequently"/>
    <n v="251"/>
    <x v="1"/>
    <n v="10"/>
    <n v="2"/>
    <s v="Life Sciences"/>
    <n v="1"/>
    <n v="1279"/>
    <x v="3"/>
    <s v="Female"/>
    <n v="45"/>
    <n v="2"/>
    <x v="1"/>
    <x v="2"/>
    <x v="2"/>
    <s v="Single"/>
    <n v="2625"/>
    <n v="25308"/>
    <n v="1"/>
    <s v="Y"/>
    <s v="No"/>
    <n v="20"/>
    <n v="4"/>
    <n v="3"/>
    <n v="80"/>
    <n v="0"/>
    <n v="2"/>
    <n v="2"/>
    <n v="1"/>
    <x v="4"/>
    <n v="2"/>
    <n v="2"/>
    <n v="2"/>
    <s v="18-25"/>
    <s v="Low"/>
    <s v="0-2"/>
    <s v="Junior"/>
    <s v="Excellent"/>
    <s v="High"/>
    <x v="0"/>
  </r>
  <r>
    <n v="46"/>
    <x v="1"/>
    <s v="Travel_Rarely"/>
    <n v="168"/>
    <x v="0"/>
    <n v="4"/>
    <n v="2"/>
    <s v="Marketing"/>
    <n v="1"/>
    <n v="1280"/>
    <x v="2"/>
    <s v="Female"/>
    <n v="33"/>
    <n v="2"/>
    <x v="4"/>
    <x v="5"/>
    <x v="1"/>
    <s v="Married"/>
    <n v="18789"/>
    <n v="9946"/>
    <n v="2"/>
    <s v="Y"/>
    <s v="No"/>
    <n v="14"/>
    <n v="3"/>
    <n v="3"/>
    <n v="80"/>
    <n v="1"/>
    <n v="26"/>
    <n v="2"/>
    <n v="3"/>
    <x v="19"/>
    <n v="4"/>
    <n v="0"/>
    <n v="8"/>
    <s v="46-55"/>
    <s v="Very High"/>
    <s v="11-15"/>
    <s v="Senior"/>
    <s v="Standard"/>
    <s v="Low"/>
    <x v="0"/>
  </r>
  <r>
    <n v="34"/>
    <x v="1"/>
    <s v="Travel_Rarely"/>
    <n v="131"/>
    <x v="0"/>
    <n v="2"/>
    <n v="3"/>
    <s v="Marketing"/>
    <n v="1"/>
    <n v="1281"/>
    <x v="1"/>
    <s v="Female"/>
    <n v="86"/>
    <n v="3"/>
    <x v="0"/>
    <x v="0"/>
    <x v="3"/>
    <s v="Single"/>
    <n v="4538"/>
    <n v="6039"/>
    <n v="0"/>
    <s v="Y"/>
    <s v="Yes"/>
    <n v="12"/>
    <n v="3"/>
    <n v="4"/>
    <n v="80"/>
    <n v="0"/>
    <n v="4"/>
    <n v="3"/>
    <n v="3"/>
    <x v="11"/>
    <n v="2"/>
    <n v="0"/>
    <n v="2"/>
    <s v="26-35"/>
    <s v="Medium"/>
    <s v="3-5"/>
    <s v="Junior"/>
    <s v="Standard"/>
    <s v="Low"/>
    <x v="0"/>
  </r>
  <r>
    <n v="51"/>
    <x v="1"/>
    <s v="Travel_Frequently"/>
    <n v="237"/>
    <x v="0"/>
    <n v="9"/>
    <n v="3"/>
    <s v="Life Sciences"/>
    <n v="1"/>
    <n v="1282"/>
    <x v="2"/>
    <s v="Male"/>
    <n v="83"/>
    <n v="3"/>
    <x v="4"/>
    <x v="5"/>
    <x v="1"/>
    <s v="Divorced"/>
    <n v="19847"/>
    <n v="19196"/>
    <n v="4"/>
    <s v="Y"/>
    <s v="Yes"/>
    <n v="24"/>
    <n v="4"/>
    <n v="1"/>
    <n v="80"/>
    <n v="1"/>
    <n v="31"/>
    <n v="5"/>
    <n v="2"/>
    <x v="30"/>
    <n v="10"/>
    <n v="11"/>
    <n v="10"/>
    <s v="46-55"/>
    <s v="Very High"/>
    <s v="16+"/>
    <s v="Senior"/>
    <s v="Excellent"/>
    <s v="Low"/>
    <x v="0"/>
  </r>
  <r>
    <n v="59"/>
    <x v="1"/>
    <s v="Travel_Rarely"/>
    <n v="1429"/>
    <x v="1"/>
    <n v="18"/>
    <n v="4"/>
    <s v="Medical"/>
    <n v="1"/>
    <n v="1283"/>
    <x v="2"/>
    <s v="Male"/>
    <n v="67"/>
    <n v="3"/>
    <x v="2"/>
    <x v="3"/>
    <x v="0"/>
    <s v="Single"/>
    <n v="10512"/>
    <n v="20002"/>
    <n v="6"/>
    <s v="Y"/>
    <s v="No"/>
    <n v="12"/>
    <n v="3"/>
    <n v="4"/>
    <n v="80"/>
    <n v="0"/>
    <n v="25"/>
    <n v="6"/>
    <n v="2"/>
    <x v="7"/>
    <n v="7"/>
    <n v="5"/>
    <n v="4"/>
    <s v="56+"/>
    <s v="Very High"/>
    <s v="6-10"/>
    <s v="Senior"/>
    <s v="Standard"/>
    <s v="High"/>
    <x v="0"/>
  </r>
  <r>
    <n v="34"/>
    <x v="1"/>
    <s v="Travel_Frequently"/>
    <n v="135"/>
    <x v="1"/>
    <n v="19"/>
    <n v="3"/>
    <s v="Medical"/>
    <n v="1"/>
    <n v="1285"/>
    <x v="1"/>
    <s v="Female"/>
    <n v="46"/>
    <n v="3"/>
    <x v="0"/>
    <x v="2"/>
    <x v="1"/>
    <s v="Divorced"/>
    <n v="4444"/>
    <n v="22534"/>
    <n v="4"/>
    <s v="Y"/>
    <s v="No"/>
    <n v="13"/>
    <n v="3"/>
    <n v="3"/>
    <n v="80"/>
    <n v="2"/>
    <n v="15"/>
    <n v="2"/>
    <n v="4"/>
    <x v="19"/>
    <n v="8"/>
    <n v="5"/>
    <n v="10"/>
    <s v="26-35"/>
    <s v="Medium"/>
    <s v="11-15"/>
    <s v="Mid-Level"/>
    <s v="Standard"/>
    <s v="Low"/>
    <x v="0"/>
  </r>
  <r>
    <n v="28"/>
    <x v="1"/>
    <s v="Travel_Frequently"/>
    <n v="791"/>
    <x v="1"/>
    <n v="1"/>
    <n v="4"/>
    <s v="Medical"/>
    <n v="1"/>
    <n v="1286"/>
    <x v="2"/>
    <s v="Male"/>
    <n v="44"/>
    <n v="3"/>
    <x v="1"/>
    <x v="2"/>
    <x v="2"/>
    <s v="Single"/>
    <n v="2154"/>
    <n v="6842"/>
    <n v="0"/>
    <s v="Y"/>
    <s v="Yes"/>
    <n v="11"/>
    <n v="3"/>
    <n v="3"/>
    <n v="80"/>
    <n v="0"/>
    <n v="5"/>
    <n v="2"/>
    <n v="2"/>
    <x v="9"/>
    <n v="2"/>
    <n v="0"/>
    <n v="2"/>
    <s v="26-35"/>
    <s v="Low"/>
    <s v="3-5"/>
    <s v="Junior"/>
    <s v="Standard"/>
    <s v="High"/>
    <x v="0"/>
  </r>
  <r>
    <n v="44"/>
    <x v="1"/>
    <s v="Travel_Rarely"/>
    <n v="1199"/>
    <x v="1"/>
    <n v="4"/>
    <n v="2"/>
    <s v="Life Sciences"/>
    <n v="1"/>
    <n v="1288"/>
    <x v="1"/>
    <s v="Male"/>
    <n v="92"/>
    <n v="4"/>
    <x v="4"/>
    <x v="5"/>
    <x v="3"/>
    <s v="Divorced"/>
    <n v="19190"/>
    <n v="17477"/>
    <n v="1"/>
    <s v="Y"/>
    <s v="No"/>
    <n v="14"/>
    <n v="3"/>
    <n v="4"/>
    <n v="80"/>
    <n v="2"/>
    <n v="26"/>
    <n v="4"/>
    <n v="2"/>
    <x v="10"/>
    <n v="9"/>
    <n v="14"/>
    <n v="13"/>
    <s v="36-45"/>
    <s v="Very High"/>
    <s v="16+"/>
    <s v="Senior"/>
    <s v="Standard"/>
    <s v="Low"/>
    <x v="0"/>
  </r>
  <r>
    <n v="34"/>
    <x v="1"/>
    <s v="Travel_Frequently"/>
    <n v="648"/>
    <x v="2"/>
    <n v="11"/>
    <n v="3"/>
    <s v="Life Sciences"/>
    <n v="1"/>
    <n v="1289"/>
    <x v="1"/>
    <s v="Male"/>
    <n v="56"/>
    <n v="2"/>
    <x v="0"/>
    <x v="8"/>
    <x v="1"/>
    <s v="Married"/>
    <n v="4490"/>
    <n v="21833"/>
    <n v="4"/>
    <s v="Y"/>
    <s v="No"/>
    <n v="11"/>
    <n v="3"/>
    <n v="4"/>
    <n v="80"/>
    <n v="2"/>
    <n v="14"/>
    <n v="5"/>
    <n v="4"/>
    <x v="1"/>
    <n v="9"/>
    <n v="1"/>
    <n v="8"/>
    <s v="26-35"/>
    <s v="Medium"/>
    <s v="6-10"/>
    <s v="Mid-Level"/>
    <s v="Standard"/>
    <s v="Low"/>
    <x v="0"/>
  </r>
  <r>
    <n v="35"/>
    <x v="1"/>
    <s v="Travel_Rarely"/>
    <n v="735"/>
    <x v="1"/>
    <n v="6"/>
    <n v="1"/>
    <s v="Life Sciences"/>
    <n v="1"/>
    <n v="1291"/>
    <x v="1"/>
    <s v="Male"/>
    <n v="66"/>
    <n v="3"/>
    <x v="1"/>
    <x v="1"/>
    <x v="2"/>
    <s v="Married"/>
    <n v="3506"/>
    <n v="6020"/>
    <n v="0"/>
    <s v="Y"/>
    <s v="Yes"/>
    <n v="14"/>
    <n v="3"/>
    <n v="4"/>
    <n v="80"/>
    <n v="0"/>
    <n v="4"/>
    <n v="3"/>
    <n v="3"/>
    <x v="11"/>
    <n v="2"/>
    <n v="2"/>
    <n v="2"/>
    <s v="26-35"/>
    <s v="Medium"/>
    <s v="3-5"/>
    <s v="Junior"/>
    <s v="Standard"/>
    <s v="High"/>
    <x v="0"/>
  </r>
  <r>
    <n v="42"/>
    <x v="1"/>
    <s v="Travel_Rarely"/>
    <n v="603"/>
    <x v="1"/>
    <n v="7"/>
    <n v="4"/>
    <s v="Medical"/>
    <n v="1"/>
    <n v="1292"/>
    <x v="0"/>
    <s v="Female"/>
    <n v="78"/>
    <n v="4"/>
    <x v="0"/>
    <x v="1"/>
    <x v="1"/>
    <s v="Married"/>
    <n v="2372"/>
    <n v="5628"/>
    <n v="6"/>
    <s v="Y"/>
    <s v="Yes"/>
    <n v="16"/>
    <n v="3"/>
    <n v="4"/>
    <n v="80"/>
    <n v="0"/>
    <n v="18"/>
    <n v="2"/>
    <n v="3"/>
    <x v="6"/>
    <n v="0"/>
    <n v="0"/>
    <n v="0"/>
    <s v="36-45"/>
    <s v="Low"/>
    <s v="0-2"/>
    <s v="Senior"/>
    <s v="Standard"/>
    <s v="Low"/>
    <x v="1"/>
  </r>
  <r>
    <n v="43"/>
    <x v="1"/>
    <s v="Travel_Rarely"/>
    <n v="531"/>
    <x v="0"/>
    <n v="4"/>
    <n v="4"/>
    <s v="Marketing"/>
    <n v="1"/>
    <n v="1293"/>
    <x v="2"/>
    <s v="Female"/>
    <n v="56"/>
    <n v="2"/>
    <x v="2"/>
    <x v="0"/>
    <x v="0"/>
    <s v="Single"/>
    <n v="10231"/>
    <n v="20364"/>
    <n v="3"/>
    <s v="Y"/>
    <s v="No"/>
    <n v="14"/>
    <n v="3"/>
    <n v="4"/>
    <n v="80"/>
    <n v="0"/>
    <n v="23"/>
    <n v="3"/>
    <n v="4"/>
    <x v="17"/>
    <n v="7"/>
    <n v="15"/>
    <n v="17"/>
    <s v="36-45"/>
    <s v="Very High"/>
    <s v="16+"/>
    <s v="Senior"/>
    <s v="Standard"/>
    <s v="High"/>
    <x v="0"/>
  </r>
  <r>
    <n v="36"/>
    <x v="1"/>
    <s v="Travel_Rarely"/>
    <n v="429"/>
    <x v="1"/>
    <n v="2"/>
    <n v="4"/>
    <s v="Life Sciences"/>
    <n v="1"/>
    <n v="1294"/>
    <x v="1"/>
    <s v="Female"/>
    <n v="53"/>
    <n v="3"/>
    <x v="0"/>
    <x v="3"/>
    <x v="1"/>
    <s v="Single"/>
    <n v="5410"/>
    <n v="2323"/>
    <n v="9"/>
    <s v="Y"/>
    <s v="Yes"/>
    <n v="11"/>
    <n v="3"/>
    <n v="4"/>
    <n v="80"/>
    <n v="0"/>
    <n v="18"/>
    <n v="2"/>
    <n v="3"/>
    <x v="22"/>
    <n v="14"/>
    <n v="5"/>
    <n v="12"/>
    <s v="36-45"/>
    <s v="Medium"/>
    <s v="16+"/>
    <s v="Senior"/>
    <s v="Standard"/>
    <s v="Low"/>
    <x v="0"/>
  </r>
  <r>
    <n v="44"/>
    <x v="0"/>
    <s v="Travel_Rarely"/>
    <n v="621"/>
    <x v="1"/>
    <n v="15"/>
    <n v="3"/>
    <s v="Medical"/>
    <n v="1"/>
    <n v="1295"/>
    <x v="3"/>
    <s v="Female"/>
    <n v="73"/>
    <n v="3"/>
    <x v="2"/>
    <x v="4"/>
    <x v="0"/>
    <s v="Married"/>
    <n v="7978"/>
    <n v="14075"/>
    <n v="1"/>
    <s v="Y"/>
    <s v="No"/>
    <n v="11"/>
    <n v="3"/>
    <n v="4"/>
    <n v="80"/>
    <n v="1"/>
    <n v="10"/>
    <n v="2"/>
    <n v="3"/>
    <x v="1"/>
    <n v="7"/>
    <n v="0"/>
    <n v="5"/>
    <s v="36-45"/>
    <s v="High"/>
    <s v="6-10"/>
    <s v="Mid-Level"/>
    <s v="Standard"/>
    <s v="High"/>
    <x v="0"/>
  </r>
  <r>
    <n v="28"/>
    <x v="1"/>
    <s v="Travel_Frequently"/>
    <n v="193"/>
    <x v="1"/>
    <n v="2"/>
    <n v="3"/>
    <s v="Life Sciences"/>
    <n v="1"/>
    <n v="1296"/>
    <x v="2"/>
    <s v="Male"/>
    <n v="52"/>
    <n v="2"/>
    <x v="1"/>
    <x v="2"/>
    <x v="0"/>
    <s v="Married"/>
    <n v="3867"/>
    <n v="14222"/>
    <n v="1"/>
    <s v="Y"/>
    <s v="Yes"/>
    <n v="12"/>
    <n v="3"/>
    <n v="2"/>
    <n v="80"/>
    <n v="1"/>
    <n v="2"/>
    <n v="2"/>
    <n v="3"/>
    <x v="4"/>
    <n v="2"/>
    <n v="2"/>
    <n v="2"/>
    <s v="26-35"/>
    <s v="Medium"/>
    <s v="0-2"/>
    <s v="Junior"/>
    <s v="Standard"/>
    <s v="High"/>
    <x v="0"/>
  </r>
  <r>
    <n v="51"/>
    <x v="1"/>
    <s v="Travel_Frequently"/>
    <n v="968"/>
    <x v="1"/>
    <n v="6"/>
    <n v="2"/>
    <s v="Medical"/>
    <n v="1"/>
    <n v="1297"/>
    <x v="0"/>
    <s v="Female"/>
    <n v="40"/>
    <n v="2"/>
    <x v="1"/>
    <x v="2"/>
    <x v="2"/>
    <s v="Single"/>
    <n v="2838"/>
    <n v="4257"/>
    <n v="0"/>
    <s v="Y"/>
    <s v="No"/>
    <n v="14"/>
    <n v="3"/>
    <n v="2"/>
    <n v="80"/>
    <n v="0"/>
    <n v="8"/>
    <n v="6"/>
    <n v="2"/>
    <x v="5"/>
    <n v="0"/>
    <n v="7"/>
    <n v="7"/>
    <s v="46-55"/>
    <s v="Low"/>
    <s v="6-10"/>
    <s v="Mid-Level"/>
    <s v="Standard"/>
    <s v="High"/>
    <x v="0"/>
  </r>
  <r>
    <n v="30"/>
    <x v="1"/>
    <s v="Non-Travel"/>
    <n v="879"/>
    <x v="1"/>
    <n v="9"/>
    <n v="2"/>
    <s v="Medical"/>
    <n v="1"/>
    <n v="1298"/>
    <x v="1"/>
    <s v="Female"/>
    <n v="72"/>
    <n v="3"/>
    <x v="0"/>
    <x v="3"/>
    <x v="2"/>
    <s v="Single"/>
    <n v="4695"/>
    <n v="12858"/>
    <n v="7"/>
    <s v="Y"/>
    <s v="Yes"/>
    <n v="18"/>
    <n v="3"/>
    <n v="3"/>
    <n v="80"/>
    <n v="0"/>
    <n v="10"/>
    <n v="3"/>
    <n v="3"/>
    <x v="3"/>
    <n v="4"/>
    <n v="1"/>
    <n v="7"/>
    <s v="26-35"/>
    <s v="Medium"/>
    <s v="6-10"/>
    <s v="Mid-Level"/>
    <s v="Standard"/>
    <s v="High"/>
    <x v="0"/>
  </r>
  <r>
    <n v="29"/>
    <x v="0"/>
    <s v="Travel_Rarely"/>
    <n v="806"/>
    <x v="1"/>
    <n v="7"/>
    <n v="3"/>
    <s v="Technical Degree"/>
    <n v="1"/>
    <n v="1299"/>
    <x v="0"/>
    <s v="Female"/>
    <n v="39"/>
    <n v="3"/>
    <x v="1"/>
    <x v="2"/>
    <x v="2"/>
    <s v="Divorced"/>
    <n v="3339"/>
    <n v="17285"/>
    <n v="3"/>
    <s v="Y"/>
    <s v="Yes"/>
    <n v="13"/>
    <n v="3"/>
    <n v="1"/>
    <n v="80"/>
    <n v="2"/>
    <n v="10"/>
    <n v="2"/>
    <n v="3"/>
    <x v="5"/>
    <n v="7"/>
    <n v="7"/>
    <n v="7"/>
    <s v="26-35"/>
    <s v="Medium"/>
    <s v="6-10"/>
    <s v="Mid-Level"/>
    <s v="Standard"/>
    <s v="High"/>
    <x v="0"/>
  </r>
  <r>
    <n v="28"/>
    <x v="1"/>
    <s v="Travel_Rarely"/>
    <n v="640"/>
    <x v="1"/>
    <n v="1"/>
    <n v="3"/>
    <s v="Technical Degree"/>
    <n v="1"/>
    <n v="1301"/>
    <x v="2"/>
    <s v="Male"/>
    <n v="84"/>
    <n v="3"/>
    <x v="1"/>
    <x v="1"/>
    <x v="3"/>
    <s v="Single"/>
    <n v="2080"/>
    <n v="4732"/>
    <n v="2"/>
    <s v="Y"/>
    <s v="No"/>
    <n v="11"/>
    <n v="3"/>
    <n v="2"/>
    <n v="80"/>
    <n v="0"/>
    <n v="5"/>
    <n v="2"/>
    <n v="2"/>
    <x v="11"/>
    <n v="2"/>
    <n v="1"/>
    <n v="2"/>
    <s v="26-35"/>
    <s v="Low"/>
    <s v="3-5"/>
    <s v="Junior"/>
    <s v="Standard"/>
    <s v="Low"/>
    <x v="0"/>
  </r>
  <r>
    <n v="25"/>
    <x v="1"/>
    <s v="Travel_Rarely"/>
    <n v="266"/>
    <x v="1"/>
    <n v="1"/>
    <n v="3"/>
    <s v="Medical"/>
    <n v="1"/>
    <n v="1303"/>
    <x v="2"/>
    <s v="Female"/>
    <n v="40"/>
    <n v="3"/>
    <x v="1"/>
    <x v="1"/>
    <x v="1"/>
    <s v="Single"/>
    <n v="2096"/>
    <n v="18830"/>
    <n v="1"/>
    <s v="Y"/>
    <s v="No"/>
    <n v="18"/>
    <n v="3"/>
    <n v="4"/>
    <n v="80"/>
    <n v="0"/>
    <n v="2"/>
    <n v="3"/>
    <n v="2"/>
    <x v="4"/>
    <n v="2"/>
    <n v="2"/>
    <n v="1"/>
    <s v="18-25"/>
    <s v="Low"/>
    <s v="0-2"/>
    <s v="Junior"/>
    <s v="Standard"/>
    <s v="Low"/>
    <x v="0"/>
  </r>
  <r>
    <n v="32"/>
    <x v="1"/>
    <s v="Travel_Rarely"/>
    <n v="604"/>
    <x v="0"/>
    <n v="8"/>
    <n v="3"/>
    <s v="Medical"/>
    <n v="1"/>
    <n v="1304"/>
    <x v="1"/>
    <s v="Male"/>
    <n v="56"/>
    <n v="4"/>
    <x v="0"/>
    <x v="0"/>
    <x v="0"/>
    <s v="Married"/>
    <n v="6209"/>
    <n v="11693"/>
    <n v="1"/>
    <s v="Y"/>
    <s v="No"/>
    <n v="15"/>
    <n v="3"/>
    <n v="3"/>
    <n v="80"/>
    <n v="2"/>
    <n v="10"/>
    <n v="4"/>
    <n v="4"/>
    <x v="1"/>
    <n v="7"/>
    <n v="0"/>
    <n v="8"/>
    <s v="26-35"/>
    <s v="High"/>
    <s v="6-10"/>
    <s v="Mid-Level"/>
    <s v="Standard"/>
    <s v="High"/>
    <x v="0"/>
  </r>
  <r>
    <n v="45"/>
    <x v="1"/>
    <s v="Travel_Frequently"/>
    <n v="364"/>
    <x v="1"/>
    <n v="25"/>
    <n v="3"/>
    <s v="Medical"/>
    <n v="1"/>
    <n v="1306"/>
    <x v="0"/>
    <s v="Female"/>
    <n v="83"/>
    <n v="3"/>
    <x v="4"/>
    <x v="5"/>
    <x v="1"/>
    <s v="Single"/>
    <n v="18061"/>
    <n v="13035"/>
    <n v="3"/>
    <s v="Y"/>
    <s v="No"/>
    <n v="22"/>
    <n v="4"/>
    <n v="3"/>
    <n v="80"/>
    <n v="0"/>
    <n v="22"/>
    <n v="4"/>
    <n v="3"/>
    <x v="2"/>
    <n v="0"/>
    <n v="0"/>
    <n v="0"/>
    <s v="36-45"/>
    <s v="Very High"/>
    <s v="0-2"/>
    <s v="Senior"/>
    <s v="Excellent"/>
    <s v="Low"/>
    <x v="0"/>
  </r>
  <r>
    <n v="39"/>
    <x v="1"/>
    <s v="Travel_Rarely"/>
    <n v="412"/>
    <x v="1"/>
    <n v="13"/>
    <n v="4"/>
    <s v="Medical"/>
    <n v="1"/>
    <n v="1307"/>
    <x v="1"/>
    <s v="Female"/>
    <n v="94"/>
    <n v="2"/>
    <x v="3"/>
    <x v="5"/>
    <x v="1"/>
    <s v="Divorced"/>
    <n v="17123"/>
    <n v="17334"/>
    <n v="6"/>
    <s v="Y"/>
    <s v="Yes"/>
    <n v="13"/>
    <n v="3"/>
    <n v="4"/>
    <n v="80"/>
    <n v="2"/>
    <n v="21"/>
    <n v="4"/>
    <n v="3"/>
    <x v="27"/>
    <n v="9"/>
    <n v="15"/>
    <n v="2"/>
    <s v="36-45"/>
    <s v="Very High"/>
    <s v="16+"/>
    <s v="Senior"/>
    <s v="Standard"/>
    <s v="Low"/>
    <x v="0"/>
  </r>
  <r>
    <n v="58"/>
    <x v="1"/>
    <s v="Travel_Rarely"/>
    <n v="848"/>
    <x v="1"/>
    <n v="23"/>
    <n v="4"/>
    <s v="Life Sciences"/>
    <n v="1"/>
    <n v="1308"/>
    <x v="3"/>
    <s v="Male"/>
    <n v="88"/>
    <n v="3"/>
    <x v="1"/>
    <x v="1"/>
    <x v="2"/>
    <s v="Divorced"/>
    <n v="2372"/>
    <n v="26076"/>
    <n v="1"/>
    <s v="Y"/>
    <s v="No"/>
    <n v="12"/>
    <n v="3"/>
    <n v="4"/>
    <n v="80"/>
    <n v="2"/>
    <n v="2"/>
    <n v="3"/>
    <n v="3"/>
    <x v="4"/>
    <n v="2"/>
    <n v="2"/>
    <n v="2"/>
    <s v="56+"/>
    <s v="Low"/>
    <s v="0-2"/>
    <s v="Junior"/>
    <s v="Standard"/>
    <s v="High"/>
    <x v="0"/>
  </r>
  <r>
    <n v="32"/>
    <x v="0"/>
    <s v="Travel_Rarely"/>
    <n v="1089"/>
    <x v="1"/>
    <n v="7"/>
    <n v="2"/>
    <s v="Life Sciences"/>
    <n v="1"/>
    <n v="1309"/>
    <x v="2"/>
    <s v="Male"/>
    <n v="79"/>
    <n v="3"/>
    <x v="0"/>
    <x v="2"/>
    <x v="2"/>
    <s v="Married"/>
    <n v="4883"/>
    <n v="22845"/>
    <n v="1"/>
    <s v="Y"/>
    <s v="No"/>
    <n v="18"/>
    <n v="3"/>
    <n v="1"/>
    <n v="80"/>
    <n v="1"/>
    <n v="10"/>
    <n v="3"/>
    <n v="3"/>
    <x v="1"/>
    <n v="4"/>
    <n v="1"/>
    <n v="1"/>
    <s v="26-35"/>
    <s v="Medium"/>
    <s v="6-10"/>
    <s v="Mid-Level"/>
    <s v="Standard"/>
    <s v="High"/>
    <x v="0"/>
  </r>
  <r>
    <n v="39"/>
    <x v="0"/>
    <s v="Travel_Rarely"/>
    <n v="360"/>
    <x v="1"/>
    <n v="23"/>
    <n v="3"/>
    <s v="Medical"/>
    <n v="1"/>
    <n v="1310"/>
    <x v="1"/>
    <s v="Male"/>
    <n v="93"/>
    <n v="3"/>
    <x v="1"/>
    <x v="1"/>
    <x v="3"/>
    <s v="Single"/>
    <n v="3904"/>
    <n v="22154"/>
    <n v="0"/>
    <s v="Y"/>
    <s v="No"/>
    <n v="13"/>
    <n v="3"/>
    <n v="1"/>
    <n v="80"/>
    <n v="0"/>
    <n v="6"/>
    <n v="2"/>
    <n v="3"/>
    <x v="8"/>
    <n v="2"/>
    <n v="0"/>
    <n v="3"/>
    <s v="36-45"/>
    <s v="Medium"/>
    <s v="3-5"/>
    <s v="Mid-Level"/>
    <s v="Standard"/>
    <s v="Low"/>
    <x v="0"/>
  </r>
  <r>
    <n v="30"/>
    <x v="1"/>
    <s v="Travel_Rarely"/>
    <n v="1138"/>
    <x v="1"/>
    <n v="6"/>
    <n v="3"/>
    <s v="Technical Degree"/>
    <n v="1"/>
    <n v="1311"/>
    <x v="3"/>
    <s v="Female"/>
    <n v="48"/>
    <n v="2"/>
    <x v="0"/>
    <x v="2"/>
    <x v="0"/>
    <s v="Married"/>
    <n v="4627"/>
    <n v="23631"/>
    <n v="0"/>
    <s v="Y"/>
    <s v="No"/>
    <n v="12"/>
    <n v="3"/>
    <n v="1"/>
    <n v="80"/>
    <n v="1"/>
    <n v="10"/>
    <n v="6"/>
    <n v="3"/>
    <x v="7"/>
    <n v="2"/>
    <n v="6"/>
    <n v="7"/>
    <s v="26-35"/>
    <s v="Medium"/>
    <s v="6-10"/>
    <s v="Mid-Level"/>
    <s v="Standard"/>
    <s v="High"/>
    <x v="0"/>
  </r>
  <r>
    <n v="36"/>
    <x v="1"/>
    <s v="Travel_Rarely"/>
    <n v="325"/>
    <x v="1"/>
    <n v="10"/>
    <n v="4"/>
    <s v="Technical Degree"/>
    <n v="1"/>
    <n v="1312"/>
    <x v="2"/>
    <s v="Female"/>
    <n v="63"/>
    <n v="3"/>
    <x v="2"/>
    <x v="4"/>
    <x v="2"/>
    <s v="Married"/>
    <n v="7094"/>
    <n v="5747"/>
    <n v="3"/>
    <s v="Y"/>
    <s v="No"/>
    <n v="12"/>
    <n v="3"/>
    <n v="1"/>
    <n v="80"/>
    <n v="0"/>
    <n v="10"/>
    <n v="0"/>
    <n v="3"/>
    <x v="5"/>
    <n v="7"/>
    <n v="1"/>
    <n v="7"/>
    <s v="36-45"/>
    <s v="High"/>
    <s v="6-10"/>
    <s v="Mid-Level"/>
    <s v="Standard"/>
    <s v="High"/>
    <x v="0"/>
  </r>
  <r>
    <n v="46"/>
    <x v="1"/>
    <s v="Travel_Rarely"/>
    <n v="991"/>
    <x v="2"/>
    <n v="1"/>
    <n v="2"/>
    <s v="Life Sciences"/>
    <n v="1"/>
    <n v="1314"/>
    <x v="2"/>
    <s v="Female"/>
    <n v="44"/>
    <n v="3"/>
    <x v="1"/>
    <x v="8"/>
    <x v="3"/>
    <s v="Single"/>
    <n v="3423"/>
    <n v="22957"/>
    <n v="6"/>
    <s v="Y"/>
    <s v="No"/>
    <n v="12"/>
    <n v="3"/>
    <n v="3"/>
    <n v="80"/>
    <n v="0"/>
    <n v="10"/>
    <n v="3"/>
    <n v="4"/>
    <x v="5"/>
    <n v="6"/>
    <n v="5"/>
    <n v="7"/>
    <s v="46-55"/>
    <s v="Medium"/>
    <s v="6-10"/>
    <s v="Mid-Level"/>
    <s v="Standard"/>
    <s v="Low"/>
    <x v="0"/>
  </r>
  <r>
    <n v="28"/>
    <x v="1"/>
    <s v="Non-Travel"/>
    <n v="1476"/>
    <x v="1"/>
    <n v="1"/>
    <n v="3"/>
    <s v="Life Sciences"/>
    <n v="1"/>
    <n v="1315"/>
    <x v="1"/>
    <s v="Female"/>
    <n v="55"/>
    <n v="1"/>
    <x v="0"/>
    <x v="2"/>
    <x v="0"/>
    <s v="Married"/>
    <n v="6674"/>
    <n v="16392"/>
    <n v="0"/>
    <s v="Y"/>
    <s v="No"/>
    <n v="11"/>
    <n v="3"/>
    <n v="1"/>
    <n v="80"/>
    <n v="3"/>
    <n v="10"/>
    <n v="6"/>
    <n v="3"/>
    <x v="7"/>
    <n v="8"/>
    <n v="7"/>
    <n v="5"/>
    <s v="26-35"/>
    <s v="High"/>
    <s v="6-10"/>
    <s v="Mid-Level"/>
    <s v="Standard"/>
    <s v="High"/>
    <x v="0"/>
  </r>
  <r>
    <n v="50"/>
    <x v="1"/>
    <s v="Travel_Rarely"/>
    <n v="1322"/>
    <x v="1"/>
    <n v="28"/>
    <n v="3"/>
    <s v="Life Sciences"/>
    <n v="1"/>
    <n v="1317"/>
    <x v="2"/>
    <s v="Female"/>
    <n v="43"/>
    <n v="3"/>
    <x v="3"/>
    <x v="7"/>
    <x v="3"/>
    <s v="Married"/>
    <n v="16880"/>
    <n v="22422"/>
    <n v="4"/>
    <s v="Y"/>
    <s v="Yes"/>
    <n v="11"/>
    <n v="3"/>
    <n v="2"/>
    <n v="80"/>
    <n v="0"/>
    <n v="25"/>
    <n v="2"/>
    <n v="3"/>
    <x v="11"/>
    <n v="2"/>
    <n v="1"/>
    <n v="2"/>
    <s v="46-55"/>
    <s v="Very High"/>
    <s v="3-5"/>
    <s v="Senior"/>
    <s v="Standard"/>
    <s v="Low"/>
    <x v="0"/>
  </r>
  <r>
    <n v="40"/>
    <x v="0"/>
    <s v="Travel_Rarely"/>
    <n v="299"/>
    <x v="0"/>
    <n v="25"/>
    <n v="4"/>
    <s v="Marketing"/>
    <n v="1"/>
    <n v="1318"/>
    <x v="2"/>
    <s v="Male"/>
    <n v="57"/>
    <n v="2"/>
    <x v="2"/>
    <x v="0"/>
    <x v="1"/>
    <s v="Single"/>
    <n v="9094"/>
    <n v="17235"/>
    <n v="2"/>
    <s v="Y"/>
    <s v="Yes"/>
    <n v="12"/>
    <n v="3"/>
    <n v="3"/>
    <n v="80"/>
    <n v="0"/>
    <n v="9"/>
    <n v="2"/>
    <n v="3"/>
    <x v="8"/>
    <n v="4"/>
    <n v="1"/>
    <n v="0"/>
    <s v="36-45"/>
    <s v="High"/>
    <s v="3-5"/>
    <s v="Mid-Level"/>
    <s v="Standard"/>
    <s v="Low"/>
    <x v="0"/>
  </r>
  <r>
    <n v="52"/>
    <x v="0"/>
    <s v="Travel_Rarely"/>
    <n v="1030"/>
    <x v="0"/>
    <n v="5"/>
    <n v="3"/>
    <s v="Life Sciences"/>
    <n v="1"/>
    <n v="1319"/>
    <x v="0"/>
    <s v="Male"/>
    <n v="64"/>
    <n v="3"/>
    <x v="2"/>
    <x v="0"/>
    <x v="1"/>
    <s v="Single"/>
    <n v="8446"/>
    <n v="21534"/>
    <n v="9"/>
    <s v="Y"/>
    <s v="Yes"/>
    <n v="19"/>
    <n v="3"/>
    <n v="3"/>
    <n v="80"/>
    <n v="0"/>
    <n v="10"/>
    <n v="2"/>
    <n v="2"/>
    <x v="3"/>
    <n v="7"/>
    <n v="7"/>
    <n v="7"/>
    <s v="46-55"/>
    <s v="High"/>
    <s v="6-10"/>
    <s v="Mid-Level"/>
    <s v="Standard"/>
    <s v="Low"/>
    <x v="0"/>
  </r>
  <r>
    <n v="30"/>
    <x v="1"/>
    <s v="Travel_Rarely"/>
    <n v="634"/>
    <x v="1"/>
    <n v="17"/>
    <n v="4"/>
    <s v="Medical"/>
    <n v="1"/>
    <n v="1321"/>
    <x v="0"/>
    <s v="Female"/>
    <n v="95"/>
    <n v="3"/>
    <x v="2"/>
    <x v="5"/>
    <x v="3"/>
    <s v="Married"/>
    <n v="11916"/>
    <n v="25927"/>
    <n v="1"/>
    <s v="Y"/>
    <s v="Yes"/>
    <n v="23"/>
    <n v="4"/>
    <n v="4"/>
    <n v="80"/>
    <n v="2"/>
    <n v="9"/>
    <n v="2"/>
    <n v="3"/>
    <x v="7"/>
    <n v="1"/>
    <n v="0"/>
    <n v="8"/>
    <s v="26-35"/>
    <s v="Very High"/>
    <s v="6-10"/>
    <s v="Mid-Level"/>
    <s v="Excellent"/>
    <s v="Low"/>
    <x v="0"/>
  </r>
  <r>
    <n v="39"/>
    <x v="1"/>
    <s v="Travel_Rarely"/>
    <n v="524"/>
    <x v="1"/>
    <n v="18"/>
    <n v="2"/>
    <s v="Life Sciences"/>
    <n v="1"/>
    <n v="1322"/>
    <x v="3"/>
    <s v="Male"/>
    <n v="32"/>
    <n v="3"/>
    <x v="0"/>
    <x v="3"/>
    <x v="2"/>
    <s v="Single"/>
    <n v="4534"/>
    <n v="13352"/>
    <n v="0"/>
    <s v="Y"/>
    <s v="No"/>
    <n v="11"/>
    <n v="3"/>
    <n v="1"/>
    <n v="80"/>
    <n v="0"/>
    <n v="9"/>
    <n v="6"/>
    <n v="3"/>
    <x v="3"/>
    <n v="7"/>
    <n v="1"/>
    <n v="7"/>
    <s v="36-45"/>
    <s v="Medium"/>
    <s v="6-10"/>
    <s v="Mid-Level"/>
    <s v="Standard"/>
    <s v="High"/>
    <x v="0"/>
  </r>
  <r>
    <n v="31"/>
    <x v="1"/>
    <s v="Non-Travel"/>
    <n v="587"/>
    <x v="0"/>
    <n v="2"/>
    <n v="4"/>
    <s v="Life Sciences"/>
    <n v="1"/>
    <n v="1324"/>
    <x v="2"/>
    <s v="Female"/>
    <n v="57"/>
    <n v="3"/>
    <x v="2"/>
    <x v="0"/>
    <x v="2"/>
    <s v="Divorced"/>
    <n v="9852"/>
    <n v="8935"/>
    <n v="1"/>
    <s v="Y"/>
    <s v="Yes"/>
    <n v="19"/>
    <n v="3"/>
    <n v="1"/>
    <n v="80"/>
    <n v="1"/>
    <n v="10"/>
    <n v="5"/>
    <n v="2"/>
    <x v="1"/>
    <n v="8"/>
    <n v="9"/>
    <n v="6"/>
    <s v="26-35"/>
    <s v="High"/>
    <s v="6-10"/>
    <s v="Mid-Level"/>
    <s v="Standard"/>
    <s v="High"/>
    <x v="0"/>
  </r>
  <r>
    <n v="41"/>
    <x v="1"/>
    <s v="Non-Travel"/>
    <n v="256"/>
    <x v="0"/>
    <n v="10"/>
    <n v="2"/>
    <s v="Medical"/>
    <n v="1"/>
    <n v="1329"/>
    <x v="1"/>
    <s v="Male"/>
    <n v="40"/>
    <n v="1"/>
    <x v="0"/>
    <x v="0"/>
    <x v="1"/>
    <s v="Single"/>
    <n v="6151"/>
    <n v="22074"/>
    <n v="1"/>
    <s v="Y"/>
    <s v="No"/>
    <n v="13"/>
    <n v="3"/>
    <n v="1"/>
    <n v="80"/>
    <n v="0"/>
    <n v="19"/>
    <n v="4"/>
    <n v="3"/>
    <x v="27"/>
    <n v="2"/>
    <n v="11"/>
    <n v="9"/>
    <s v="36-45"/>
    <s v="High"/>
    <s v="16+"/>
    <s v="Senior"/>
    <s v="Standard"/>
    <s v="Low"/>
    <x v="0"/>
  </r>
  <r>
    <n v="31"/>
    <x v="0"/>
    <s v="Travel_Frequently"/>
    <n v="1060"/>
    <x v="0"/>
    <n v="1"/>
    <n v="3"/>
    <s v="Life Sciences"/>
    <n v="1"/>
    <n v="1331"/>
    <x v="2"/>
    <s v="Female"/>
    <n v="54"/>
    <n v="3"/>
    <x v="1"/>
    <x v="6"/>
    <x v="1"/>
    <s v="Single"/>
    <n v="2302"/>
    <n v="8319"/>
    <n v="1"/>
    <s v="Y"/>
    <s v="Yes"/>
    <n v="11"/>
    <n v="3"/>
    <n v="1"/>
    <n v="80"/>
    <n v="0"/>
    <n v="3"/>
    <n v="2"/>
    <n v="4"/>
    <x v="11"/>
    <n v="2"/>
    <n v="2"/>
    <n v="2"/>
    <s v="26-35"/>
    <s v="Low"/>
    <s v="3-5"/>
    <s v="Junior"/>
    <s v="Standard"/>
    <s v="Low"/>
    <x v="0"/>
  </r>
  <r>
    <n v="44"/>
    <x v="0"/>
    <s v="Travel_Rarely"/>
    <n v="935"/>
    <x v="1"/>
    <n v="3"/>
    <n v="3"/>
    <s v="Life Sciences"/>
    <n v="1"/>
    <n v="1333"/>
    <x v="3"/>
    <s v="Male"/>
    <n v="89"/>
    <n v="3"/>
    <x v="1"/>
    <x v="2"/>
    <x v="3"/>
    <s v="Married"/>
    <n v="2362"/>
    <n v="14669"/>
    <n v="4"/>
    <s v="Y"/>
    <s v="No"/>
    <n v="12"/>
    <n v="3"/>
    <n v="3"/>
    <n v="80"/>
    <n v="0"/>
    <n v="10"/>
    <n v="4"/>
    <n v="4"/>
    <x v="11"/>
    <n v="2"/>
    <n v="1"/>
    <n v="2"/>
    <s v="36-45"/>
    <s v="Low"/>
    <s v="3-5"/>
    <s v="Mid-Level"/>
    <s v="Standard"/>
    <s v="Low"/>
    <x v="0"/>
  </r>
  <r>
    <n v="42"/>
    <x v="1"/>
    <s v="Non-Travel"/>
    <n v="495"/>
    <x v="1"/>
    <n v="2"/>
    <n v="1"/>
    <s v="Life Sciences"/>
    <n v="1"/>
    <n v="1334"/>
    <x v="1"/>
    <s v="Male"/>
    <n v="37"/>
    <n v="3"/>
    <x v="3"/>
    <x v="5"/>
    <x v="2"/>
    <s v="Married"/>
    <n v="17861"/>
    <n v="26582"/>
    <n v="0"/>
    <s v="Y"/>
    <s v="Yes"/>
    <n v="13"/>
    <n v="3"/>
    <n v="4"/>
    <n v="80"/>
    <n v="0"/>
    <n v="21"/>
    <n v="3"/>
    <n v="2"/>
    <x v="23"/>
    <n v="8"/>
    <n v="2"/>
    <n v="10"/>
    <s v="36-45"/>
    <s v="Very High"/>
    <s v="16+"/>
    <s v="Senior"/>
    <s v="Standard"/>
    <s v="High"/>
    <x v="0"/>
  </r>
  <r>
    <n v="55"/>
    <x v="1"/>
    <s v="Travel_Rarely"/>
    <n v="282"/>
    <x v="1"/>
    <n v="2"/>
    <n v="2"/>
    <s v="Medical"/>
    <n v="1"/>
    <n v="1336"/>
    <x v="2"/>
    <s v="Female"/>
    <n v="58"/>
    <n v="1"/>
    <x v="4"/>
    <x v="5"/>
    <x v="2"/>
    <s v="Married"/>
    <n v="19187"/>
    <n v="6992"/>
    <n v="4"/>
    <s v="Y"/>
    <s v="No"/>
    <n v="14"/>
    <n v="3"/>
    <n v="4"/>
    <n v="80"/>
    <n v="1"/>
    <n v="23"/>
    <n v="5"/>
    <n v="3"/>
    <x v="27"/>
    <n v="9"/>
    <n v="9"/>
    <n v="11"/>
    <s v="46-55"/>
    <s v="Very High"/>
    <s v="16+"/>
    <s v="Senior"/>
    <s v="Standard"/>
    <s v="High"/>
    <x v="0"/>
  </r>
  <r>
    <n v="56"/>
    <x v="1"/>
    <s v="Travel_Rarely"/>
    <n v="206"/>
    <x v="2"/>
    <n v="8"/>
    <n v="4"/>
    <s v="Life Sciences"/>
    <n v="1"/>
    <n v="1338"/>
    <x v="2"/>
    <s v="Male"/>
    <n v="99"/>
    <n v="3"/>
    <x v="4"/>
    <x v="5"/>
    <x v="1"/>
    <s v="Single"/>
    <n v="19717"/>
    <n v="4022"/>
    <n v="6"/>
    <s v="Y"/>
    <s v="No"/>
    <n v="14"/>
    <n v="3"/>
    <n v="1"/>
    <n v="80"/>
    <n v="0"/>
    <n v="36"/>
    <n v="4"/>
    <n v="3"/>
    <x v="5"/>
    <n v="3"/>
    <n v="7"/>
    <n v="7"/>
    <s v="56+"/>
    <s v="Very High"/>
    <s v="6-10"/>
    <s v="Senior"/>
    <s v="Standard"/>
    <s v="Low"/>
    <x v="0"/>
  </r>
  <r>
    <n v="40"/>
    <x v="1"/>
    <s v="Non-Travel"/>
    <n v="458"/>
    <x v="1"/>
    <n v="16"/>
    <n v="2"/>
    <s v="Life Sciences"/>
    <n v="1"/>
    <n v="1340"/>
    <x v="1"/>
    <s v="Male"/>
    <n v="74"/>
    <n v="3"/>
    <x v="1"/>
    <x v="1"/>
    <x v="2"/>
    <s v="Divorced"/>
    <n v="3544"/>
    <n v="8532"/>
    <n v="9"/>
    <s v="Y"/>
    <s v="No"/>
    <n v="16"/>
    <n v="3"/>
    <n v="2"/>
    <n v="80"/>
    <n v="1"/>
    <n v="6"/>
    <n v="0"/>
    <n v="3"/>
    <x v="9"/>
    <n v="2"/>
    <n v="0"/>
    <n v="0"/>
    <s v="36-45"/>
    <s v="Medium"/>
    <s v="3-5"/>
    <s v="Mid-Level"/>
    <s v="Standard"/>
    <s v="High"/>
    <x v="0"/>
  </r>
  <r>
    <n v="34"/>
    <x v="1"/>
    <s v="Travel_Rarely"/>
    <n v="943"/>
    <x v="1"/>
    <n v="9"/>
    <n v="3"/>
    <s v="Life Sciences"/>
    <n v="1"/>
    <n v="1344"/>
    <x v="2"/>
    <s v="Male"/>
    <n v="86"/>
    <n v="3"/>
    <x v="2"/>
    <x v="4"/>
    <x v="0"/>
    <s v="Divorced"/>
    <n v="8500"/>
    <n v="5494"/>
    <n v="0"/>
    <s v="Y"/>
    <s v="No"/>
    <n v="11"/>
    <n v="3"/>
    <n v="4"/>
    <n v="80"/>
    <n v="1"/>
    <n v="10"/>
    <n v="0"/>
    <n v="2"/>
    <x v="7"/>
    <n v="7"/>
    <n v="1"/>
    <n v="6"/>
    <s v="26-35"/>
    <s v="High"/>
    <s v="6-10"/>
    <s v="Mid-Level"/>
    <s v="Standard"/>
    <s v="High"/>
    <x v="0"/>
  </r>
  <r>
    <n v="40"/>
    <x v="1"/>
    <s v="Travel_Rarely"/>
    <n v="523"/>
    <x v="1"/>
    <n v="2"/>
    <n v="3"/>
    <s v="Life Sciences"/>
    <n v="1"/>
    <n v="1346"/>
    <x v="1"/>
    <s v="Male"/>
    <n v="98"/>
    <n v="3"/>
    <x v="0"/>
    <x v="1"/>
    <x v="0"/>
    <s v="Single"/>
    <n v="4661"/>
    <n v="22455"/>
    <n v="1"/>
    <s v="Y"/>
    <s v="No"/>
    <n v="13"/>
    <n v="3"/>
    <n v="3"/>
    <n v="80"/>
    <n v="0"/>
    <n v="9"/>
    <n v="4"/>
    <n v="3"/>
    <x v="7"/>
    <n v="8"/>
    <n v="8"/>
    <n v="8"/>
    <s v="36-45"/>
    <s v="Medium"/>
    <s v="6-10"/>
    <s v="Mid-Level"/>
    <s v="Standard"/>
    <s v="High"/>
    <x v="0"/>
  </r>
  <r>
    <n v="41"/>
    <x v="1"/>
    <s v="Travel_Frequently"/>
    <n v="1018"/>
    <x v="0"/>
    <n v="1"/>
    <n v="3"/>
    <s v="Marketing"/>
    <n v="1"/>
    <n v="1349"/>
    <x v="1"/>
    <s v="Female"/>
    <n v="66"/>
    <n v="3"/>
    <x v="0"/>
    <x v="0"/>
    <x v="3"/>
    <s v="Divorced"/>
    <n v="4103"/>
    <n v="4297"/>
    <n v="0"/>
    <s v="Y"/>
    <s v="No"/>
    <n v="17"/>
    <n v="3"/>
    <n v="4"/>
    <n v="80"/>
    <n v="1"/>
    <n v="10"/>
    <n v="2"/>
    <n v="3"/>
    <x v="7"/>
    <n v="3"/>
    <n v="1"/>
    <n v="7"/>
    <s v="36-45"/>
    <s v="Medium"/>
    <s v="6-10"/>
    <s v="Mid-Level"/>
    <s v="Standard"/>
    <s v="Low"/>
    <x v="0"/>
  </r>
  <r>
    <n v="35"/>
    <x v="1"/>
    <s v="Travel_Frequently"/>
    <n v="482"/>
    <x v="1"/>
    <n v="4"/>
    <n v="4"/>
    <s v="Life Sciences"/>
    <n v="1"/>
    <n v="1350"/>
    <x v="1"/>
    <s v="Male"/>
    <n v="87"/>
    <n v="3"/>
    <x v="0"/>
    <x v="1"/>
    <x v="2"/>
    <s v="Single"/>
    <n v="4249"/>
    <n v="2690"/>
    <n v="1"/>
    <s v="Y"/>
    <s v="Yes"/>
    <n v="11"/>
    <n v="3"/>
    <n v="2"/>
    <n v="80"/>
    <n v="0"/>
    <n v="9"/>
    <n v="3"/>
    <n v="3"/>
    <x v="7"/>
    <n v="6"/>
    <n v="1"/>
    <n v="1"/>
    <s v="26-35"/>
    <s v="Medium"/>
    <s v="6-10"/>
    <s v="Mid-Level"/>
    <s v="Standard"/>
    <s v="High"/>
    <x v="0"/>
  </r>
  <r>
    <n v="51"/>
    <x v="1"/>
    <s v="Travel_Rarely"/>
    <n v="770"/>
    <x v="2"/>
    <n v="5"/>
    <n v="3"/>
    <s v="Life Sciences"/>
    <n v="1"/>
    <n v="1352"/>
    <x v="1"/>
    <s v="Male"/>
    <n v="84"/>
    <n v="3"/>
    <x v="3"/>
    <x v="5"/>
    <x v="1"/>
    <s v="Divorced"/>
    <n v="14026"/>
    <n v="17588"/>
    <n v="1"/>
    <s v="Y"/>
    <s v="Yes"/>
    <n v="11"/>
    <n v="3"/>
    <n v="2"/>
    <n v="80"/>
    <n v="1"/>
    <n v="33"/>
    <n v="2"/>
    <n v="3"/>
    <x v="26"/>
    <n v="9"/>
    <n v="0"/>
    <n v="10"/>
    <s v="46-55"/>
    <s v="Very High"/>
    <s v="16+"/>
    <s v="Senior"/>
    <s v="Standard"/>
    <s v="Low"/>
    <x v="0"/>
  </r>
  <r>
    <n v="38"/>
    <x v="1"/>
    <s v="Travel_Rarely"/>
    <n v="1009"/>
    <x v="0"/>
    <n v="2"/>
    <n v="2"/>
    <s v="Life Sciences"/>
    <n v="1"/>
    <n v="1355"/>
    <x v="0"/>
    <s v="Female"/>
    <n v="31"/>
    <n v="3"/>
    <x v="0"/>
    <x v="0"/>
    <x v="3"/>
    <s v="Divorced"/>
    <n v="6893"/>
    <n v="19461"/>
    <n v="3"/>
    <s v="Y"/>
    <s v="No"/>
    <n v="15"/>
    <n v="3"/>
    <n v="4"/>
    <n v="80"/>
    <n v="1"/>
    <n v="11"/>
    <n v="3"/>
    <n v="3"/>
    <x v="5"/>
    <n v="7"/>
    <n v="1"/>
    <n v="7"/>
    <s v="36-45"/>
    <s v="High"/>
    <s v="6-10"/>
    <s v="Mid-Level"/>
    <s v="Standard"/>
    <s v="Low"/>
    <x v="0"/>
  </r>
  <r>
    <n v="34"/>
    <x v="1"/>
    <s v="Travel_Rarely"/>
    <n v="507"/>
    <x v="0"/>
    <n v="15"/>
    <n v="2"/>
    <s v="Medical"/>
    <n v="1"/>
    <n v="1356"/>
    <x v="1"/>
    <s v="Female"/>
    <n v="66"/>
    <n v="3"/>
    <x v="0"/>
    <x v="0"/>
    <x v="3"/>
    <s v="Single"/>
    <n v="6125"/>
    <n v="23553"/>
    <n v="1"/>
    <s v="Y"/>
    <s v="No"/>
    <n v="12"/>
    <n v="3"/>
    <n v="4"/>
    <n v="80"/>
    <n v="0"/>
    <n v="10"/>
    <n v="6"/>
    <n v="4"/>
    <x v="1"/>
    <n v="8"/>
    <n v="9"/>
    <n v="6"/>
    <s v="26-35"/>
    <s v="High"/>
    <s v="6-10"/>
    <s v="Mid-Level"/>
    <s v="Standard"/>
    <s v="Low"/>
    <x v="0"/>
  </r>
  <r>
    <n v="25"/>
    <x v="1"/>
    <s v="Travel_Rarely"/>
    <n v="882"/>
    <x v="1"/>
    <n v="19"/>
    <n v="1"/>
    <s v="Medical"/>
    <n v="1"/>
    <n v="1358"/>
    <x v="2"/>
    <s v="Male"/>
    <n v="67"/>
    <n v="3"/>
    <x v="1"/>
    <x v="2"/>
    <x v="0"/>
    <s v="Married"/>
    <n v="3669"/>
    <n v="9075"/>
    <n v="3"/>
    <s v="Y"/>
    <s v="No"/>
    <n v="11"/>
    <n v="3"/>
    <n v="3"/>
    <n v="80"/>
    <n v="3"/>
    <n v="7"/>
    <n v="6"/>
    <n v="2"/>
    <x v="11"/>
    <n v="2"/>
    <n v="1"/>
    <n v="2"/>
    <s v="18-25"/>
    <s v="Medium"/>
    <s v="3-5"/>
    <s v="Mid-Level"/>
    <s v="Standard"/>
    <s v="High"/>
    <x v="0"/>
  </r>
  <r>
    <n v="58"/>
    <x v="0"/>
    <s v="Travel_Rarely"/>
    <n v="601"/>
    <x v="1"/>
    <n v="7"/>
    <n v="4"/>
    <s v="Medical"/>
    <n v="1"/>
    <n v="1360"/>
    <x v="1"/>
    <s v="Female"/>
    <n v="53"/>
    <n v="2"/>
    <x v="2"/>
    <x v="3"/>
    <x v="3"/>
    <s v="Married"/>
    <n v="10008"/>
    <n v="12023"/>
    <n v="7"/>
    <s v="Y"/>
    <s v="Yes"/>
    <n v="14"/>
    <n v="3"/>
    <n v="4"/>
    <n v="80"/>
    <n v="0"/>
    <n v="31"/>
    <n v="0"/>
    <n v="2"/>
    <x v="1"/>
    <n v="9"/>
    <n v="5"/>
    <n v="9"/>
    <s v="56+"/>
    <s v="Very High"/>
    <s v="6-10"/>
    <s v="Senior"/>
    <s v="Standard"/>
    <s v="Low"/>
    <x v="0"/>
  </r>
  <r>
    <n v="40"/>
    <x v="1"/>
    <s v="Travel_Rarely"/>
    <n v="329"/>
    <x v="1"/>
    <n v="1"/>
    <n v="4"/>
    <s v="Life Sciences"/>
    <n v="1"/>
    <n v="1361"/>
    <x v="0"/>
    <s v="Male"/>
    <n v="88"/>
    <n v="3"/>
    <x v="1"/>
    <x v="2"/>
    <x v="1"/>
    <s v="Married"/>
    <n v="2387"/>
    <n v="6762"/>
    <n v="3"/>
    <s v="Y"/>
    <s v="No"/>
    <n v="22"/>
    <n v="4"/>
    <n v="3"/>
    <n v="80"/>
    <n v="1"/>
    <n v="7"/>
    <n v="3"/>
    <n v="3"/>
    <x v="9"/>
    <n v="2"/>
    <n v="0"/>
    <n v="3"/>
    <s v="36-45"/>
    <s v="Low"/>
    <s v="3-5"/>
    <s v="Mid-Level"/>
    <s v="Excellent"/>
    <s v="Low"/>
    <x v="0"/>
  </r>
  <r>
    <n v="36"/>
    <x v="1"/>
    <s v="Travel_Frequently"/>
    <n v="607"/>
    <x v="0"/>
    <n v="7"/>
    <n v="3"/>
    <s v="Marketing"/>
    <n v="1"/>
    <n v="1362"/>
    <x v="3"/>
    <s v="Female"/>
    <n v="83"/>
    <n v="4"/>
    <x v="0"/>
    <x v="0"/>
    <x v="3"/>
    <s v="Married"/>
    <n v="4639"/>
    <n v="2261"/>
    <n v="2"/>
    <s v="Y"/>
    <s v="No"/>
    <n v="16"/>
    <n v="3"/>
    <n v="4"/>
    <n v="80"/>
    <n v="1"/>
    <n v="17"/>
    <n v="2"/>
    <n v="2"/>
    <x v="15"/>
    <n v="7"/>
    <n v="6"/>
    <n v="13"/>
    <s v="36-45"/>
    <s v="Medium"/>
    <s v="11-15"/>
    <s v="Senior"/>
    <s v="Standard"/>
    <s v="Low"/>
    <x v="0"/>
  </r>
  <r>
    <n v="48"/>
    <x v="1"/>
    <s v="Travel_Rarely"/>
    <n v="855"/>
    <x v="1"/>
    <n v="4"/>
    <n v="3"/>
    <s v="Life Sciences"/>
    <n v="1"/>
    <n v="1363"/>
    <x v="2"/>
    <s v="Male"/>
    <n v="54"/>
    <n v="3"/>
    <x v="2"/>
    <x v="3"/>
    <x v="0"/>
    <s v="Single"/>
    <n v="7898"/>
    <n v="18706"/>
    <n v="1"/>
    <s v="Y"/>
    <s v="No"/>
    <n v="11"/>
    <n v="3"/>
    <n v="3"/>
    <n v="80"/>
    <n v="0"/>
    <n v="11"/>
    <n v="2"/>
    <n v="3"/>
    <x v="1"/>
    <n v="9"/>
    <n v="0"/>
    <n v="8"/>
    <s v="46-55"/>
    <s v="High"/>
    <s v="6-10"/>
    <s v="Mid-Level"/>
    <s v="Standard"/>
    <s v="High"/>
    <x v="0"/>
  </r>
  <r>
    <n v="27"/>
    <x v="1"/>
    <s v="Travel_Rarely"/>
    <n v="1291"/>
    <x v="0"/>
    <n v="11"/>
    <n v="3"/>
    <s v="Medical"/>
    <n v="1"/>
    <n v="1364"/>
    <x v="1"/>
    <s v="Female"/>
    <n v="98"/>
    <n v="4"/>
    <x v="1"/>
    <x v="6"/>
    <x v="0"/>
    <s v="Married"/>
    <n v="2534"/>
    <n v="6527"/>
    <n v="8"/>
    <s v="Y"/>
    <s v="No"/>
    <n v="14"/>
    <n v="3"/>
    <n v="2"/>
    <n v="80"/>
    <n v="1"/>
    <n v="5"/>
    <n v="4"/>
    <n v="3"/>
    <x v="6"/>
    <n v="0"/>
    <n v="0"/>
    <n v="0"/>
    <s v="26-35"/>
    <s v="Low"/>
    <s v="0-2"/>
    <s v="Junior"/>
    <s v="Standard"/>
    <s v="High"/>
    <x v="0"/>
  </r>
  <r>
    <n v="51"/>
    <x v="1"/>
    <s v="Travel_Rarely"/>
    <n v="1405"/>
    <x v="1"/>
    <n v="11"/>
    <n v="2"/>
    <s v="Technical Degree"/>
    <n v="1"/>
    <n v="1367"/>
    <x v="2"/>
    <s v="Female"/>
    <n v="82"/>
    <n v="2"/>
    <x v="3"/>
    <x v="3"/>
    <x v="1"/>
    <s v="Single"/>
    <n v="13142"/>
    <n v="24439"/>
    <n v="3"/>
    <s v="Y"/>
    <s v="No"/>
    <n v="16"/>
    <n v="3"/>
    <n v="2"/>
    <n v="80"/>
    <n v="0"/>
    <n v="29"/>
    <n v="1"/>
    <n v="2"/>
    <x v="8"/>
    <n v="2"/>
    <n v="0"/>
    <n v="3"/>
    <s v="46-55"/>
    <s v="Very High"/>
    <s v="3-5"/>
    <s v="Senior"/>
    <s v="Standard"/>
    <s v="Low"/>
    <x v="0"/>
  </r>
  <r>
    <n v="18"/>
    <x v="1"/>
    <s v="Non-Travel"/>
    <n v="1124"/>
    <x v="1"/>
    <n v="1"/>
    <n v="3"/>
    <s v="Life Sciences"/>
    <n v="1"/>
    <n v="1368"/>
    <x v="2"/>
    <s v="Female"/>
    <n v="97"/>
    <n v="3"/>
    <x v="1"/>
    <x v="2"/>
    <x v="0"/>
    <s v="Single"/>
    <n v="1611"/>
    <n v="19305"/>
    <n v="1"/>
    <s v="Y"/>
    <s v="No"/>
    <n v="15"/>
    <n v="3"/>
    <n v="3"/>
    <n v="80"/>
    <n v="0"/>
    <n v="0"/>
    <n v="5"/>
    <n v="4"/>
    <x v="2"/>
    <n v="0"/>
    <n v="0"/>
    <n v="0"/>
    <s v="18-25"/>
    <s v="Low"/>
    <s v="0-2"/>
    <s v="Junior"/>
    <s v="Standard"/>
    <s v="High"/>
    <x v="0"/>
  </r>
  <r>
    <n v="35"/>
    <x v="1"/>
    <s v="Travel_Rarely"/>
    <n v="817"/>
    <x v="1"/>
    <n v="1"/>
    <n v="3"/>
    <s v="Medical"/>
    <n v="1"/>
    <n v="1369"/>
    <x v="2"/>
    <s v="Female"/>
    <n v="60"/>
    <n v="2"/>
    <x v="0"/>
    <x v="2"/>
    <x v="0"/>
    <s v="Married"/>
    <n v="5363"/>
    <n v="10846"/>
    <n v="0"/>
    <s v="Y"/>
    <s v="No"/>
    <n v="12"/>
    <n v="3"/>
    <n v="2"/>
    <n v="80"/>
    <n v="1"/>
    <n v="10"/>
    <n v="0"/>
    <n v="3"/>
    <x v="7"/>
    <n v="7"/>
    <n v="0"/>
    <n v="0"/>
    <s v="26-35"/>
    <s v="Medium"/>
    <s v="6-10"/>
    <s v="Mid-Level"/>
    <s v="Standard"/>
    <s v="High"/>
    <x v="0"/>
  </r>
  <r>
    <n v="27"/>
    <x v="1"/>
    <s v="Travel_Frequently"/>
    <n v="793"/>
    <x v="0"/>
    <n v="2"/>
    <n v="1"/>
    <s v="Life Sciences"/>
    <n v="1"/>
    <n v="1371"/>
    <x v="2"/>
    <s v="Male"/>
    <n v="43"/>
    <n v="1"/>
    <x v="0"/>
    <x v="0"/>
    <x v="0"/>
    <s v="Single"/>
    <n v="5071"/>
    <n v="20392"/>
    <n v="3"/>
    <s v="Y"/>
    <s v="No"/>
    <n v="20"/>
    <n v="4"/>
    <n v="2"/>
    <n v="80"/>
    <n v="0"/>
    <n v="8"/>
    <n v="3"/>
    <n v="3"/>
    <x v="0"/>
    <n v="2"/>
    <n v="0"/>
    <n v="0"/>
    <s v="26-35"/>
    <s v="Medium"/>
    <s v="6-10"/>
    <s v="Mid-Level"/>
    <s v="Excellent"/>
    <s v="High"/>
    <x v="0"/>
  </r>
  <r>
    <n v="55"/>
    <x v="0"/>
    <s v="Travel_Rarely"/>
    <n v="267"/>
    <x v="0"/>
    <n v="13"/>
    <n v="4"/>
    <s v="Marketing"/>
    <n v="1"/>
    <n v="1372"/>
    <x v="3"/>
    <s v="Male"/>
    <n v="85"/>
    <n v="4"/>
    <x v="3"/>
    <x v="0"/>
    <x v="2"/>
    <s v="Single"/>
    <n v="13695"/>
    <n v="9277"/>
    <n v="6"/>
    <s v="Y"/>
    <s v="Yes"/>
    <n v="17"/>
    <n v="3"/>
    <n v="3"/>
    <n v="80"/>
    <n v="0"/>
    <n v="24"/>
    <n v="2"/>
    <n v="2"/>
    <x v="27"/>
    <n v="7"/>
    <n v="3"/>
    <n v="8"/>
    <s v="46-55"/>
    <s v="Very High"/>
    <s v="16+"/>
    <s v="Senior"/>
    <s v="Standard"/>
    <s v="High"/>
    <x v="0"/>
  </r>
  <r>
    <n v="56"/>
    <x v="1"/>
    <s v="Travel_Rarely"/>
    <n v="1369"/>
    <x v="1"/>
    <n v="23"/>
    <n v="3"/>
    <s v="Life Sciences"/>
    <n v="1"/>
    <n v="1373"/>
    <x v="2"/>
    <s v="Male"/>
    <n v="68"/>
    <n v="3"/>
    <x v="3"/>
    <x v="3"/>
    <x v="1"/>
    <s v="Married"/>
    <n v="13402"/>
    <n v="18235"/>
    <n v="4"/>
    <s v="Y"/>
    <s v="Yes"/>
    <n v="12"/>
    <n v="3"/>
    <n v="1"/>
    <n v="80"/>
    <n v="1"/>
    <n v="33"/>
    <n v="0"/>
    <n v="3"/>
    <x v="27"/>
    <n v="16"/>
    <n v="15"/>
    <n v="9"/>
    <s v="56+"/>
    <s v="Very High"/>
    <s v="16+"/>
    <s v="Senior"/>
    <s v="Standard"/>
    <s v="Low"/>
    <x v="0"/>
  </r>
  <r>
    <n v="34"/>
    <x v="1"/>
    <s v="Non-Travel"/>
    <n v="999"/>
    <x v="1"/>
    <n v="26"/>
    <n v="1"/>
    <s v="Technical Degree"/>
    <n v="1"/>
    <n v="1374"/>
    <x v="3"/>
    <s v="Female"/>
    <n v="92"/>
    <n v="2"/>
    <x v="1"/>
    <x v="1"/>
    <x v="2"/>
    <s v="Divorced"/>
    <n v="2029"/>
    <n v="15891"/>
    <n v="1"/>
    <s v="Y"/>
    <s v="No"/>
    <n v="20"/>
    <n v="4"/>
    <n v="3"/>
    <n v="80"/>
    <n v="3"/>
    <n v="5"/>
    <n v="2"/>
    <n v="3"/>
    <x v="8"/>
    <n v="4"/>
    <n v="0"/>
    <n v="0"/>
    <s v="26-35"/>
    <s v="Low"/>
    <s v="3-5"/>
    <s v="Junior"/>
    <s v="Excellent"/>
    <s v="High"/>
    <x v="0"/>
  </r>
  <r>
    <n v="40"/>
    <x v="1"/>
    <s v="Travel_Rarely"/>
    <n v="1202"/>
    <x v="1"/>
    <n v="2"/>
    <n v="1"/>
    <s v="Medical"/>
    <n v="1"/>
    <n v="1375"/>
    <x v="0"/>
    <s v="Female"/>
    <n v="89"/>
    <n v="4"/>
    <x v="0"/>
    <x v="4"/>
    <x v="2"/>
    <s v="Divorced"/>
    <n v="6377"/>
    <n v="13888"/>
    <n v="5"/>
    <s v="Y"/>
    <s v="No"/>
    <n v="20"/>
    <n v="4"/>
    <n v="2"/>
    <n v="80"/>
    <n v="3"/>
    <n v="15"/>
    <n v="0"/>
    <n v="3"/>
    <x v="12"/>
    <n v="11"/>
    <n v="11"/>
    <n v="8"/>
    <s v="36-45"/>
    <s v="High"/>
    <s v="11-15"/>
    <s v="Mid-Level"/>
    <s v="Excellent"/>
    <s v="High"/>
    <x v="0"/>
  </r>
  <r>
    <n v="34"/>
    <x v="1"/>
    <s v="Travel_Rarely"/>
    <n v="285"/>
    <x v="1"/>
    <n v="29"/>
    <n v="3"/>
    <s v="Medical"/>
    <n v="1"/>
    <n v="1377"/>
    <x v="0"/>
    <s v="Male"/>
    <n v="86"/>
    <n v="3"/>
    <x v="0"/>
    <x v="2"/>
    <x v="2"/>
    <s v="Married"/>
    <n v="5429"/>
    <n v="17491"/>
    <n v="4"/>
    <s v="Y"/>
    <s v="No"/>
    <n v="13"/>
    <n v="3"/>
    <n v="1"/>
    <n v="80"/>
    <n v="2"/>
    <n v="10"/>
    <n v="1"/>
    <n v="3"/>
    <x v="3"/>
    <n v="7"/>
    <n v="7"/>
    <n v="7"/>
    <s v="26-35"/>
    <s v="Medium"/>
    <s v="6-10"/>
    <s v="Mid-Level"/>
    <s v="Standard"/>
    <s v="High"/>
    <x v="0"/>
  </r>
  <r>
    <n v="31"/>
    <x v="0"/>
    <s v="Travel_Frequently"/>
    <n v="703"/>
    <x v="0"/>
    <n v="2"/>
    <n v="3"/>
    <s v="Life Sciences"/>
    <n v="1"/>
    <n v="1379"/>
    <x v="1"/>
    <s v="Female"/>
    <n v="90"/>
    <n v="2"/>
    <x v="1"/>
    <x v="6"/>
    <x v="0"/>
    <s v="Single"/>
    <n v="2785"/>
    <n v="11882"/>
    <n v="7"/>
    <s v="Y"/>
    <s v="No"/>
    <n v="14"/>
    <n v="3"/>
    <n v="3"/>
    <n v="80"/>
    <n v="0"/>
    <n v="3"/>
    <n v="3"/>
    <n v="4"/>
    <x v="6"/>
    <n v="0"/>
    <n v="0"/>
    <n v="0"/>
    <s v="26-35"/>
    <s v="Low"/>
    <s v="0-2"/>
    <s v="Junior"/>
    <s v="Standard"/>
    <s v="High"/>
    <x v="0"/>
  </r>
  <r>
    <n v="35"/>
    <x v="0"/>
    <s v="Travel_Frequently"/>
    <n v="662"/>
    <x v="0"/>
    <n v="18"/>
    <n v="4"/>
    <s v="Marketing"/>
    <n v="1"/>
    <n v="1380"/>
    <x v="2"/>
    <s v="Female"/>
    <n v="67"/>
    <n v="3"/>
    <x v="0"/>
    <x v="0"/>
    <x v="2"/>
    <s v="Married"/>
    <n v="4614"/>
    <n v="23288"/>
    <n v="0"/>
    <s v="Y"/>
    <s v="Yes"/>
    <n v="18"/>
    <n v="3"/>
    <n v="3"/>
    <n v="80"/>
    <n v="1"/>
    <n v="5"/>
    <n v="0"/>
    <n v="2"/>
    <x v="9"/>
    <n v="2"/>
    <n v="3"/>
    <n v="2"/>
    <s v="26-35"/>
    <s v="Medium"/>
    <s v="3-5"/>
    <s v="Junior"/>
    <s v="Standard"/>
    <s v="High"/>
    <x v="0"/>
  </r>
  <r>
    <n v="38"/>
    <x v="1"/>
    <s v="Travel_Frequently"/>
    <n v="693"/>
    <x v="1"/>
    <n v="7"/>
    <n v="3"/>
    <s v="Life Sciences"/>
    <n v="1"/>
    <n v="1382"/>
    <x v="2"/>
    <s v="Male"/>
    <n v="57"/>
    <n v="4"/>
    <x v="1"/>
    <x v="1"/>
    <x v="2"/>
    <s v="Divorced"/>
    <n v="2610"/>
    <n v="15748"/>
    <n v="1"/>
    <s v="Y"/>
    <s v="No"/>
    <n v="11"/>
    <n v="3"/>
    <n v="4"/>
    <n v="80"/>
    <n v="3"/>
    <n v="4"/>
    <n v="2"/>
    <n v="3"/>
    <x v="9"/>
    <n v="2"/>
    <n v="0"/>
    <n v="3"/>
    <s v="36-45"/>
    <s v="Low"/>
    <s v="3-5"/>
    <s v="Junior"/>
    <s v="Standard"/>
    <s v="High"/>
    <x v="0"/>
  </r>
  <r>
    <n v="34"/>
    <x v="1"/>
    <s v="Travel_Rarely"/>
    <n v="404"/>
    <x v="1"/>
    <n v="2"/>
    <n v="4"/>
    <s v="Technical Degree"/>
    <n v="1"/>
    <n v="1383"/>
    <x v="1"/>
    <s v="Female"/>
    <n v="98"/>
    <n v="3"/>
    <x v="0"/>
    <x v="4"/>
    <x v="0"/>
    <s v="Single"/>
    <n v="6687"/>
    <n v="6163"/>
    <n v="1"/>
    <s v="Y"/>
    <s v="No"/>
    <n v="11"/>
    <n v="3"/>
    <n v="4"/>
    <n v="80"/>
    <n v="0"/>
    <n v="14"/>
    <n v="2"/>
    <n v="4"/>
    <x v="13"/>
    <n v="11"/>
    <n v="4"/>
    <n v="11"/>
    <s v="26-35"/>
    <s v="High"/>
    <s v="11-15"/>
    <s v="Mid-Level"/>
    <s v="Standard"/>
    <s v="High"/>
    <x v="0"/>
  </r>
  <r>
    <n v="28"/>
    <x v="1"/>
    <s v="Travel_Rarely"/>
    <n v="736"/>
    <x v="0"/>
    <n v="26"/>
    <n v="3"/>
    <s v="Life Sciences"/>
    <n v="1"/>
    <n v="1387"/>
    <x v="1"/>
    <s v="Male"/>
    <n v="48"/>
    <n v="2"/>
    <x v="0"/>
    <x v="0"/>
    <x v="3"/>
    <s v="Married"/>
    <n v="4724"/>
    <n v="24232"/>
    <n v="1"/>
    <s v="Y"/>
    <s v="No"/>
    <n v="11"/>
    <n v="3"/>
    <n v="3"/>
    <n v="80"/>
    <n v="1"/>
    <n v="5"/>
    <n v="0"/>
    <n v="3"/>
    <x v="8"/>
    <n v="3"/>
    <n v="0"/>
    <n v="4"/>
    <s v="26-35"/>
    <s v="Medium"/>
    <s v="3-5"/>
    <s v="Junior"/>
    <s v="Standard"/>
    <s v="Low"/>
    <x v="0"/>
  </r>
  <r>
    <n v="31"/>
    <x v="0"/>
    <s v="Travel_Rarely"/>
    <n v="330"/>
    <x v="1"/>
    <n v="22"/>
    <n v="4"/>
    <s v="Medical"/>
    <n v="1"/>
    <n v="1389"/>
    <x v="2"/>
    <s v="Male"/>
    <n v="98"/>
    <n v="3"/>
    <x v="0"/>
    <x v="3"/>
    <x v="2"/>
    <s v="Married"/>
    <n v="6179"/>
    <n v="21057"/>
    <n v="1"/>
    <s v="Y"/>
    <s v="Yes"/>
    <n v="15"/>
    <n v="3"/>
    <n v="4"/>
    <n v="80"/>
    <n v="2"/>
    <n v="10"/>
    <n v="3"/>
    <n v="2"/>
    <x v="1"/>
    <n v="2"/>
    <n v="6"/>
    <n v="7"/>
    <s v="26-35"/>
    <s v="High"/>
    <s v="6-10"/>
    <s v="Mid-Level"/>
    <s v="Standard"/>
    <s v="High"/>
    <x v="0"/>
  </r>
  <r>
    <n v="39"/>
    <x v="1"/>
    <s v="Travel_Rarely"/>
    <n v="1498"/>
    <x v="0"/>
    <n v="21"/>
    <n v="4"/>
    <s v="Life Sciences"/>
    <n v="1"/>
    <n v="1390"/>
    <x v="3"/>
    <s v="Male"/>
    <n v="44"/>
    <n v="2"/>
    <x v="0"/>
    <x v="0"/>
    <x v="0"/>
    <s v="Married"/>
    <n v="6120"/>
    <n v="3567"/>
    <n v="3"/>
    <s v="Y"/>
    <s v="Yes"/>
    <n v="12"/>
    <n v="3"/>
    <n v="4"/>
    <n v="80"/>
    <n v="2"/>
    <n v="8"/>
    <n v="2"/>
    <n v="4"/>
    <x v="8"/>
    <n v="4"/>
    <n v="1"/>
    <n v="4"/>
    <s v="36-45"/>
    <s v="High"/>
    <s v="3-5"/>
    <s v="Mid-Level"/>
    <s v="Standard"/>
    <s v="High"/>
    <x v="0"/>
  </r>
  <r>
    <n v="51"/>
    <x v="1"/>
    <s v="Travel_Frequently"/>
    <n v="541"/>
    <x v="0"/>
    <n v="2"/>
    <n v="3"/>
    <s v="Marketing"/>
    <n v="1"/>
    <n v="1391"/>
    <x v="0"/>
    <s v="Male"/>
    <n v="52"/>
    <n v="3"/>
    <x v="2"/>
    <x v="0"/>
    <x v="1"/>
    <s v="Married"/>
    <n v="10596"/>
    <n v="15395"/>
    <n v="2"/>
    <s v="Y"/>
    <s v="No"/>
    <n v="11"/>
    <n v="3"/>
    <n v="2"/>
    <n v="80"/>
    <n v="0"/>
    <n v="14"/>
    <n v="5"/>
    <n v="3"/>
    <x v="9"/>
    <n v="2"/>
    <n v="3"/>
    <n v="2"/>
    <s v="46-55"/>
    <s v="Very High"/>
    <s v="3-5"/>
    <s v="Mid-Level"/>
    <s v="Standard"/>
    <s v="Low"/>
    <x v="0"/>
  </r>
  <r>
    <n v="41"/>
    <x v="1"/>
    <s v="Travel_Frequently"/>
    <n v="1200"/>
    <x v="1"/>
    <n v="22"/>
    <n v="3"/>
    <s v="Life Sciences"/>
    <n v="1"/>
    <n v="1392"/>
    <x v="2"/>
    <s v="Female"/>
    <n v="75"/>
    <n v="3"/>
    <x v="0"/>
    <x v="1"/>
    <x v="0"/>
    <s v="Divorced"/>
    <n v="5467"/>
    <n v="13953"/>
    <n v="3"/>
    <s v="Y"/>
    <s v="Yes"/>
    <n v="14"/>
    <n v="3"/>
    <n v="1"/>
    <n v="80"/>
    <n v="2"/>
    <n v="12"/>
    <n v="4"/>
    <n v="2"/>
    <x v="0"/>
    <n v="2"/>
    <n v="3"/>
    <n v="3"/>
    <s v="36-45"/>
    <s v="Medium"/>
    <s v="6-10"/>
    <s v="Mid-Level"/>
    <s v="Standard"/>
    <s v="High"/>
    <x v="0"/>
  </r>
  <r>
    <n v="37"/>
    <x v="1"/>
    <s v="Travel_Rarely"/>
    <n v="1439"/>
    <x v="1"/>
    <n v="4"/>
    <n v="1"/>
    <s v="Life Sciences"/>
    <n v="1"/>
    <n v="1394"/>
    <x v="1"/>
    <s v="Male"/>
    <n v="54"/>
    <n v="3"/>
    <x v="1"/>
    <x v="1"/>
    <x v="2"/>
    <s v="Married"/>
    <n v="2996"/>
    <n v="5182"/>
    <n v="7"/>
    <s v="Y"/>
    <s v="Yes"/>
    <n v="15"/>
    <n v="3"/>
    <n v="4"/>
    <n v="80"/>
    <n v="0"/>
    <n v="8"/>
    <n v="2"/>
    <n v="3"/>
    <x v="0"/>
    <n v="4"/>
    <n v="1"/>
    <n v="3"/>
    <s v="36-45"/>
    <s v="Low"/>
    <s v="6-10"/>
    <s v="Mid-Level"/>
    <s v="Standard"/>
    <s v="High"/>
    <x v="0"/>
  </r>
  <r>
    <n v="33"/>
    <x v="1"/>
    <s v="Travel_Frequently"/>
    <n v="1111"/>
    <x v="0"/>
    <n v="5"/>
    <n v="1"/>
    <s v="Life Sciences"/>
    <n v="1"/>
    <n v="1395"/>
    <x v="0"/>
    <s v="Male"/>
    <n v="61"/>
    <n v="3"/>
    <x v="0"/>
    <x v="0"/>
    <x v="0"/>
    <s v="Married"/>
    <n v="9998"/>
    <n v="19293"/>
    <n v="6"/>
    <s v="Y"/>
    <s v="No"/>
    <n v="13"/>
    <n v="3"/>
    <n v="1"/>
    <n v="80"/>
    <n v="0"/>
    <n v="8"/>
    <n v="2"/>
    <n v="4"/>
    <x v="8"/>
    <n v="4"/>
    <n v="1"/>
    <n v="2"/>
    <s v="26-35"/>
    <s v="High"/>
    <s v="3-5"/>
    <s v="Mid-Level"/>
    <s v="Standard"/>
    <s v="High"/>
    <x v="0"/>
  </r>
  <r>
    <n v="32"/>
    <x v="1"/>
    <s v="Travel_Rarely"/>
    <n v="499"/>
    <x v="0"/>
    <n v="2"/>
    <n v="1"/>
    <s v="Marketing"/>
    <n v="1"/>
    <n v="1396"/>
    <x v="1"/>
    <s v="Male"/>
    <n v="36"/>
    <n v="3"/>
    <x v="0"/>
    <x v="0"/>
    <x v="1"/>
    <s v="Married"/>
    <n v="4078"/>
    <n v="20497"/>
    <n v="0"/>
    <s v="Y"/>
    <s v="Yes"/>
    <n v="13"/>
    <n v="3"/>
    <n v="1"/>
    <n v="80"/>
    <n v="3"/>
    <n v="4"/>
    <n v="3"/>
    <n v="2"/>
    <x v="11"/>
    <n v="2"/>
    <n v="1"/>
    <n v="2"/>
    <s v="26-35"/>
    <s v="Medium"/>
    <s v="3-5"/>
    <s v="Junior"/>
    <s v="Standard"/>
    <s v="Low"/>
    <x v="0"/>
  </r>
  <r>
    <n v="39"/>
    <x v="1"/>
    <s v="Non-Travel"/>
    <n v="1485"/>
    <x v="1"/>
    <n v="25"/>
    <n v="2"/>
    <s v="Life Sciences"/>
    <n v="1"/>
    <n v="1397"/>
    <x v="1"/>
    <s v="Male"/>
    <n v="71"/>
    <n v="3"/>
    <x v="2"/>
    <x v="4"/>
    <x v="2"/>
    <s v="Married"/>
    <n v="10920"/>
    <n v="3449"/>
    <n v="3"/>
    <s v="Y"/>
    <s v="No"/>
    <n v="21"/>
    <n v="4"/>
    <n v="2"/>
    <n v="80"/>
    <n v="1"/>
    <n v="13"/>
    <n v="2"/>
    <n v="3"/>
    <x v="0"/>
    <n v="4"/>
    <n v="0"/>
    <n v="5"/>
    <s v="36-45"/>
    <s v="Very High"/>
    <s v="6-10"/>
    <s v="Mid-Level"/>
    <s v="Excellent"/>
    <s v="High"/>
    <x v="0"/>
  </r>
  <r>
    <n v="25"/>
    <x v="1"/>
    <s v="Travel_Rarely"/>
    <n v="1372"/>
    <x v="0"/>
    <n v="18"/>
    <n v="1"/>
    <s v="Life Sciences"/>
    <n v="1"/>
    <n v="1399"/>
    <x v="3"/>
    <s v="Male"/>
    <n v="93"/>
    <n v="4"/>
    <x v="0"/>
    <x v="0"/>
    <x v="2"/>
    <s v="Married"/>
    <n v="6232"/>
    <n v="12477"/>
    <n v="2"/>
    <s v="Y"/>
    <s v="No"/>
    <n v="11"/>
    <n v="3"/>
    <n v="2"/>
    <n v="80"/>
    <n v="0"/>
    <n v="6"/>
    <n v="3"/>
    <n v="2"/>
    <x v="11"/>
    <n v="2"/>
    <n v="1"/>
    <n v="2"/>
    <s v="18-25"/>
    <s v="High"/>
    <s v="3-5"/>
    <s v="Mid-Level"/>
    <s v="Standard"/>
    <s v="High"/>
    <x v="0"/>
  </r>
  <r>
    <n v="52"/>
    <x v="1"/>
    <s v="Travel_Frequently"/>
    <n v="322"/>
    <x v="1"/>
    <n v="28"/>
    <n v="2"/>
    <s v="Medical"/>
    <n v="1"/>
    <n v="1401"/>
    <x v="2"/>
    <s v="Female"/>
    <n v="59"/>
    <n v="4"/>
    <x v="3"/>
    <x v="3"/>
    <x v="2"/>
    <s v="Married"/>
    <n v="13247"/>
    <n v="9731"/>
    <n v="2"/>
    <s v="Y"/>
    <s v="Yes"/>
    <n v="11"/>
    <n v="3"/>
    <n v="2"/>
    <n v="80"/>
    <n v="1"/>
    <n v="24"/>
    <n v="3"/>
    <n v="2"/>
    <x v="8"/>
    <n v="3"/>
    <n v="0"/>
    <n v="2"/>
    <s v="46-55"/>
    <s v="Very High"/>
    <s v="3-5"/>
    <s v="Senior"/>
    <s v="Standard"/>
    <s v="High"/>
    <x v="0"/>
  </r>
  <r>
    <n v="43"/>
    <x v="1"/>
    <s v="Travel_Rarely"/>
    <n v="930"/>
    <x v="1"/>
    <n v="6"/>
    <n v="3"/>
    <s v="Medical"/>
    <n v="1"/>
    <n v="1402"/>
    <x v="3"/>
    <s v="Female"/>
    <n v="73"/>
    <n v="2"/>
    <x v="0"/>
    <x v="1"/>
    <x v="2"/>
    <s v="Single"/>
    <n v="4081"/>
    <n v="20003"/>
    <n v="1"/>
    <s v="Y"/>
    <s v="Yes"/>
    <n v="14"/>
    <n v="3"/>
    <n v="1"/>
    <n v="80"/>
    <n v="0"/>
    <n v="20"/>
    <n v="3"/>
    <n v="1"/>
    <x v="23"/>
    <n v="7"/>
    <n v="1"/>
    <n v="8"/>
    <s v="36-45"/>
    <s v="Medium"/>
    <s v="16+"/>
    <s v="Senior"/>
    <s v="Standard"/>
    <s v="High"/>
    <x v="0"/>
  </r>
  <r>
    <n v="27"/>
    <x v="1"/>
    <s v="Travel_Rarely"/>
    <n v="205"/>
    <x v="0"/>
    <n v="10"/>
    <n v="3"/>
    <s v="Marketing"/>
    <n v="1"/>
    <n v="1403"/>
    <x v="2"/>
    <s v="Female"/>
    <n v="98"/>
    <n v="2"/>
    <x v="0"/>
    <x v="0"/>
    <x v="0"/>
    <s v="Married"/>
    <n v="5769"/>
    <n v="7100"/>
    <n v="1"/>
    <s v="Y"/>
    <s v="Yes"/>
    <n v="11"/>
    <n v="3"/>
    <n v="4"/>
    <n v="80"/>
    <n v="0"/>
    <n v="6"/>
    <n v="3"/>
    <n v="3"/>
    <x v="0"/>
    <n v="2"/>
    <n v="4"/>
    <n v="4"/>
    <s v="26-35"/>
    <s v="Medium"/>
    <s v="6-10"/>
    <s v="Mid-Level"/>
    <s v="Standard"/>
    <s v="High"/>
    <x v="0"/>
  </r>
  <r>
    <n v="27"/>
    <x v="0"/>
    <s v="Travel_Rarely"/>
    <n v="135"/>
    <x v="1"/>
    <n v="17"/>
    <n v="4"/>
    <s v="Life Sciences"/>
    <n v="1"/>
    <n v="1405"/>
    <x v="2"/>
    <s v="Female"/>
    <n v="51"/>
    <n v="3"/>
    <x v="1"/>
    <x v="1"/>
    <x v="2"/>
    <s v="Single"/>
    <n v="2394"/>
    <n v="25681"/>
    <n v="1"/>
    <s v="Y"/>
    <s v="Yes"/>
    <n v="13"/>
    <n v="3"/>
    <n v="4"/>
    <n v="80"/>
    <n v="0"/>
    <n v="8"/>
    <n v="2"/>
    <n v="3"/>
    <x v="3"/>
    <n v="2"/>
    <n v="7"/>
    <n v="7"/>
    <s v="26-35"/>
    <s v="Low"/>
    <s v="6-10"/>
    <s v="Mid-Level"/>
    <s v="Standard"/>
    <s v="High"/>
    <x v="0"/>
  </r>
  <r>
    <n v="26"/>
    <x v="1"/>
    <s v="Travel_Rarely"/>
    <n v="683"/>
    <x v="1"/>
    <n v="2"/>
    <n v="1"/>
    <s v="Medical"/>
    <n v="1"/>
    <n v="1407"/>
    <x v="3"/>
    <s v="Male"/>
    <n v="36"/>
    <n v="2"/>
    <x v="1"/>
    <x v="1"/>
    <x v="0"/>
    <s v="Single"/>
    <n v="3904"/>
    <n v="4050"/>
    <n v="0"/>
    <s v="Y"/>
    <s v="No"/>
    <n v="12"/>
    <n v="3"/>
    <n v="4"/>
    <n v="80"/>
    <n v="0"/>
    <n v="5"/>
    <n v="2"/>
    <n v="3"/>
    <x v="9"/>
    <n v="3"/>
    <n v="1"/>
    <n v="1"/>
    <s v="26-35"/>
    <s v="Medium"/>
    <s v="3-5"/>
    <s v="Junior"/>
    <s v="Standard"/>
    <s v="High"/>
    <x v="0"/>
  </r>
  <r>
    <n v="42"/>
    <x v="1"/>
    <s v="Travel_Rarely"/>
    <n v="1147"/>
    <x v="2"/>
    <n v="10"/>
    <n v="3"/>
    <s v="Human Resources"/>
    <n v="1"/>
    <n v="1408"/>
    <x v="1"/>
    <s v="Female"/>
    <n v="31"/>
    <n v="3"/>
    <x v="3"/>
    <x v="5"/>
    <x v="3"/>
    <s v="Married"/>
    <n v="16799"/>
    <n v="16616"/>
    <n v="0"/>
    <s v="Y"/>
    <s v="No"/>
    <n v="14"/>
    <n v="3"/>
    <n v="3"/>
    <n v="80"/>
    <n v="1"/>
    <n v="21"/>
    <n v="5"/>
    <n v="3"/>
    <x v="23"/>
    <n v="7"/>
    <n v="0"/>
    <n v="9"/>
    <s v="36-45"/>
    <s v="Very High"/>
    <s v="16+"/>
    <s v="Senior"/>
    <s v="Standard"/>
    <s v="Low"/>
    <x v="0"/>
  </r>
  <r>
    <n v="52"/>
    <x v="1"/>
    <s v="Travel_Rarely"/>
    <n v="258"/>
    <x v="1"/>
    <n v="8"/>
    <n v="4"/>
    <s v="Other"/>
    <n v="1"/>
    <n v="1409"/>
    <x v="1"/>
    <s v="Female"/>
    <n v="54"/>
    <n v="3"/>
    <x v="1"/>
    <x v="2"/>
    <x v="3"/>
    <s v="Married"/>
    <n v="2950"/>
    <n v="17363"/>
    <n v="9"/>
    <s v="Y"/>
    <s v="No"/>
    <n v="13"/>
    <n v="3"/>
    <n v="3"/>
    <n v="80"/>
    <n v="0"/>
    <n v="12"/>
    <n v="2"/>
    <n v="1"/>
    <x v="8"/>
    <n v="4"/>
    <n v="0"/>
    <n v="4"/>
    <s v="46-55"/>
    <s v="Low"/>
    <s v="3-5"/>
    <s v="Mid-Level"/>
    <s v="Standard"/>
    <s v="Low"/>
    <x v="0"/>
  </r>
  <r>
    <n v="37"/>
    <x v="1"/>
    <s v="Travel_Rarely"/>
    <n v="1462"/>
    <x v="1"/>
    <n v="11"/>
    <n v="3"/>
    <s v="Medical"/>
    <n v="1"/>
    <n v="1411"/>
    <x v="3"/>
    <s v="Female"/>
    <n v="94"/>
    <n v="3"/>
    <x v="1"/>
    <x v="2"/>
    <x v="2"/>
    <s v="Single"/>
    <n v="3629"/>
    <n v="19106"/>
    <n v="4"/>
    <s v="Y"/>
    <s v="No"/>
    <n v="18"/>
    <n v="3"/>
    <n v="1"/>
    <n v="80"/>
    <n v="0"/>
    <n v="8"/>
    <n v="6"/>
    <n v="3"/>
    <x v="11"/>
    <n v="2"/>
    <n v="0"/>
    <n v="2"/>
    <s v="36-45"/>
    <s v="Medium"/>
    <s v="3-5"/>
    <s v="Mid-Level"/>
    <s v="Standard"/>
    <s v="High"/>
    <x v="0"/>
  </r>
  <r>
    <n v="35"/>
    <x v="1"/>
    <s v="Travel_Frequently"/>
    <n v="200"/>
    <x v="1"/>
    <n v="18"/>
    <n v="2"/>
    <s v="Life Sciences"/>
    <n v="1"/>
    <n v="1412"/>
    <x v="1"/>
    <s v="Male"/>
    <n v="60"/>
    <n v="3"/>
    <x v="2"/>
    <x v="3"/>
    <x v="0"/>
    <s v="Single"/>
    <n v="9362"/>
    <n v="19944"/>
    <n v="2"/>
    <s v="Y"/>
    <s v="No"/>
    <n v="11"/>
    <n v="3"/>
    <n v="3"/>
    <n v="80"/>
    <n v="0"/>
    <n v="10"/>
    <n v="2"/>
    <n v="3"/>
    <x v="4"/>
    <n v="2"/>
    <n v="2"/>
    <n v="2"/>
    <s v="26-35"/>
    <s v="High"/>
    <s v="0-2"/>
    <s v="Mid-Level"/>
    <s v="Standard"/>
    <s v="High"/>
    <x v="0"/>
  </r>
  <r>
    <n v="25"/>
    <x v="1"/>
    <s v="Travel_Rarely"/>
    <n v="949"/>
    <x v="1"/>
    <n v="1"/>
    <n v="3"/>
    <s v="Technical Degree"/>
    <n v="1"/>
    <n v="1415"/>
    <x v="3"/>
    <s v="Male"/>
    <n v="81"/>
    <n v="3"/>
    <x v="1"/>
    <x v="2"/>
    <x v="0"/>
    <s v="Married"/>
    <n v="3229"/>
    <n v="4910"/>
    <n v="4"/>
    <s v="Y"/>
    <s v="No"/>
    <n v="11"/>
    <n v="3"/>
    <n v="2"/>
    <n v="80"/>
    <n v="1"/>
    <n v="7"/>
    <n v="2"/>
    <n v="2"/>
    <x v="11"/>
    <n v="2"/>
    <n v="0"/>
    <n v="2"/>
    <s v="18-25"/>
    <s v="Medium"/>
    <s v="3-5"/>
    <s v="Mid-Level"/>
    <s v="Standard"/>
    <s v="High"/>
    <x v="0"/>
  </r>
  <r>
    <n v="26"/>
    <x v="1"/>
    <s v="Travel_Rarely"/>
    <n v="652"/>
    <x v="1"/>
    <n v="7"/>
    <n v="3"/>
    <s v="Other"/>
    <n v="1"/>
    <n v="1417"/>
    <x v="1"/>
    <s v="Male"/>
    <n v="100"/>
    <n v="4"/>
    <x v="1"/>
    <x v="2"/>
    <x v="3"/>
    <s v="Single"/>
    <n v="3578"/>
    <n v="23577"/>
    <n v="0"/>
    <s v="Y"/>
    <s v="No"/>
    <n v="12"/>
    <n v="3"/>
    <n v="4"/>
    <n v="80"/>
    <n v="0"/>
    <n v="8"/>
    <n v="2"/>
    <n v="3"/>
    <x v="5"/>
    <n v="7"/>
    <n v="0"/>
    <n v="7"/>
    <s v="26-35"/>
    <s v="Medium"/>
    <s v="6-10"/>
    <s v="Mid-Level"/>
    <s v="Standard"/>
    <s v="Low"/>
    <x v="0"/>
  </r>
  <r>
    <n v="29"/>
    <x v="1"/>
    <s v="Travel_Rarely"/>
    <n v="332"/>
    <x v="2"/>
    <n v="17"/>
    <n v="3"/>
    <s v="Other"/>
    <n v="1"/>
    <n v="1419"/>
    <x v="0"/>
    <s v="Male"/>
    <n v="51"/>
    <n v="2"/>
    <x v="2"/>
    <x v="8"/>
    <x v="3"/>
    <s v="Single"/>
    <n v="7988"/>
    <n v="9769"/>
    <n v="1"/>
    <s v="Y"/>
    <s v="No"/>
    <n v="13"/>
    <n v="3"/>
    <n v="1"/>
    <n v="80"/>
    <n v="0"/>
    <n v="10"/>
    <n v="3"/>
    <n v="2"/>
    <x v="1"/>
    <n v="9"/>
    <n v="0"/>
    <n v="9"/>
    <s v="26-35"/>
    <s v="High"/>
    <s v="6-10"/>
    <s v="Mid-Level"/>
    <s v="Standard"/>
    <s v="Low"/>
    <x v="0"/>
  </r>
  <r>
    <n v="49"/>
    <x v="0"/>
    <s v="Travel_Frequently"/>
    <n v="1475"/>
    <x v="1"/>
    <n v="28"/>
    <n v="2"/>
    <s v="Life Sciences"/>
    <n v="1"/>
    <n v="1420"/>
    <x v="3"/>
    <s v="Male"/>
    <n v="97"/>
    <n v="2"/>
    <x v="0"/>
    <x v="2"/>
    <x v="3"/>
    <s v="Single"/>
    <n v="4284"/>
    <n v="22710"/>
    <n v="3"/>
    <s v="Y"/>
    <s v="No"/>
    <n v="20"/>
    <n v="4"/>
    <n v="1"/>
    <n v="80"/>
    <n v="0"/>
    <n v="20"/>
    <n v="2"/>
    <n v="3"/>
    <x v="9"/>
    <n v="3"/>
    <n v="1"/>
    <n v="3"/>
    <s v="46-55"/>
    <s v="Medium"/>
    <s v="3-5"/>
    <s v="Senior"/>
    <s v="Excellent"/>
    <s v="Low"/>
    <x v="0"/>
  </r>
  <r>
    <n v="29"/>
    <x v="0"/>
    <s v="Travel_Frequently"/>
    <n v="337"/>
    <x v="1"/>
    <n v="14"/>
    <n v="1"/>
    <s v="Other"/>
    <n v="1"/>
    <n v="1421"/>
    <x v="1"/>
    <s v="Female"/>
    <n v="84"/>
    <n v="3"/>
    <x v="2"/>
    <x v="4"/>
    <x v="0"/>
    <s v="Single"/>
    <n v="7553"/>
    <n v="22930"/>
    <n v="0"/>
    <s v="Y"/>
    <s v="Yes"/>
    <n v="12"/>
    <n v="3"/>
    <n v="1"/>
    <n v="80"/>
    <n v="0"/>
    <n v="9"/>
    <n v="1"/>
    <n v="3"/>
    <x v="3"/>
    <n v="7"/>
    <n v="7"/>
    <n v="7"/>
    <s v="26-35"/>
    <s v="High"/>
    <s v="6-10"/>
    <s v="Mid-Level"/>
    <s v="Standard"/>
    <s v="High"/>
    <x v="0"/>
  </r>
  <r>
    <n v="54"/>
    <x v="1"/>
    <s v="Travel_Rarely"/>
    <n v="971"/>
    <x v="1"/>
    <n v="1"/>
    <n v="3"/>
    <s v="Medical"/>
    <n v="1"/>
    <n v="1422"/>
    <x v="2"/>
    <s v="Female"/>
    <n v="54"/>
    <n v="3"/>
    <x v="3"/>
    <x v="7"/>
    <x v="0"/>
    <s v="Single"/>
    <n v="17328"/>
    <n v="5652"/>
    <n v="6"/>
    <s v="Y"/>
    <s v="No"/>
    <n v="19"/>
    <n v="3"/>
    <n v="4"/>
    <n v="80"/>
    <n v="0"/>
    <n v="29"/>
    <n v="3"/>
    <n v="2"/>
    <x v="23"/>
    <n v="7"/>
    <n v="12"/>
    <n v="7"/>
    <s v="46-55"/>
    <s v="Very High"/>
    <s v="16+"/>
    <s v="Senior"/>
    <s v="Standard"/>
    <s v="High"/>
    <x v="0"/>
  </r>
  <r>
    <n v="58"/>
    <x v="1"/>
    <s v="Travel_Rarely"/>
    <n v="1055"/>
    <x v="1"/>
    <n v="1"/>
    <n v="3"/>
    <s v="Medical"/>
    <n v="1"/>
    <n v="1423"/>
    <x v="2"/>
    <s v="Female"/>
    <n v="76"/>
    <n v="3"/>
    <x v="4"/>
    <x v="7"/>
    <x v="3"/>
    <s v="Married"/>
    <n v="19701"/>
    <n v="22456"/>
    <n v="3"/>
    <s v="Y"/>
    <s v="Yes"/>
    <n v="21"/>
    <n v="4"/>
    <n v="3"/>
    <n v="80"/>
    <n v="1"/>
    <n v="32"/>
    <n v="3"/>
    <n v="3"/>
    <x v="7"/>
    <n v="8"/>
    <n v="1"/>
    <n v="5"/>
    <s v="56+"/>
    <s v="Very High"/>
    <s v="6-10"/>
    <s v="Senior"/>
    <s v="Excellent"/>
    <s v="Low"/>
    <x v="0"/>
  </r>
  <r>
    <n v="55"/>
    <x v="1"/>
    <s v="Travel_Rarely"/>
    <n v="1136"/>
    <x v="1"/>
    <n v="1"/>
    <n v="4"/>
    <s v="Medical"/>
    <n v="1"/>
    <n v="1424"/>
    <x v="0"/>
    <s v="Male"/>
    <n v="81"/>
    <n v="4"/>
    <x v="3"/>
    <x v="7"/>
    <x v="0"/>
    <s v="Divorced"/>
    <n v="14732"/>
    <n v="12414"/>
    <n v="2"/>
    <s v="Y"/>
    <s v="No"/>
    <n v="13"/>
    <n v="3"/>
    <n v="4"/>
    <n v="80"/>
    <n v="2"/>
    <n v="31"/>
    <n v="4"/>
    <n v="4"/>
    <x v="5"/>
    <n v="7"/>
    <n v="0"/>
    <n v="0"/>
    <s v="46-55"/>
    <s v="Very High"/>
    <s v="6-10"/>
    <s v="Senior"/>
    <s v="Standard"/>
    <s v="High"/>
    <x v="0"/>
  </r>
  <r>
    <n v="36"/>
    <x v="1"/>
    <s v="Travel_Rarely"/>
    <n v="1174"/>
    <x v="0"/>
    <n v="3"/>
    <n v="4"/>
    <s v="Marketing"/>
    <n v="1"/>
    <n v="1425"/>
    <x v="3"/>
    <s v="Female"/>
    <n v="99"/>
    <n v="3"/>
    <x v="0"/>
    <x v="0"/>
    <x v="1"/>
    <s v="Single"/>
    <n v="9278"/>
    <n v="20763"/>
    <n v="3"/>
    <s v="Y"/>
    <s v="Yes"/>
    <n v="16"/>
    <n v="3"/>
    <n v="4"/>
    <n v="80"/>
    <n v="0"/>
    <n v="15"/>
    <n v="3"/>
    <n v="3"/>
    <x v="8"/>
    <n v="4"/>
    <n v="0"/>
    <n v="1"/>
    <s v="36-45"/>
    <s v="High"/>
    <s v="3-5"/>
    <s v="Mid-Level"/>
    <s v="Standard"/>
    <s v="Low"/>
    <x v="0"/>
  </r>
  <r>
    <n v="31"/>
    <x v="0"/>
    <s v="Travel_Frequently"/>
    <n v="667"/>
    <x v="0"/>
    <n v="1"/>
    <n v="4"/>
    <s v="Life Sciences"/>
    <n v="1"/>
    <n v="1427"/>
    <x v="0"/>
    <s v="Female"/>
    <n v="50"/>
    <n v="1"/>
    <x v="1"/>
    <x v="6"/>
    <x v="2"/>
    <s v="Single"/>
    <n v="1359"/>
    <n v="16154"/>
    <n v="1"/>
    <s v="Y"/>
    <s v="No"/>
    <n v="12"/>
    <n v="3"/>
    <n v="2"/>
    <n v="80"/>
    <n v="0"/>
    <n v="1"/>
    <n v="3"/>
    <n v="3"/>
    <x v="6"/>
    <n v="0"/>
    <n v="0"/>
    <n v="0"/>
    <s v="26-35"/>
    <s v="Low"/>
    <s v="0-2"/>
    <s v="Junior"/>
    <s v="Standard"/>
    <s v="High"/>
    <x v="0"/>
  </r>
  <r>
    <n v="30"/>
    <x v="1"/>
    <s v="Travel_Rarely"/>
    <n v="855"/>
    <x v="0"/>
    <n v="7"/>
    <n v="4"/>
    <s v="Marketing"/>
    <n v="1"/>
    <n v="1428"/>
    <x v="2"/>
    <s v="Female"/>
    <n v="73"/>
    <n v="3"/>
    <x v="0"/>
    <x v="0"/>
    <x v="3"/>
    <s v="Divorced"/>
    <n v="4779"/>
    <n v="12761"/>
    <n v="7"/>
    <s v="Y"/>
    <s v="No"/>
    <n v="14"/>
    <n v="3"/>
    <n v="2"/>
    <n v="80"/>
    <n v="2"/>
    <n v="8"/>
    <n v="3"/>
    <n v="3"/>
    <x v="11"/>
    <n v="2"/>
    <n v="0"/>
    <n v="2"/>
    <s v="26-35"/>
    <s v="Medium"/>
    <s v="3-5"/>
    <s v="Mid-Level"/>
    <s v="Standard"/>
    <s v="Low"/>
    <x v="0"/>
  </r>
  <r>
    <n v="31"/>
    <x v="1"/>
    <s v="Travel_Rarely"/>
    <n v="182"/>
    <x v="1"/>
    <n v="8"/>
    <n v="5"/>
    <s v="Life Sciences"/>
    <n v="1"/>
    <n v="1430"/>
    <x v="3"/>
    <s v="Female"/>
    <n v="93"/>
    <n v="3"/>
    <x v="3"/>
    <x v="7"/>
    <x v="1"/>
    <s v="Single"/>
    <n v="16422"/>
    <n v="8847"/>
    <n v="3"/>
    <s v="Y"/>
    <s v="No"/>
    <n v="11"/>
    <n v="3"/>
    <n v="3"/>
    <n v="80"/>
    <n v="0"/>
    <n v="9"/>
    <n v="3"/>
    <n v="4"/>
    <x v="11"/>
    <n v="2"/>
    <n v="1"/>
    <n v="0"/>
    <s v="26-35"/>
    <s v="Very High"/>
    <s v="3-5"/>
    <s v="Mid-Level"/>
    <s v="Standard"/>
    <s v="Low"/>
    <x v="0"/>
  </r>
  <r>
    <n v="34"/>
    <x v="1"/>
    <s v="Travel_Frequently"/>
    <n v="560"/>
    <x v="1"/>
    <n v="1"/>
    <n v="4"/>
    <s v="Other"/>
    <n v="1"/>
    <n v="1431"/>
    <x v="2"/>
    <s v="Male"/>
    <n v="91"/>
    <n v="3"/>
    <x v="1"/>
    <x v="1"/>
    <x v="3"/>
    <s v="Divorced"/>
    <n v="2996"/>
    <n v="20284"/>
    <n v="5"/>
    <s v="Y"/>
    <s v="No"/>
    <n v="14"/>
    <n v="3"/>
    <n v="3"/>
    <n v="80"/>
    <n v="2"/>
    <n v="10"/>
    <n v="2"/>
    <n v="3"/>
    <x v="9"/>
    <n v="3"/>
    <n v="1"/>
    <n v="3"/>
    <s v="26-35"/>
    <s v="Low"/>
    <s v="3-5"/>
    <s v="Mid-Level"/>
    <s v="Standard"/>
    <s v="Low"/>
    <x v="0"/>
  </r>
  <r>
    <n v="31"/>
    <x v="0"/>
    <s v="Travel_Rarely"/>
    <n v="202"/>
    <x v="1"/>
    <n v="8"/>
    <n v="3"/>
    <s v="Life Sciences"/>
    <n v="1"/>
    <n v="1433"/>
    <x v="3"/>
    <s v="Female"/>
    <n v="34"/>
    <n v="2"/>
    <x v="1"/>
    <x v="1"/>
    <x v="1"/>
    <s v="Single"/>
    <n v="1261"/>
    <n v="22262"/>
    <n v="1"/>
    <s v="Y"/>
    <s v="No"/>
    <n v="12"/>
    <n v="3"/>
    <n v="3"/>
    <n v="80"/>
    <n v="0"/>
    <n v="1"/>
    <n v="3"/>
    <n v="4"/>
    <x v="6"/>
    <n v="0"/>
    <n v="0"/>
    <n v="0"/>
    <s v="26-35"/>
    <s v="Low"/>
    <s v="0-2"/>
    <s v="Junior"/>
    <s v="Standard"/>
    <s v="Low"/>
    <x v="0"/>
  </r>
  <r>
    <n v="27"/>
    <x v="1"/>
    <s v="Travel_Rarely"/>
    <n v="1377"/>
    <x v="1"/>
    <n v="11"/>
    <n v="1"/>
    <s v="Life Sciences"/>
    <n v="1"/>
    <n v="1434"/>
    <x v="0"/>
    <s v="Male"/>
    <n v="91"/>
    <n v="3"/>
    <x v="1"/>
    <x v="2"/>
    <x v="3"/>
    <s v="Married"/>
    <n v="2099"/>
    <n v="7679"/>
    <n v="0"/>
    <s v="Y"/>
    <s v="No"/>
    <n v="14"/>
    <n v="3"/>
    <n v="2"/>
    <n v="80"/>
    <n v="0"/>
    <n v="6"/>
    <n v="3"/>
    <n v="4"/>
    <x v="8"/>
    <n v="0"/>
    <n v="1"/>
    <n v="4"/>
    <s v="26-35"/>
    <s v="Low"/>
    <s v="3-5"/>
    <s v="Mid-Level"/>
    <s v="Standard"/>
    <s v="Low"/>
    <x v="0"/>
  </r>
  <r>
    <n v="36"/>
    <x v="1"/>
    <s v="Travel_Rarely"/>
    <n v="172"/>
    <x v="1"/>
    <n v="4"/>
    <n v="4"/>
    <s v="Life Sciences"/>
    <n v="1"/>
    <n v="1435"/>
    <x v="3"/>
    <s v="Male"/>
    <n v="37"/>
    <n v="2"/>
    <x v="0"/>
    <x v="2"/>
    <x v="0"/>
    <s v="Single"/>
    <n v="5810"/>
    <n v="22604"/>
    <n v="1"/>
    <s v="Y"/>
    <s v="No"/>
    <n v="16"/>
    <n v="3"/>
    <n v="3"/>
    <n v="80"/>
    <n v="0"/>
    <n v="10"/>
    <n v="2"/>
    <n v="2"/>
    <x v="1"/>
    <n v="4"/>
    <n v="1"/>
    <n v="8"/>
    <s v="36-45"/>
    <s v="Medium"/>
    <s v="6-10"/>
    <s v="Mid-Level"/>
    <s v="Standard"/>
    <s v="High"/>
    <x v="0"/>
  </r>
  <r>
    <n v="36"/>
    <x v="1"/>
    <s v="Travel_Rarely"/>
    <n v="329"/>
    <x v="0"/>
    <n v="16"/>
    <n v="4"/>
    <s v="Marketing"/>
    <n v="1"/>
    <n v="1436"/>
    <x v="1"/>
    <s v="Female"/>
    <n v="98"/>
    <n v="2"/>
    <x v="0"/>
    <x v="0"/>
    <x v="3"/>
    <s v="Married"/>
    <n v="5647"/>
    <n v="13494"/>
    <n v="4"/>
    <s v="Y"/>
    <s v="No"/>
    <n v="13"/>
    <n v="3"/>
    <n v="1"/>
    <n v="80"/>
    <n v="2"/>
    <n v="11"/>
    <n v="3"/>
    <n v="2"/>
    <x v="11"/>
    <n v="2"/>
    <n v="0"/>
    <n v="2"/>
    <s v="36-45"/>
    <s v="Medium"/>
    <s v="3-5"/>
    <s v="Mid-Level"/>
    <s v="Standard"/>
    <s v="Low"/>
    <x v="0"/>
  </r>
  <r>
    <n v="47"/>
    <x v="1"/>
    <s v="Travel_Rarely"/>
    <n v="465"/>
    <x v="1"/>
    <n v="1"/>
    <n v="3"/>
    <s v="Technical Degree"/>
    <n v="1"/>
    <n v="1438"/>
    <x v="3"/>
    <s v="Male"/>
    <n v="74"/>
    <n v="3"/>
    <x v="1"/>
    <x v="1"/>
    <x v="0"/>
    <s v="Married"/>
    <n v="3420"/>
    <n v="10205"/>
    <n v="7"/>
    <s v="Y"/>
    <s v="No"/>
    <n v="12"/>
    <n v="3"/>
    <n v="3"/>
    <n v="80"/>
    <n v="1"/>
    <n v="17"/>
    <n v="2"/>
    <n v="2"/>
    <x v="0"/>
    <n v="5"/>
    <n v="1"/>
    <n v="2"/>
    <s v="46-55"/>
    <s v="Medium"/>
    <s v="6-10"/>
    <s v="Senior"/>
    <s v="Standard"/>
    <s v="High"/>
    <x v="0"/>
  </r>
  <r>
    <n v="25"/>
    <x v="0"/>
    <s v="Travel_Rarely"/>
    <n v="383"/>
    <x v="0"/>
    <n v="9"/>
    <n v="2"/>
    <s v="Life Sciences"/>
    <n v="1"/>
    <n v="1439"/>
    <x v="3"/>
    <s v="Male"/>
    <n v="68"/>
    <n v="2"/>
    <x v="1"/>
    <x v="6"/>
    <x v="3"/>
    <s v="Married"/>
    <n v="4400"/>
    <n v="15182"/>
    <n v="3"/>
    <s v="Y"/>
    <s v="No"/>
    <n v="12"/>
    <n v="3"/>
    <n v="1"/>
    <n v="80"/>
    <n v="0"/>
    <n v="6"/>
    <n v="2"/>
    <n v="3"/>
    <x v="11"/>
    <n v="2"/>
    <n v="2"/>
    <n v="2"/>
    <s v="18-25"/>
    <s v="Medium"/>
    <s v="3-5"/>
    <s v="Mid-Level"/>
    <s v="Standard"/>
    <s v="Low"/>
    <x v="0"/>
  </r>
  <r>
    <n v="37"/>
    <x v="1"/>
    <s v="Non-Travel"/>
    <n v="1413"/>
    <x v="1"/>
    <n v="5"/>
    <n v="2"/>
    <s v="Technical Degree"/>
    <n v="1"/>
    <n v="1440"/>
    <x v="1"/>
    <s v="Male"/>
    <n v="84"/>
    <n v="4"/>
    <x v="1"/>
    <x v="2"/>
    <x v="2"/>
    <s v="Single"/>
    <n v="3500"/>
    <n v="25470"/>
    <n v="0"/>
    <s v="Y"/>
    <s v="No"/>
    <n v="14"/>
    <n v="3"/>
    <n v="1"/>
    <n v="80"/>
    <n v="0"/>
    <n v="7"/>
    <n v="2"/>
    <n v="1"/>
    <x v="0"/>
    <n v="5"/>
    <n v="1"/>
    <n v="3"/>
    <s v="36-45"/>
    <s v="Medium"/>
    <s v="6-10"/>
    <s v="Mid-Level"/>
    <s v="Standard"/>
    <s v="High"/>
    <x v="0"/>
  </r>
  <r>
    <n v="56"/>
    <x v="1"/>
    <s v="Travel_Rarely"/>
    <n v="1255"/>
    <x v="1"/>
    <n v="1"/>
    <n v="2"/>
    <s v="Life Sciences"/>
    <n v="1"/>
    <n v="1441"/>
    <x v="3"/>
    <s v="Female"/>
    <n v="90"/>
    <n v="3"/>
    <x v="1"/>
    <x v="1"/>
    <x v="3"/>
    <s v="Married"/>
    <n v="2066"/>
    <n v="10494"/>
    <n v="2"/>
    <s v="Y"/>
    <s v="No"/>
    <n v="22"/>
    <n v="4"/>
    <n v="4"/>
    <n v="80"/>
    <n v="1"/>
    <n v="5"/>
    <n v="3"/>
    <n v="4"/>
    <x v="11"/>
    <n v="2"/>
    <n v="1"/>
    <n v="0"/>
    <s v="56+"/>
    <s v="Low"/>
    <s v="3-5"/>
    <s v="Junior"/>
    <s v="Excellent"/>
    <s v="Low"/>
    <x v="0"/>
  </r>
  <r>
    <n v="47"/>
    <x v="1"/>
    <s v="Travel_Rarely"/>
    <n v="359"/>
    <x v="1"/>
    <n v="2"/>
    <n v="4"/>
    <s v="Medical"/>
    <n v="1"/>
    <n v="1443"/>
    <x v="3"/>
    <s v="Female"/>
    <n v="82"/>
    <n v="3"/>
    <x v="3"/>
    <x v="7"/>
    <x v="2"/>
    <s v="Married"/>
    <n v="17169"/>
    <n v="26703"/>
    <n v="3"/>
    <s v="Y"/>
    <s v="No"/>
    <n v="19"/>
    <n v="3"/>
    <n v="2"/>
    <n v="80"/>
    <n v="2"/>
    <n v="26"/>
    <n v="2"/>
    <n v="4"/>
    <x v="23"/>
    <n v="17"/>
    <n v="5"/>
    <n v="6"/>
    <s v="46-55"/>
    <s v="Very High"/>
    <s v="16+"/>
    <s v="Senior"/>
    <s v="Standard"/>
    <s v="High"/>
    <x v="0"/>
  </r>
  <r>
    <n v="24"/>
    <x v="1"/>
    <s v="Travel_Rarely"/>
    <n v="1476"/>
    <x v="0"/>
    <n v="4"/>
    <n v="1"/>
    <s v="Medical"/>
    <n v="1"/>
    <n v="1445"/>
    <x v="2"/>
    <s v="Female"/>
    <n v="42"/>
    <n v="3"/>
    <x v="0"/>
    <x v="0"/>
    <x v="2"/>
    <s v="Married"/>
    <n v="4162"/>
    <n v="15211"/>
    <n v="1"/>
    <s v="Y"/>
    <s v="Yes"/>
    <n v="12"/>
    <n v="3"/>
    <n v="3"/>
    <n v="80"/>
    <n v="2"/>
    <n v="5"/>
    <n v="3"/>
    <n v="3"/>
    <x v="8"/>
    <n v="4"/>
    <n v="0"/>
    <n v="3"/>
    <s v="18-25"/>
    <s v="Medium"/>
    <s v="3-5"/>
    <s v="Junior"/>
    <s v="Standard"/>
    <s v="High"/>
    <x v="0"/>
  </r>
  <r>
    <n v="32"/>
    <x v="1"/>
    <s v="Travel_Rarely"/>
    <n v="601"/>
    <x v="0"/>
    <n v="7"/>
    <n v="5"/>
    <s v="Marketing"/>
    <n v="1"/>
    <n v="1446"/>
    <x v="2"/>
    <s v="Male"/>
    <n v="97"/>
    <n v="3"/>
    <x v="0"/>
    <x v="0"/>
    <x v="0"/>
    <s v="Married"/>
    <n v="9204"/>
    <n v="23343"/>
    <n v="4"/>
    <s v="Y"/>
    <s v="No"/>
    <n v="12"/>
    <n v="3"/>
    <n v="3"/>
    <n v="80"/>
    <n v="1"/>
    <n v="7"/>
    <n v="3"/>
    <n v="2"/>
    <x v="9"/>
    <n v="3"/>
    <n v="0"/>
    <n v="3"/>
    <s v="26-35"/>
    <s v="High"/>
    <s v="3-5"/>
    <s v="Mid-Level"/>
    <s v="Standard"/>
    <s v="High"/>
    <x v="0"/>
  </r>
  <r>
    <n v="34"/>
    <x v="1"/>
    <s v="Travel_Rarely"/>
    <n v="401"/>
    <x v="1"/>
    <n v="1"/>
    <n v="3"/>
    <s v="Life Sciences"/>
    <n v="1"/>
    <n v="1447"/>
    <x v="2"/>
    <s v="Female"/>
    <n v="86"/>
    <n v="2"/>
    <x v="1"/>
    <x v="2"/>
    <x v="1"/>
    <s v="Married"/>
    <n v="3294"/>
    <n v="3708"/>
    <n v="5"/>
    <s v="Y"/>
    <s v="No"/>
    <n v="17"/>
    <n v="3"/>
    <n v="1"/>
    <n v="80"/>
    <n v="1"/>
    <n v="7"/>
    <n v="2"/>
    <n v="2"/>
    <x v="8"/>
    <n v="4"/>
    <n v="0"/>
    <n v="2"/>
    <s v="26-35"/>
    <s v="Medium"/>
    <s v="3-5"/>
    <s v="Mid-Level"/>
    <s v="Standard"/>
    <s v="Low"/>
    <x v="0"/>
  </r>
  <r>
    <n v="41"/>
    <x v="1"/>
    <s v="Travel_Rarely"/>
    <n v="1283"/>
    <x v="1"/>
    <n v="5"/>
    <n v="5"/>
    <s v="Medical"/>
    <n v="1"/>
    <n v="1448"/>
    <x v="0"/>
    <s v="Male"/>
    <n v="90"/>
    <n v="4"/>
    <x v="1"/>
    <x v="1"/>
    <x v="2"/>
    <s v="Married"/>
    <n v="2127"/>
    <n v="5561"/>
    <n v="2"/>
    <s v="Y"/>
    <s v="Yes"/>
    <n v="12"/>
    <n v="3"/>
    <n v="1"/>
    <n v="80"/>
    <n v="0"/>
    <n v="7"/>
    <n v="5"/>
    <n v="2"/>
    <x v="9"/>
    <n v="2"/>
    <n v="0"/>
    <n v="3"/>
    <s v="36-45"/>
    <s v="Low"/>
    <s v="3-5"/>
    <s v="Mid-Level"/>
    <s v="Standard"/>
    <s v="High"/>
    <x v="0"/>
  </r>
  <r>
    <n v="40"/>
    <x v="1"/>
    <s v="Non-Travel"/>
    <n v="663"/>
    <x v="1"/>
    <n v="9"/>
    <n v="4"/>
    <s v="Other"/>
    <n v="1"/>
    <n v="1449"/>
    <x v="1"/>
    <s v="Male"/>
    <n v="81"/>
    <n v="3"/>
    <x v="0"/>
    <x v="2"/>
    <x v="2"/>
    <s v="Divorced"/>
    <n v="3975"/>
    <n v="23099"/>
    <n v="3"/>
    <s v="Y"/>
    <s v="No"/>
    <n v="11"/>
    <n v="3"/>
    <n v="3"/>
    <n v="80"/>
    <n v="2"/>
    <n v="11"/>
    <n v="2"/>
    <n v="4"/>
    <x v="3"/>
    <n v="7"/>
    <n v="0"/>
    <n v="7"/>
    <s v="36-45"/>
    <s v="Medium"/>
    <s v="6-10"/>
    <s v="Mid-Level"/>
    <s v="Standard"/>
    <s v="High"/>
    <x v="0"/>
  </r>
  <r>
    <n v="31"/>
    <x v="1"/>
    <s v="Travel_Rarely"/>
    <n v="326"/>
    <x v="0"/>
    <n v="8"/>
    <n v="2"/>
    <s v="Life Sciences"/>
    <n v="1"/>
    <n v="1453"/>
    <x v="3"/>
    <s v="Male"/>
    <n v="31"/>
    <n v="3"/>
    <x v="2"/>
    <x v="0"/>
    <x v="0"/>
    <s v="Divorced"/>
    <n v="10793"/>
    <n v="8386"/>
    <n v="1"/>
    <s v="Y"/>
    <s v="No"/>
    <n v="18"/>
    <n v="3"/>
    <n v="1"/>
    <n v="80"/>
    <n v="1"/>
    <n v="13"/>
    <n v="5"/>
    <n v="3"/>
    <x v="20"/>
    <n v="7"/>
    <n v="9"/>
    <n v="9"/>
    <s v="26-35"/>
    <s v="Very High"/>
    <s v="11-15"/>
    <s v="Mid-Level"/>
    <s v="Standard"/>
    <s v="High"/>
    <x v="0"/>
  </r>
  <r>
    <n v="46"/>
    <x v="0"/>
    <s v="Travel_Rarely"/>
    <n v="377"/>
    <x v="0"/>
    <n v="9"/>
    <n v="3"/>
    <s v="Marketing"/>
    <n v="1"/>
    <n v="1457"/>
    <x v="3"/>
    <s v="Male"/>
    <n v="52"/>
    <n v="3"/>
    <x v="2"/>
    <x v="0"/>
    <x v="0"/>
    <s v="Divorced"/>
    <n v="10096"/>
    <n v="15986"/>
    <n v="4"/>
    <s v="Y"/>
    <s v="No"/>
    <n v="11"/>
    <n v="3"/>
    <n v="1"/>
    <n v="80"/>
    <n v="1"/>
    <n v="28"/>
    <n v="1"/>
    <n v="4"/>
    <x v="5"/>
    <n v="7"/>
    <n v="4"/>
    <n v="3"/>
    <s v="46-55"/>
    <s v="Very High"/>
    <s v="6-10"/>
    <s v="Senior"/>
    <s v="Standard"/>
    <s v="High"/>
    <x v="0"/>
  </r>
  <r>
    <n v="39"/>
    <x v="0"/>
    <s v="Non-Travel"/>
    <n v="592"/>
    <x v="1"/>
    <n v="2"/>
    <n v="3"/>
    <s v="Life Sciences"/>
    <n v="1"/>
    <n v="1458"/>
    <x v="3"/>
    <s v="Female"/>
    <n v="54"/>
    <n v="2"/>
    <x v="1"/>
    <x v="2"/>
    <x v="3"/>
    <s v="Single"/>
    <n v="3646"/>
    <n v="17181"/>
    <n v="2"/>
    <s v="Y"/>
    <s v="Yes"/>
    <n v="23"/>
    <n v="4"/>
    <n v="2"/>
    <n v="80"/>
    <n v="0"/>
    <n v="11"/>
    <n v="2"/>
    <n v="4"/>
    <x v="6"/>
    <n v="0"/>
    <n v="0"/>
    <n v="0"/>
    <s v="36-45"/>
    <s v="Medium"/>
    <s v="0-2"/>
    <s v="Mid-Level"/>
    <s v="Excellent"/>
    <s v="Low"/>
    <x v="1"/>
  </r>
  <r>
    <n v="31"/>
    <x v="0"/>
    <s v="Travel_Frequently"/>
    <n v="1445"/>
    <x v="1"/>
    <n v="1"/>
    <n v="5"/>
    <s v="Life Sciences"/>
    <n v="1"/>
    <n v="1459"/>
    <x v="1"/>
    <s v="Female"/>
    <n v="100"/>
    <n v="4"/>
    <x v="2"/>
    <x v="3"/>
    <x v="1"/>
    <s v="Single"/>
    <n v="7446"/>
    <n v="8931"/>
    <n v="1"/>
    <s v="Y"/>
    <s v="No"/>
    <n v="11"/>
    <n v="3"/>
    <n v="1"/>
    <n v="80"/>
    <n v="0"/>
    <n v="10"/>
    <n v="2"/>
    <n v="3"/>
    <x v="1"/>
    <n v="8"/>
    <n v="4"/>
    <n v="7"/>
    <s v="26-35"/>
    <s v="High"/>
    <s v="6-10"/>
    <s v="Mid-Level"/>
    <s v="Standard"/>
    <s v="Low"/>
    <x v="0"/>
  </r>
  <r>
    <n v="45"/>
    <x v="1"/>
    <s v="Travel_Rarely"/>
    <n v="1038"/>
    <x v="1"/>
    <n v="20"/>
    <n v="3"/>
    <s v="Medical"/>
    <n v="1"/>
    <n v="1460"/>
    <x v="0"/>
    <s v="Male"/>
    <n v="95"/>
    <n v="1"/>
    <x v="2"/>
    <x v="4"/>
    <x v="3"/>
    <s v="Divorced"/>
    <n v="10851"/>
    <n v="19863"/>
    <n v="2"/>
    <s v="Y"/>
    <s v="Yes"/>
    <n v="18"/>
    <n v="3"/>
    <n v="2"/>
    <n v="80"/>
    <n v="1"/>
    <n v="24"/>
    <n v="2"/>
    <n v="3"/>
    <x v="5"/>
    <n v="7"/>
    <n v="0"/>
    <n v="7"/>
    <s v="36-45"/>
    <s v="Very High"/>
    <s v="6-10"/>
    <s v="Senior"/>
    <s v="Standard"/>
    <s v="Low"/>
    <x v="0"/>
  </r>
  <r>
    <n v="31"/>
    <x v="1"/>
    <s v="Travel_Rarely"/>
    <n v="1398"/>
    <x v="2"/>
    <n v="8"/>
    <n v="2"/>
    <s v="Medical"/>
    <n v="1"/>
    <n v="1461"/>
    <x v="2"/>
    <s v="Female"/>
    <n v="96"/>
    <n v="4"/>
    <x v="1"/>
    <x v="8"/>
    <x v="1"/>
    <s v="Single"/>
    <n v="2109"/>
    <n v="24609"/>
    <n v="9"/>
    <s v="Y"/>
    <s v="No"/>
    <n v="18"/>
    <n v="3"/>
    <n v="4"/>
    <n v="80"/>
    <n v="0"/>
    <n v="8"/>
    <n v="3"/>
    <n v="3"/>
    <x v="11"/>
    <n v="2"/>
    <n v="0"/>
    <n v="2"/>
    <s v="26-35"/>
    <s v="Low"/>
    <s v="3-5"/>
    <s v="Mid-Level"/>
    <s v="Standard"/>
    <s v="Low"/>
    <x v="0"/>
  </r>
  <r>
    <n v="31"/>
    <x v="0"/>
    <s v="Travel_Frequently"/>
    <n v="523"/>
    <x v="1"/>
    <n v="2"/>
    <n v="3"/>
    <s v="Life Sciences"/>
    <n v="1"/>
    <n v="1464"/>
    <x v="0"/>
    <s v="Male"/>
    <n v="94"/>
    <n v="3"/>
    <x v="1"/>
    <x v="2"/>
    <x v="0"/>
    <s v="Married"/>
    <n v="3722"/>
    <n v="21081"/>
    <n v="6"/>
    <s v="Y"/>
    <s v="Yes"/>
    <n v="13"/>
    <n v="3"/>
    <n v="3"/>
    <n v="80"/>
    <n v="1"/>
    <n v="7"/>
    <n v="2"/>
    <n v="1"/>
    <x v="4"/>
    <n v="2"/>
    <n v="2"/>
    <n v="2"/>
    <s v="26-35"/>
    <s v="Medium"/>
    <s v="0-2"/>
    <s v="Mid-Level"/>
    <s v="Standard"/>
    <s v="High"/>
    <x v="0"/>
  </r>
  <r>
    <n v="45"/>
    <x v="1"/>
    <s v="Travel_Rarely"/>
    <n v="1448"/>
    <x v="1"/>
    <n v="29"/>
    <n v="3"/>
    <s v="Technical Degree"/>
    <n v="1"/>
    <n v="1465"/>
    <x v="0"/>
    <s v="Male"/>
    <n v="55"/>
    <n v="3"/>
    <x v="2"/>
    <x v="3"/>
    <x v="0"/>
    <s v="Married"/>
    <n v="9380"/>
    <n v="14720"/>
    <n v="4"/>
    <s v="Y"/>
    <s v="Yes"/>
    <n v="18"/>
    <n v="3"/>
    <n v="4"/>
    <n v="80"/>
    <n v="2"/>
    <n v="10"/>
    <n v="4"/>
    <n v="4"/>
    <x v="11"/>
    <n v="1"/>
    <n v="1"/>
    <n v="2"/>
    <s v="36-45"/>
    <s v="High"/>
    <s v="3-5"/>
    <s v="Mid-Level"/>
    <s v="Standard"/>
    <s v="High"/>
    <x v="0"/>
  </r>
  <r>
    <n v="48"/>
    <x v="1"/>
    <s v="Travel_Rarely"/>
    <n v="1221"/>
    <x v="0"/>
    <n v="7"/>
    <n v="3"/>
    <s v="Marketing"/>
    <n v="1"/>
    <n v="1466"/>
    <x v="1"/>
    <s v="Male"/>
    <n v="96"/>
    <n v="3"/>
    <x v="0"/>
    <x v="0"/>
    <x v="3"/>
    <s v="Divorced"/>
    <n v="5486"/>
    <n v="24795"/>
    <n v="4"/>
    <s v="Y"/>
    <s v="No"/>
    <n v="11"/>
    <n v="3"/>
    <n v="1"/>
    <n v="80"/>
    <n v="3"/>
    <n v="15"/>
    <n v="3"/>
    <n v="3"/>
    <x v="4"/>
    <n v="2"/>
    <n v="2"/>
    <n v="2"/>
    <s v="46-55"/>
    <s v="Medium"/>
    <s v="0-2"/>
    <s v="Mid-Level"/>
    <s v="Standard"/>
    <s v="Low"/>
    <x v="0"/>
  </r>
  <r>
    <n v="34"/>
    <x v="0"/>
    <s v="Travel_Rarely"/>
    <n v="1107"/>
    <x v="2"/>
    <n v="9"/>
    <n v="4"/>
    <s v="Technical Degree"/>
    <n v="1"/>
    <n v="1467"/>
    <x v="3"/>
    <s v="Female"/>
    <n v="52"/>
    <n v="3"/>
    <x v="1"/>
    <x v="8"/>
    <x v="2"/>
    <s v="Married"/>
    <n v="2742"/>
    <n v="3072"/>
    <n v="1"/>
    <s v="Y"/>
    <s v="No"/>
    <n v="15"/>
    <n v="3"/>
    <n v="4"/>
    <n v="80"/>
    <n v="0"/>
    <n v="2"/>
    <n v="0"/>
    <n v="3"/>
    <x v="4"/>
    <n v="2"/>
    <n v="2"/>
    <n v="2"/>
    <s v="26-35"/>
    <s v="Low"/>
    <s v="0-2"/>
    <s v="Junior"/>
    <s v="Standard"/>
    <s v="High"/>
    <x v="0"/>
  </r>
  <r>
    <n v="40"/>
    <x v="1"/>
    <s v="Non-Travel"/>
    <n v="218"/>
    <x v="1"/>
    <n v="8"/>
    <n v="1"/>
    <s v="Medical"/>
    <n v="1"/>
    <n v="1468"/>
    <x v="2"/>
    <s v="Male"/>
    <n v="55"/>
    <n v="2"/>
    <x v="2"/>
    <x v="7"/>
    <x v="1"/>
    <s v="Divorced"/>
    <n v="13757"/>
    <n v="25178"/>
    <n v="2"/>
    <s v="Y"/>
    <s v="No"/>
    <n v="11"/>
    <n v="3"/>
    <n v="3"/>
    <n v="80"/>
    <n v="1"/>
    <n v="16"/>
    <n v="5"/>
    <n v="3"/>
    <x v="7"/>
    <n v="8"/>
    <n v="4"/>
    <n v="8"/>
    <s v="36-45"/>
    <s v="Very High"/>
    <s v="6-10"/>
    <s v="Senior"/>
    <s v="Standard"/>
    <s v="Low"/>
    <x v="0"/>
  </r>
  <r>
    <n v="28"/>
    <x v="1"/>
    <s v="Travel_Rarely"/>
    <n v="866"/>
    <x v="0"/>
    <n v="5"/>
    <n v="3"/>
    <s v="Medical"/>
    <n v="1"/>
    <n v="1469"/>
    <x v="2"/>
    <s v="Male"/>
    <n v="84"/>
    <n v="3"/>
    <x v="0"/>
    <x v="0"/>
    <x v="3"/>
    <s v="Single"/>
    <n v="8463"/>
    <n v="23490"/>
    <n v="0"/>
    <s v="Y"/>
    <s v="No"/>
    <n v="18"/>
    <n v="3"/>
    <n v="4"/>
    <n v="80"/>
    <n v="0"/>
    <n v="6"/>
    <n v="4"/>
    <n v="3"/>
    <x v="8"/>
    <n v="4"/>
    <n v="1"/>
    <n v="3"/>
    <s v="26-35"/>
    <s v="High"/>
    <s v="3-5"/>
    <s v="Mid-Level"/>
    <s v="Standard"/>
    <s v="Low"/>
    <x v="0"/>
  </r>
  <r>
    <n v="44"/>
    <x v="1"/>
    <s v="Non-Travel"/>
    <n v="981"/>
    <x v="1"/>
    <n v="5"/>
    <n v="3"/>
    <s v="Life Sciences"/>
    <n v="1"/>
    <n v="1471"/>
    <x v="1"/>
    <s v="Male"/>
    <n v="90"/>
    <n v="2"/>
    <x v="1"/>
    <x v="2"/>
    <x v="2"/>
    <s v="Single"/>
    <n v="3162"/>
    <n v="7973"/>
    <n v="3"/>
    <s v="Y"/>
    <s v="No"/>
    <n v="14"/>
    <n v="3"/>
    <n v="4"/>
    <n v="80"/>
    <n v="0"/>
    <n v="7"/>
    <n v="5"/>
    <n v="3"/>
    <x v="8"/>
    <n v="2"/>
    <n v="0"/>
    <n v="3"/>
    <s v="36-45"/>
    <s v="Medium"/>
    <s v="3-5"/>
    <s v="Mid-Level"/>
    <s v="Standard"/>
    <s v="High"/>
    <x v="0"/>
  </r>
  <r>
    <n v="53"/>
    <x v="1"/>
    <s v="Travel_Rarely"/>
    <n v="447"/>
    <x v="1"/>
    <n v="2"/>
    <n v="3"/>
    <s v="Medical"/>
    <n v="1"/>
    <n v="1472"/>
    <x v="2"/>
    <s v="Male"/>
    <n v="39"/>
    <n v="4"/>
    <x v="3"/>
    <x v="7"/>
    <x v="1"/>
    <s v="Single"/>
    <n v="16598"/>
    <n v="19764"/>
    <n v="4"/>
    <s v="Y"/>
    <s v="No"/>
    <n v="12"/>
    <n v="3"/>
    <n v="2"/>
    <n v="80"/>
    <n v="0"/>
    <n v="35"/>
    <n v="2"/>
    <n v="2"/>
    <x v="7"/>
    <n v="8"/>
    <n v="8"/>
    <n v="8"/>
    <s v="46-55"/>
    <s v="Very High"/>
    <s v="6-10"/>
    <s v="Senior"/>
    <s v="Standard"/>
    <s v="Low"/>
    <x v="0"/>
  </r>
  <r>
    <n v="49"/>
    <x v="1"/>
    <s v="Travel_Rarely"/>
    <n v="1495"/>
    <x v="1"/>
    <n v="5"/>
    <n v="4"/>
    <s v="Technical Degree"/>
    <n v="1"/>
    <n v="1473"/>
    <x v="3"/>
    <s v="Male"/>
    <n v="96"/>
    <n v="3"/>
    <x v="0"/>
    <x v="4"/>
    <x v="2"/>
    <s v="Married"/>
    <n v="6651"/>
    <n v="21534"/>
    <n v="2"/>
    <s v="Y"/>
    <s v="No"/>
    <n v="14"/>
    <n v="3"/>
    <n v="2"/>
    <n v="80"/>
    <n v="1"/>
    <n v="20"/>
    <n v="0"/>
    <n v="2"/>
    <x v="11"/>
    <n v="2"/>
    <n v="1"/>
    <n v="2"/>
    <s v="46-55"/>
    <s v="High"/>
    <s v="3-5"/>
    <s v="Senior"/>
    <s v="Standard"/>
    <s v="High"/>
    <x v="0"/>
  </r>
  <r>
    <n v="40"/>
    <x v="1"/>
    <s v="Travel_Rarely"/>
    <n v="896"/>
    <x v="1"/>
    <n v="2"/>
    <n v="3"/>
    <s v="Medical"/>
    <n v="1"/>
    <n v="1474"/>
    <x v="1"/>
    <s v="Male"/>
    <n v="68"/>
    <n v="3"/>
    <x v="1"/>
    <x v="1"/>
    <x v="2"/>
    <s v="Divorced"/>
    <n v="2345"/>
    <n v="8045"/>
    <n v="2"/>
    <s v="Y"/>
    <s v="No"/>
    <n v="14"/>
    <n v="3"/>
    <n v="3"/>
    <n v="80"/>
    <n v="1"/>
    <n v="8"/>
    <n v="3"/>
    <n v="4"/>
    <x v="11"/>
    <n v="1"/>
    <n v="1"/>
    <n v="2"/>
    <s v="36-45"/>
    <s v="Low"/>
    <s v="3-5"/>
    <s v="Mid-Level"/>
    <s v="Standard"/>
    <s v="High"/>
    <x v="0"/>
  </r>
  <r>
    <n v="44"/>
    <x v="1"/>
    <s v="Travel_Rarely"/>
    <n v="1467"/>
    <x v="1"/>
    <n v="20"/>
    <n v="3"/>
    <s v="Life Sciences"/>
    <n v="1"/>
    <n v="1475"/>
    <x v="2"/>
    <s v="Male"/>
    <n v="49"/>
    <n v="3"/>
    <x v="1"/>
    <x v="1"/>
    <x v="1"/>
    <s v="Single"/>
    <n v="3420"/>
    <n v="21158"/>
    <n v="1"/>
    <s v="Y"/>
    <s v="No"/>
    <n v="13"/>
    <n v="3"/>
    <n v="3"/>
    <n v="80"/>
    <n v="0"/>
    <n v="6"/>
    <n v="3"/>
    <n v="2"/>
    <x v="8"/>
    <n v="2"/>
    <n v="1"/>
    <n v="3"/>
    <s v="36-45"/>
    <s v="Medium"/>
    <s v="3-5"/>
    <s v="Mid-Level"/>
    <s v="Standard"/>
    <s v="Low"/>
    <x v="0"/>
  </r>
  <r>
    <n v="33"/>
    <x v="1"/>
    <s v="Travel_Frequently"/>
    <n v="430"/>
    <x v="0"/>
    <n v="7"/>
    <n v="3"/>
    <s v="Medical"/>
    <n v="1"/>
    <n v="1477"/>
    <x v="2"/>
    <s v="Male"/>
    <n v="54"/>
    <n v="3"/>
    <x v="0"/>
    <x v="0"/>
    <x v="3"/>
    <s v="Married"/>
    <n v="4373"/>
    <n v="17456"/>
    <n v="0"/>
    <s v="Y"/>
    <s v="No"/>
    <n v="14"/>
    <n v="3"/>
    <n v="1"/>
    <n v="80"/>
    <n v="2"/>
    <n v="5"/>
    <n v="2"/>
    <n v="3"/>
    <x v="9"/>
    <n v="3"/>
    <n v="0"/>
    <n v="3"/>
    <s v="26-35"/>
    <s v="Medium"/>
    <s v="3-5"/>
    <s v="Junior"/>
    <s v="Standard"/>
    <s v="Low"/>
    <x v="0"/>
  </r>
  <r>
    <n v="34"/>
    <x v="1"/>
    <s v="Travel_Rarely"/>
    <n v="1326"/>
    <x v="0"/>
    <n v="3"/>
    <n v="3"/>
    <s v="Other"/>
    <n v="1"/>
    <n v="1478"/>
    <x v="2"/>
    <s v="Male"/>
    <n v="81"/>
    <n v="1"/>
    <x v="0"/>
    <x v="0"/>
    <x v="3"/>
    <s v="Single"/>
    <n v="4759"/>
    <n v="15891"/>
    <n v="3"/>
    <s v="Y"/>
    <s v="No"/>
    <n v="18"/>
    <n v="3"/>
    <n v="4"/>
    <n v="80"/>
    <n v="0"/>
    <n v="15"/>
    <n v="2"/>
    <n v="3"/>
    <x v="20"/>
    <n v="9"/>
    <n v="3"/>
    <n v="12"/>
    <s v="26-35"/>
    <s v="Medium"/>
    <s v="11-15"/>
    <s v="Mid-Level"/>
    <s v="Standard"/>
    <s v="Low"/>
    <x v="0"/>
  </r>
  <r>
    <n v="30"/>
    <x v="1"/>
    <s v="Travel_Rarely"/>
    <n v="1358"/>
    <x v="0"/>
    <n v="16"/>
    <n v="1"/>
    <s v="Life Sciences"/>
    <n v="1"/>
    <n v="1479"/>
    <x v="2"/>
    <s v="Male"/>
    <n v="96"/>
    <n v="3"/>
    <x v="0"/>
    <x v="0"/>
    <x v="2"/>
    <s v="Married"/>
    <n v="5301"/>
    <n v="2939"/>
    <n v="8"/>
    <s v="Y"/>
    <s v="No"/>
    <n v="15"/>
    <n v="3"/>
    <n v="3"/>
    <n v="80"/>
    <n v="2"/>
    <n v="4"/>
    <n v="2"/>
    <n v="2"/>
    <x v="4"/>
    <n v="1"/>
    <n v="2"/>
    <n v="2"/>
    <s v="26-35"/>
    <s v="Medium"/>
    <s v="0-2"/>
    <s v="Junior"/>
    <s v="Standard"/>
    <s v="High"/>
    <x v="0"/>
  </r>
  <r>
    <n v="42"/>
    <x v="1"/>
    <s v="Travel_Frequently"/>
    <n v="748"/>
    <x v="1"/>
    <n v="9"/>
    <n v="2"/>
    <s v="Medical"/>
    <n v="1"/>
    <n v="1480"/>
    <x v="3"/>
    <s v="Female"/>
    <n v="74"/>
    <n v="3"/>
    <x v="1"/>
    <x v="2"/>
    <x v="0"/>
    <s v="Single"/>
    <n v="3673"/>
    <n v="16458"/>
    <n v="1"/>
    <s v="Y"/>
    <s v="No"/>
    <n v="13"/>
    <n v="3"/>
    <n v="3"/>
    <n v="80"/>
    <n v="0"/>
    <n v="12"/>
    <n v="3"/>
    <n v="3"/>
    <x v="12"/>
    <n v="9"/>
    <n v="5"/>
    <n v="8"/>
    <s v="36-45"/>
    <s v="Medium"/>
    <s v="11-15"/>
    <s v="Mid-Level"/>
    <s v="Standard"/>
    <s v="High"/>
    <x v="0"/>
  </r>
  <r>
    <n v="44"/>
    <x v="1"/>
    <s v="Travel_Frequently"/>
    <n v="383"/>
    <x v="0"/>
    <n v="1"/>
    <n v="5"/>
    <s v="Marketing"/>
    <n v="1"/>
    <n v="1481"/>
    <x v="3"/>
    <s v="Female"/>
    <n v="79"/>
    <n v="3"/>
    <x v="0"/>
    <x v="0"/>
    <x v="2"/>
    <s v="Married"/>
    <n v="4768"/>
    <n v="9282"/>
    <n v="7"/>
    <s v="Y"/>
    <s v="No"/>
    <n v="12"/>
    <n v="3"/>
    <n v="3"/>
    <n v="80"/>
    <n v="1"/>
    <n v="11"/>
    <n v="4"/>
    <n v="2"/>
    <x v="6"/>
    <n v="0"/>
    <n v="0"/>
    <n v="0"/>
    <s v="36-45"/>
    <s v="Medium"/>
    <s v="0-2"/>
    <s v="Mid-Level"/>
    <s v="Standard"/>
    <s v="High"/>
    <x v="0"/>
  </r>
  <r>
    <n v="30"/>
    <x v="1"/>
    <s v="Non-Travel"/>
    <n v="990"/>
    <x v="1"/>
    <n v="7"/>
    <n v="3"/>
    <s v="Technical Degree"/>
    <n v="1"/>
    <n v="1482"/>
    <x v="1"/>
    <s v="Male"/>
    <n v="64"/>
    <n v="3"/>
    <x v="1"/>
    <x v="1"/>
    <x v="2"/>
    <s v="Divorced"/>
    <n v="1274"/>
    <n v="7152"/>
    <n v="1"/>
    <s v="Y"/>
    <s v="No"/>
    <n v="13"/>
    <n v="3"/>
    <n v="2"/>
    <n v="80"/>
    <n v="2"/>
    <n v="1"/>
    <n v="2"/>
    <n v="2"/>
    <x v="6"/>
    <n v="0"/>
    <n v="0"/>
    <n v="0"/>
    <s v="26-35"/>
    <s v="Low"/>
    <s v="0-2"/>
    <s v="Junior"/>
    <s v="Standard"/>
    <s v="High"/>
    <x v="0"/>
  </r>
  <r>
    <n v="57"/>
    <x v="1"/>
    <s v="Travel_Rarely"/>
    <n v="405"/>
    <x v="1"/>
    <n v="1"/>
    <n v="2"/>
    <s v="Life Sciences"/>
    <n v="1"/>
    <n v="1483"/>
    <x v="0"/>
    <s v="Male"/>
    <n v="93"/>
    <n v="4"/>
    <x v="0"/>
    <x v="1"/>
    <x v="2"/>
    <s v="Married"/>
    <n v="4900"/>
    <n v="2721"/>
    <n v="0"/>
    <s v="Y"/>
    <s v="No"/>
    <n v="24"/>
    <n v="4"/>
    <n v="1"/>
    <n v="80"/>
    <n v="1"/>
    <n v="13"/>
    <n v="2"/>
    <n v="2"/>
    <x v="12"/>
    <n v="9"/>
    <n v="2"/>
    <n v="8"/>
    <s v="56+"/>
    <s v="Medium"/>
    <s v="11-15"/>
    <s v="Mid-Level"/>
    <s v="Excellent"/>
    <s v="High"/>
    <x v="0"/>
  </r>
  <r>
    <n v="49"/>
    <x v="1"/>
    <s v="Travel_Rarely"/>
    <n v="1490"/>
    <x v="1"/>
    <n v="7"/>
    <n v="4"/>
    <s v="Life Sciences"/>
    <n v="1"/>
    <n v="1484"/>
    <x v="1"/>
    <s v="Male"/>
    <n v="35"/>
    <n v="3"/>
    <x v="2"/>
    <x v="4"/>
    <x v="1"/>
    <s v="Divorced"/>
    <n v="10466"/>
    <n v="20948"/>
    <n v="3"/>
    <s v="Y"/>
    <s v="No"/>
    <n v="14"/>
    <n v="3"/>
    <n v="2"/>
    <n v="80"/>
    <n v="2"/>
    <n v="29"/>
    <n v="3"/>
    <n v="3"/>
    <x v="3"/>
    <n v="7"/>
    <n v="0"/>
    <n v="7"/>
    <s v="46-55"/>
    <s v="Very High"/>
    <s v="6-10"/>
    <s v="Senior"/>
    <s v="Standard"/>
    <s v="Low"/>
    <x v="0"/>
  </r>
  <r>
    <n v="34"/>
    <x v="1"/>
    <s v="Travel_Frequently"/>
    <n v="829"/>
    <x v="1"/>
    <n v="15"/>
    <n v="3"/>
    <s v="Medical"/>
    <n v="1"/>
    <n v="1485"/>
    <x v="0"/>
    <s v="Male"/>
    <n v="71"/>
    <n v="3"/>
    <x v="3"/>
    <x v="7"/>
    <x v="3"/>
    <s v="Divorced"/>
    <n v="17007"/>
    <n v="11929"/>
    <n v="7"/>
    <s v="Y"/>
    <s v="No"/>
    <n v="14"/>
    <n v="3"/>
    <n v="4"/>
    <n v="80"/>
    <n v="2"/>
    <n v="16"/>
    <n v="3"/>
    <n v="2"/>
    <x v="13"/>
    <n v="8"/>
    <n v="6"/>
    <n v="9"/>
    <s v="26-35"/>
    <s v="Very High"/>
    <s v="11-15"/>
    <s v="Senior"/>
    <s v="Standard"/>
    <s v="Low"/>
    <x v="0"/>
  </r>
  <r>
    <n v="28"/>
    <x v="0"/>
    <s v="Travel_Frequently"/>
    <n v="1496"/>
    <x v="0"/>
    <n v="1"/>
    <n v="3"/>
    <s v="Technical Degree"/>
    <n v="1"/>
    <n v="1486"/>
    <x v="3"/>
    <s v="Male"/>
    <n v="92"/>
    <n v="3"/>
    <x v="1"/>
    <x v="6"/>
    <x v="2"/>
    <s v="Married"/>
    <n v="2909"/>
    <n v="15747"/>
    <n v="3"/>
    <s v="Y"/>
    <s v="No"/>
    <n v="15"/>
    <n v="3"/>
    <n v="4"/>
    <n v="80"/>
    <n v="1"/>
    <n v="5"/>
    <n v="3"/>
    <n v="4"/>
    <x v="11"/>
    <n v="2"/>
    <n v="1"/>
    <n v="2"/>
    <s v="26-35"/>
    <s v="Low"/>
    <s v="3-5"/>
    <s v="Junior"/>
    <s v="Standard"/>
    <s v="High"/>
    <x v="0"/>
  </r>
  <r>
    <n v="29"/>
    <x v="0"/>
    <s v="Travel_Frequently"/>
    <n v="115"/>
    <x v="0"/>
    <n v="13"/>
    <n v="3"/>
    <s v="Technical Degree"/>
    <n v="1"/>
    <n v="1487"/>
    <x v="3"/>
    <s v="Female"/>
    <n v="51"/>
    <n v="3"/>
    <x v="0"/>
    <x v="0"/>
    <x v="1"/>
    <s v="Single"/>
    <n v="5765"/>
    <n v="17485"/>
    <n v="5"/>
    <s v="Y"/>
    <s v="No"/>
    <n v="11"/>
    <n v="3"/>
    <n v="1"/>
    <n v="80"/>
    <n v="0"/>
    <n v="7"/>
    <n v="4"/>
    <n v="1"/>
    <x v="8"/>
    <n v="3"/>
    <n v="0"/>
    <n v="0"/>
    <s v="26-35"/>
    <s v="Medium"/>
    <s v="3-5"/>
    <s v="Mid-Level"/>
    <s v="Standard"/>
    <s v="Low"/>
    <x v="0"/>
  </r>
  <r>
    <n v="34"/>
    <x v="0"/>
    <s v="Travel_Rarely"/>
    <n v="790"/>
    <x v="0"/>
    <n v="24"/>
    <n v="4"/>
    <s v="Medical"/>
    <n v="1"/>
    <n v="1489"/>
    <x v="3"/>
    <s v="Female"/>
    <n v="40"/>
    <n v="2"/>
    <x v="0"/>
    <x v="0"/>
    <x v="1"/>
    <s v="Single"/>
    <n v="4599"/>
    <n v="7815"/>
    <n v="0"/>
    <s v="Y"/>
    <s v="Yes"/>
    <n v="23"/>
    <n v="4"/>
    <n v="3"/>
    <n v="80"/>
    <n v="0"/>
    <n v="16"/>
    <n v="2"/>
    <n v="4"/>
    <x v="15"/>
    <n v="9"/>
    <n v="10"/>
    <n v="10"/>
    <s v="26-35"/>
    <s v="Medium"/>
    <s v="11-15"/>
    <s v="Senior"/>
    <s v="Excellent"/>
    <s v="Low"/>
    <x v="0"/>
  </r>
  <r>
    <n v="35"/>
    <x v="1"/>
    <s v="Travel_Rarely"/>
    <n v="660"/>
    <x v="0"/>
    <n v="7"/>
    <n v="1"/>
    <s v="Life Sciences"/>
    <n v="1"/>
    <n v="1492"/>
    <x v="2"/>
    <s v="Male"/>
    <n v="76"/>
    <n v="3"/>
    <x v="1"/>
    <x v="6"/>
    <x v="2"/>
    <s v="Married"/>
    <n v="2404"/>
    <n v="16192"/>
    <n v="1"/>
    <s v="Y"/>
    <s v="No"/>
    <n v="13"/>
    <n v="3"/>
    <n v="1"/>
    <n v="80"/>
    <n v="1"/>
    <n v="1"/>
    <n v="3"/>
    <n v="3"/>
    <x v="6"/>
    <n v="0"/>
    <n v="0"/>
    <n v="0"/>
    <s v="26-35"/>
    <s v="Low"/>
    <s v="0-2"/>
    <s v="Junior"/>
    <s v="Standard"/>
    <s v="High"/>
    <x v="0"/>
  </r>
  <r>
    <n v="24"/>
    <x v="0"/>
    <s v="Travel_Frequently"/>
    <n v="381"/>
    <x v="1"/>
    <n v="9"/>
    <n v="3"/>
    <s v="Medical"/>
    <n v="1"/>
    <n v="1494"/>
    <x v="0"/>
    <s v="Male"/>
    <n v="89"/>
    <n v="3"/>
    <x v="1"/>
    <x v="2"/>
    <x v="3"/>
    <s v="Single"/>
    <n v="3172"/>
    <n v="16998"/>
    <n v="2"/>
    <s v="Y"/>
    <s v="Yes"/>
    <n v="11"/>
    <n v="3"/>
    <n v="3"/>
    <n v="80"/>
    <n v="0"/>
    <n v="4"/>
    <n v="2"/>
    <n v="2"/>
    <x v="2"/>
    <n v="0"/>
    <n v="0"/>
    <n v="0"/>
    <s v="18-25"/>
    <s v="Medium"/>
    <s v="0-2"/>
    <s v="Junior"/>
    <s v="Standard"/>
    <s v="Low"/>
    <x v="1"/>
  </r>
  <r>
    <n v="24"/>
    <x v="1"/>
    <s v="Non-Travel"/>
    <n v="830"/>
    <x v="0"/>
    <n v="13"/>
    <n v="2"/>
    <s v="Life Sciences"/>
    <n v="1"/>
    <n v="1495"/>
    <x v="2"/>
    <s v="Female"/>
    <n v="78"/>
    <n v="3"/>
    <x v="1"/>
    <x v="6"/>
    <x v="1"/>
    <s v="Married"/>
    <n v="2033"/>
    <n v="7103"/>
    <n v="1"/>
    <s v="Y"/>
    <s v="No"/>
    <n v="13"/>
    <n v="3"/>
    <n v="3"/>
    <n v="80"/>
    <n v="1"/>
    <n v="1"/>
    <n v="2"/>
    <n v="3"/>
    <x v="6"/>
    <n v="0"/>
    <n v="0"/>
    <n v="0"/>
    <s v="18-25"/>
    <s v="Low"/>
    <s v="0-2"/>
    <s v="Junior"/>
    <s v="Standard"/>
    <s v="Low"/>
    <x v="0"/>
  </r>
  <r>
    <n v="44"/>
    <x v="1"/>
    <s v="Travel_Frequently"/>
    <n v="1193"/>
    <x v="1"/>
    <n v="2"/>
    <n v="1"/>
    <s v="Medical"/>
    <n v="1"/>
    <n v="1496"/>
    <x v="0"/>
    <s v="Male"/>
    <n v="86"/>
    <n v="3"/>
    <x v="2"/>
    <x v="3"/>
    <x v="2"/>
    <s v="Single"/>
    <n v="10209"/>
    <n v="19719"/>
    <n v="5"/>
    <s v="Y"/>
    <s v="Yes"/>
    <n v="18"/>
    <n v="3"/>
    <n v="2"/>
    <n v="80"/>
    <n v="0"/>
    <n v="16"/>
    <n v="2"/>
    <n v="2"/>
    <x v="4"/>
    <n v="2"/>
    <n v="2"/>
    <n v="2"/>
    <s v="36-45"/>
    <s v="Very High"/>
    <s v="0-2"/>
    <s v="Senior"/>
    <s v="Standard"/>
    <s v="High"/>
    <x v="0"/>
  </r>
  <r>
    <n v="29"/>
    <x v="1"/>
    <s v="Travel_Rarely"/>
    <n v="1246"/>
    <x v="0"/>
    <n v="19"/>
    <n v="3"/>
    <s v="Life Sciences"/>
    <n v="1"/>
    <n v="1497"/>
    <x v="1"/>
    <s v="Male"/>
    <n v="77"/>
    <n v="2"/>
    <x v="0"/>
    <x v="0"/>
    <x v="2"/>
    <s v="Divorced"/>
    <n v="8620"/>
    <n v="23757"/>
    <n v="1"/>
    <s v="Y"/>
    <s v="No"/>
    <n v="14"/>
    <n v="3"/>
    <n v="3"/>
    <n v="80"/>
    <n v="2"/>
    <n v="10"/>
    <n v="3"/>
    <n v="3"/>
    <x v="1"/>
    <n v="7"/>
    <n v="0"/>
    <n v="4"/>
    <s v="26-35"/>
    <s v="High"/>
    <s v="6-10"/>
    <s v="Mid-Level"/>
    <s v="Standard"/>
    <s v="High"/>
    <x v="0"/>
  </r>
  <r>
    <n v="30"/>
    <x v="1"/>
    <s v="Travel_Rarely"/>
    <n v="330"/>
    <x v="2"/>
    <n v="1"/>
    <n v="3"/>
    <s v="Life Sciences"/>
    <n v="1"/>
    <n v="1499"/>
    <x v="1"/>
    <s v="Male"/>
    <n v="46"/>
    <n v="3"/>
    <x v="1"/>
    <x v="8"/>
    <x v="2"/>
    <s v="Divorced"/>
    <n v="2064"/>
    <n v="15428"/>
    <n v="0"/>
    <s v="Y"/>
    <s v="No"/>
    <n v="21"/>
    <n v="4"/>
    <n v="1"/>
    <n v="80"/>
    <n v="1"/>
    <n v="6"/>
    <n v="3"/>
    <n v="4"/>
    <x v="8"/>
    <n v="3"/>
    <n v="1"/>
    <n v="3"/>
    <s v="26-35"/>
    <s v="Low"/>
    <s v="3-5"/>
    <s v="Mid-Level"/>
    <s v="Excellent"/>
    <s v="High"/>
    <x v="0"/>
  </r>
  <r>
    <n v="55"/>
    <x v="1"/>
    <s v="Travel_Rarely"/>
    <n v="1229"/>
    <x v="1"/>
    <n v="4"/>
    <n v="4"/>
    <s v="Life Sciences"/>
    <n v="1"/>
    <n v="1501"/>
    <x v="2"/>
    <s v="Male"/>
    <n v="30"/>
    <n v="3"/>
    <x v="0"/>
    <x v="4"/>
    <x v="2"/>
    <s v="Married"/>
    <n v="4035"/>
    <n v="16143"/>
    <n v="0"/>
    <s v="Y"/>
    <s v="Yes"/>
    <n v="16"/>
    <n v="3"/>
    <n v="2"/>
    <n v="80"/>
    <n v="0"/>
    <n v="4"/>
    <n v="2"/>
    <n v="3"/>
    <x v="11"/>
    <n v="2"/>
    <n v="1"/>
    <n v="2"/>
    <s v="46-55"/>
    <s v="Medium"/>
    <s v="3-5"/>
    <s v="Junior"/>
    <s v="Standard"/>
    <s v="High"/>
    <x v="0"/>
  </r>
  <r>
    <n v="33"/>
    <x v="1"/>
    <s v="Travel_Rarely"/>
    <n v="1099"/>
    <x v="1"/>
    <n v="4"/>
    <n v="4"/>
    <s v="Medical"/>
    <n v="1"/>
    <n v="1502"/>
    <x v="3"/>
    <s v="Female"/>
    <n v="82"/>
    <n v="2"/>
    <x v="1"/>
    <x v="2"/>
    <x v="1"/>
    <s v="Married"/>
    <n v="3838"/>
    <n v="8192"/>
    <n v="8"/>
    <s v="Y"/>
    <s v="No"/>
    <n v="11"/>
    <n v="3"/>
    <n v="4"/>
    <n v="80"/>
    <n v="0"/>
    <n v="8"/>
    <n v="5"/>
    <n v="3"/>
    <x v="8"/>
    <n v="4"/>
    <n v="0"/>
    <n v="2"/>
    <s v="26-35"/>
    <s v="Medium"/>
    <s v="3-5"/>
    <s v="Mid-Level"/>
    <s v="Standard"/>
    <s v="Low"/>
    <x v="0"/>
  </r>
  <r>
    <n v="47"/>
    <x v="1"/>
    <s v="Travel_Rarely"/>
    <n v="571"/>
    <x v="0"/>
    <n v="14"/>
    <n v="3"/>
    <s v="Medical"/>
    <n v="1"/>
    <n v="1503"/>
    <x v="1"/>
    <s v="Female"/>
    <n v="78"/>
    <n v="3"/>
    <x v="0"/>
    <x v="0"/>
    <x v="2"/>
    <s v="Married"/>
    <n v="4591"/>
    <n v="24200"/>
    <n v="3"/>
    <s v="Y"/>
    <s v="Yes"/>
    <n v="17"/>
    <n v="3"/>
    <n v="3"/>
    <n v="80"/>
    <n v="1"/>
    <n v="11"/>
    <n v="4"/>
    <n v="2"/>
    <x v="8"/>
    <n v="4"/>
    <n v="1"/>
    <n v="2"/>
    <s v="46-55"/>
    <s v="Medium"/>
    <s v="3-5"/>
    <s v="Mid-Level"/>
    <s v="Standard"/>
    <s v="High"/>
    <x v="0"/>
  </r>
  <r>
    <n v="28"/>
    <x v="0"/>
    <s v="Travel_Frequently"/>
    <n v="289"/>
    <x v="1"/>
    <n v="2"/>
    <n v="2"/>
    <s v="Medical"/>
    <n v="1"/>
    <n v="1504"/>
    <x v="1"/>
    <s v="Male"/>
    <n v="38"/>
    <n v="2"/>
    <x v="1"/>
    <x v="2"/>
    <x v="3"/>
    <s v="Single"/>
    <n v="2561"/>
    <n v="5355"/>
    <n v="7"/>
    <s v="Y"/>
    <s v="No"/>
    <n v="11"/>
    <n v="3"/>
    <n v="3"/>
    <n v="80"/>
    <n v="0"/>
    <n v="8"/>
    <n v="2"/>
    <n v="2"/>
    <x v="2"/>
    <n v="0"/>
    <n v="0"/>
    <n v="0"/>
    <s v="26-35"/>
    <s v="Low"/>
    <s v="0-2"/>
    <s v="Mid-Level"/>
    <s v="Standard"/>
    <s v="Low"/>
    <x v="0"/>
  </r>
  <r>
    <n v="28"/>
    <x v="1"/>
    <s v="Travel_Rarely"/>
    <n v="1423"/>
    <x v="1"/>
    <n v="1"/>
    <n v="3"/>
    <s v="Life Sciences"/>
    <n v="1"/>
    <n v="1506"/>
    <x v="3"/>
    <s v="Male"/>
    <n v="72"/>
    <n v="2"/>
    <x v="1"/>
    <x v="1"/>
    <x v="2"/>
    <s v="Divorced"/>
    <n v="1563"/>
    <n v="12530"/>
    <n v="1"/>
    <s v="Y"/>
    <s v="No"/>
    <n v="14"/>
    <n v="3"/>
    <n v="4"/>
    <n v="80"/>
    <n v="1"/>
    <n v="1"/>
    <n v="2"/>
    <n v="1"/>
    <x v="6"/>
    <n v="0"/>
    <n v="0"/>
    <n v="0"/>
    <s v="26-35"/>
    <s v="Low"/>
    <s v="0-2"/>
    <s v="Junior"/>
    <s v="Standard"/>
    <s v="High"/>
    <x v="0"/>
  </r>
  <r>
    <n v="28"/>
    <x v="1"/>
    <s v="Travel_Frequently"/>
    <n v="467"/>
    <x v="0"/>
    <n v="7"/>
    <n v="3"/>
    <s v="Life Sciences"/>
    <n v="1"/>
    <n v="1507"/>
    <x v="1"/>
    <s v="Male"/>
    <n v="55"/>
    <n v="3"/>
    <x v="0"/>
    <x v="0"/>
    <x v="3"/>
    <s v="Single"/>
    <n v="4898"/>
    <n v="11827"/>
    <n v="0"/>
    <s v="Y"/>
    <s v="No"/>
    <n v="14"/>
    <n v="3"/>
    <n v="4"/>
    <n v="80"/>
    <n v="0"/>
    <n v="5"/>
    <n v="5"/>
    <n v="3"/>
    <x v="9"/>
    <n v="2"/>
    <n v="1"/>
    <n v="3"/>
    <s v="26-35"/>
    <s v="Medium"/>
    <s v="3-5"/>
    <s v="Junior"/>
    <s v="Standard"/>
    <s v="Low"/>
    <x v="0"/>
  </r>
  <r>
    <n v="49"/>
    <x v="1"/>
    <s v="Travel_Rarely"/>
    <n v="271"/>
    <x v="1"/>
    <n v="3"/>
    <n v="2"/>
    <s v="Medical"/>
    <n v="1"/>
    <n v="1509"/>
    <x v="1"/>
    <s v="Female"/>
    <n v="43"/>
    <n v="2"/>
    <x v="0"/>
    <x v="2"/>
    <x v="3"/>
    <s v="Married"/>
    <n v="4789"/>
    <n v="23070"/>
    <n v="4"/>
    <s v="Y"/>
    <s v="No"/>
    <n v="25"/>
    <n v="4"/>
    <n v="1"/>
    <n v="80"/>
    <n v="1"/>
    <n v="10"/>
    <n v="3"/>
    <n v="3"/>
    <x v="11"/>
    <n v="2"/>
    <n v="1"/>
    <n v="2"/>
    <s v="46-55"/>
    <s v="Medium"/>
    <s v="3-5"/>
    <s v="Mid-Level"/>
    <s v="Excellent"/>
    <s v="Low"/>
    <x v="0"/>
  </r>
  <r>
    <n v="29"/>
    <x v="1"/>
    <s v="Travel_Frequently"/>
    <n v="410"/>
    <x v="1"/>
    <n v="2"/>
    <n v="1"/>
    <s v="Life Sciences"/>
    <n v="1"/>
    <n v="1513"/>
    <x v="2"/>
    <s v="Female"/>
    <n v="97"/>
    <n v="3"/>
    <x v="1"/>
    <x v="2"/>
    <x v="1"/>
    <s v="Married"/>
    <n v="3180"/>
    <n v="4668"/>
    <n v="0"/>
    <s v="Y"/>
    <s v="No"/>
    <n v="13"/>
    <n v="3"/>
    <n v="3"/>
    <n v="80"/>
    <n v="3"/>
    <n v="4"/>
    <n v="3"/>
    <n v="3"/>
    <x v="11"/>
    <n v="2"/>
    <n v="0"/>
    <n v="2"/>
    <s v="26-35"/>
    <s v="Medium"/>
    <s v="3-5"/>
    <s v="Junior"/>
    <s v="Standard"/>
    <s v="Low"/>
    <x v="0"/>
  </r>
  <r>
    <n v="28"/>
    <x v="1"/>
    <s v="Travel_Rarely"/>
    <n v="1083"/>
    <x v="1"/>
    <n v="29"/>
    <n v="1"/>
    <s v="Life Sciences"/>
    <n v="1"/>
    <n v="1514"/>
    <x v="1"/>
    <s v="Male"/>
    <n v="96"/>
    <n v="1"/>
    <x v="0"/>
    <x v="3"/>
    <x v="1"/>
    <s v="Married"/>
    <n v="6549"/>
    <n v="3173"/>
    <n v="1"/>
    <s v="Y"/>
    <s v="No"/>
    <n v="14"/>
    <n v="3"/>
    <n v="2"/>
    <n v="80"/>
    <n v="2"/>
    <n v="8"/>
    <n v="2"/>
    <n v="2"/>
    <x v="3"/>
    <n v="6"/>
    <n v="1"/>
    <n v="7"/>
    <s v="26-35"/>
    <s v="High"/>
    <s v="6-10"/>
    <s v="Mid-Level"/>
    <s v="Standard"/>
    <s v="Low"/>
    <x v="0"/>
  </r>
  <r>
    <n v="33"/>
    <x v="1"/>
    <s v="Travel_Rarely"/>
    <n v="516"/>
    <x v="1"/>
    <n v="8"/>
    <n v="5"/>
    <s v="Life Sciences"/>
    <n v="1"/>
    <n v="1515"/>
    <x v="2"/>
    <s v="Male"/>
    <n v="69"/>
    <n v="3"/>
    <x v="0"/>
    <x v="4"/>
    <x v="2"/>
    <s v="Single"/>
    <n v="6388"/>
    <n v="22049"/>
    <n v="2"/>
    <s v="Y"/>
    <s v="Yes"/>
    <n v="17"/>
    <n v="3"/>
    <n v="1"/>
    <n v="80"/>
    <n v="0"/>
    <n v="14"/>
    <n v="6"/>
    <n v="3"/>
    <x v="2"/>
    <n v="0"/>
    <n v="0"/>
    <n v="0"/>
    <s v="26-35"/>
    <s v="High"/>
    <s v="0-2"/>
    <s v="Mid-Level"/>
    <s v="Standard"/>
    <s v="High"/>
    <x v="0"/>
  </r>
  <r>
    <n v="32"/>
    <x v="1"/>
    <s v="Travel_Rarely"/>
    <n v="495"/>
    <x v="1"/>
    <n v="10"/>
    <n v="3"/>
    <s v="Medical"/>
    <n v="1"/>
    <n v="1516"/>
    <x v="1"/>
    <s v="Male"/>
    <n v="64"/>
    <n v="3"/>
    <x v="2"/>
    <x v="5"/>
    <x v="0"/>
    <s v="Single"/>
    <n v="11244"/>
    <n v="21072"/>
    <n v="2"/>
    <s v="Y"/>
    <s v="No"/>
    <n v="25"/>
    <n v="4"/>
    <n v="2"/>
    <n v="80"/>
    <n v="0"/>
    <n v="10"/>
    <n v="5"/>
    <n v="4"/>
    <x v="8"/>
    <n v="2"/>
    <n v="0"/>
    <n v="0"/>
    <s v="26-35"/>
    <s v="Very High"/>
    <s v="3-5"/>
    <s v="Mid-Level"/>
    <s v="Excellent"/>
    <s v="High"/>
    <x v="0"/>
  </r>
  <r>
    <n v="54"/>
    <x v="1"/>
    <s v="Travel_Frequently"/>
    <n v="1050"/>
    <x v="1"/>
    <n v="11"/>
    <n v="4"/>
    <s v="Medical"/>
    <n v="1"/>
    <n v="1520"/>
    <x v="0"/>
    <s v="Female"/>
    <n v="87"/>
    <n v="3"/>
    <x v="3"/>
    <x v="5"/>
    <x v="0"/>
    <s v="Divorced"/>
    <n v="16032"/>
    <n v="24456"/>
    <n v="3"/>
    <s v="Y"/>
    <s v="No"/>
    <n v="20"/>
    <n v="4"/>
    <n v="1"/>
    <n v="80"/>
    <n v="1"/>
    <n v="26"/>
    <n v="2"/>
    <n v="3"/>
    <x v="13"/>
    <n v="9"/>
    <n v="1"/>
    <n v="12"/>
    <s v="46-55"/>
    <s v="Very High"/>
    <s v="11-15"/>
    <s v="Senior"/>
    <s v="Excellent"/>
    <s v="High"/>
    <x v="0"/>
  </r>
  <r>
    <n v="29"/>
    <x v="0"/>
    <s v="Travel_Rarely"/>
    <n v="224"/>
    <x v="1"/>
    <n v="1"/>
    <n v="4"/>
    <s v="Technical Degree"/>
    <n v="1"/>
    <n v="1522"/>
    <x v="3"/>
    <s v="Male"/>
    <n v="100"/>
    <n v="2"/>
    <x v="1"/>
    <x v="1"/>
    <x v="3"/>
    <s v="Single"/>
    <n v="2362"/>
    <n v="7568"/>
    <n v="6"/>
    <s v="Y"/>
    <s v="No"/>
    <n v="13"/>
    <n v="3"/>
    <n v="3"/>
    <n v="80"/>
    <n v="0"/>
    <n v="11"/>
    <n v="2"/>
    <n v="1"/>
    <x v="7"/>
    <n v="7"/>
    <n v="0"/>
    <n v="7"/>
    <s v="26-35"/>
    <s v="Low"/>
    <s v="6-10"/>
    <s v="Mid-Level"/>
    <s v="Standard"/>
    <s v="Low"/>
    <x v="0"/>
  </r>
  <r>
    <n v="44"/>
    <x v="1"/>
    <s v="Travel_Rarely"/>
    <n v="136"/>
    <x v="1"/>
    <n v="28"/>
    <n v="3"/>
    <s v="Life Sciences"/>
    <n v="1"/>
    <n v="1523"/>
    <x v="2"/>
    <s v="Male"/>
    <n v="32"/>
    <n v="3"/>
    <x v="3"/>
    <x v="7"/>
    <x v="3"/>
    <s v="Married"/>
    <n v="16328"/>
    <n v="22074"/>
    <n v="3"/>
    <s v="Y"/>
    <s v="No"/>
    <n v="13"/>
    <n v="3"/>
    <n v="3"/>
    <n v="80"/>
    <n v="1"/>
    <n v="24"/>
    <n v="1"/>
    <n v="4"/>
    <x v="23"/>
    <n v="6"/>
    <n v="14"/>
    <n v="17"/>
    <s v="36-45"/>
    <s v="Very High"/>
    <s v="16+"/>
    <s v="Senior"/>
    <s v="Standard"/>
    <s v="Low"/>
    <x v="0"/>
  </r>
  <r>
    <n v="39"/>
    <x v="1"/>
    <s v="Travel_Rarely"/>
    <n v="1089"/>
    <x v="1"/>
    <n v="6"/>
    <n v="3"/>
    <s v="Life Sciences"/>
    <n v="1"/>
    <n v="1525"/>
    <x v="0"/>
    <s v="Female"/>
    <n v="32"/>
    <n v="3"/>
    <x v="2"/>
    <x v="3"/>
    <x v="1"/>
    <s v="Single"/>
    <n v="8376"/>
    <n v="9150"/>
    <n v="4"/>
    <s v="Y"/>
    <s v="No"/>
    <n v="18"/>
    <n v="3"/>
    <n v="4"/>
    <n v="80"/>
    <n v="0"/>
    <n v="9"/>
    <n v="3"/>
    <n v="3"/>
    <x v="4"/>
    <n v="0"/>
    <n v="2"/>
    <n v="2"/>
    <s v="36-45"/>
    <s v="High"/>
    <s v="0-2"/>
    <s v="Mid-Level"/>
    <s v="Standard"/>
    <s v="Low"/>
    <x v="0"/>
  </r>
  <r>
    <n v="46"/>
    <x v="1"/>
    <s v="Travel_Rarely"/>
    <n v="228"/>
    <x v="0"/>
    <n v="3"/>
    <n v="3"/>
    <s v="Life Sciences"/>
    <n v="1"/>
    <n v="1527"/>
    <x v="1"/>
    <s v="Female"/>
    <n v="51"/>
    <n v="3"/>
    <x v="3"/>
    <x v="5"/>
    <x v="1"/>
    <s v="Married"/>
    <n v="16606"/>
    <n v="11380"/>
    <n v="8"/>
    <s v="Y"/>
    <s v="No"/>
    <n v="12"/>
    <n v="3"/>
    <n v="4"/>
    <n v="80"/>
    <n v="1"/>
    <n v="23"/>
    <n v="2"/>
    <n v="4"/>
    <x v="20"/>
    <n v="12"/>
    <n v="5"/>
    <n v="1"/>
    <s v="46-55"/>
    <s v="Very High"/>
    <s v="11-15"/>
    <s v="Senior"/>
    <s v="Standard"/>
    <s v="Low"/>
    <x v="0"/>
  </r>
  <r>
    <n v="35"/>
    <x v="1"/>
    <s v="Travel_Rarely"/>
    <n v="1029"/>
    <x v="1"/>
    <n v="16"/>
    <n v="3"/>
    <s v="Life Sciences"/>
    <n v="1"/>
    <n v="1529"/>
    <x v="2"/>
    <s v="Female"/>
    <n v="91"/>
    <n v="2"/>
    <x v="2"/>
    <x v="4"/>
    <x v="1"/>
    <s v="Single"/>
    <n v="8606"/>
    <n v="21195"/>
    <n v="1"/>
    <s v="Y"/>
    <s v="No"/>
    <n v="19"/>
    <n v="3"/>
    <n v="4"/>
    <n v="80"/>
    <n v="0"/>
    <n v="11"/>
    <n v="3"/>
    <n v="1"/>
    <x v="19"/>
    <n v="8"/>
    <n v="3"/>
    <n v="3"/>
    <s v="26-35"/>
    <s v="High"/>
    <s v="11-15"/>
    <s v="Mid-Level"/>
    <s v="Standard"/>
    <s v="Low"/>
    <x v="0"/>
  </r>
  <r>
    <n v="23"/>
    <x v="1"/>
    <s v="Travel_Rarely"/>
    <n v="507"/>
    <x v="1"/>
    <n v="20"/>
    <n v="1"/>
    <s v="Life Sciences"/>
    <n v="1"/>
    <n v="1533"/>
    <x v="3"/>
    <s v="Male"/>
    <n v="97"/>
    <n v="3"/>
    <x v="0"/>
    <x v="2"/>
    <x v="2"/>
    <s v="Single"/>
    <n v="2272"/>
    <n v="24812"/>
    <n v="0"/>
    <s v="Y"/>
    <s v="No"/>
    <n v="14"/>
    <n v="3"/>
    <n v="2"/>
    <n v="80"/>
    <n v="0"/>
    <n v="5"/>
    <n v="2"/>
    <n v="3"/>
    <x v="9"/>
    <n v="3"/>
    <n v="1"/>
    <n v="2"/>
    <s v="18-25"/>
    <s v="Low"/>
    <s v="3-5"/>
    <s v="Junior"/>
    <s v="Standard"/>
    <s v="High"/>
    <x v="0"/>
  </r>
  <r>
    <n v="40"/>
    <x v="0"/>
    <s v="Travel_Rarely"/>
    <n v="676"/>
    <x v="1"/>
    <n v="9"/>
    <n v="4"/>
    <s v="Life Sciences"/>
    <n v="1"/>
    <n v="1534"/>
    <x v="2"/>
    <s v="Male"/>
    <n v="86"/>
    <n v="3"/>
    <x v="1"/>
    <x v="2"/>
    <x v="3"/>
    <s v="Single"/>
    <n v="2018"/>
    <n v="21831"/>
    <n v="3"/>
    <s v="Y"/>
    <s v="No"/>
    <n v="14"/>
    <n v="3"/>
    <n v="2"/>
    <n v="80"/>
    <n v="0"/>
    <n v="15"/>
    <n v="3"/>
    <n v="1"/>
    <x v="8"/>
    <n v="4"/>
    <n v="1"/>
    <n v="0"/>
    <s v="36-45"/>
    <s v="Low"/>
    <s v="3-5"/>
    <s v="Mid-Level"/>
    <s v="Standard"/>
    <s v="Low"/>
    <x v="0"/>
  </r>
  <r>
    <n v="34"/>
    <x v="1"/>
    <s v="Travel_Rarely"/>
    <n v="971"/>
    <x v="0"/>
    <n v="1"/>
    <n v="3"/>
    <s v="Technical Degree"/>
    <n v="1"/>
    <n v="1535"/>
    <x v="2"/>
    <s v="Male"/>
    <n v="64"/>
    <n v="2"/>
    <x v="2"/>
    <x v="0"/>
    <x v="2"/>
    <s v="Married"/>
    <n v="7083"/>
    <n v="12288"/>
    <n v="1"/>
    <s v="Y"/>
    <s v="Yes"/>
    <n v="14"/>
    <n v="3"/>
    <n v="4"/>
    <n v="80"/>
    <n v="0"/>
    <n v="10"/>
    <n v="3"/>
    <n v="3"/>
    <x v="1"/>
    <n v="9"/>
    <n v="8"/>
    <n v="6"/>
    <s v="26-35"/>
    <s v="High"/>
    <s v="6-10"/>
    <s v="Mid-Level"/>
    <s v="Standard"/>
    <s v="High"/>
    <x v="0"/>
  </r>
  <r>
    <n v="31"/>
    <x v="0"/>
    <s v="Travel_Frequently"/>
    <n v="561"/>
    <x v="1"/>
    <n v="3"/>
    <n v="3"/>
    <s v="Life Sciences"/>
    <n v="1"/>
    <n v="1537"/>
    <x v="2"/>
    <s v="Female"/>
    <n v="33"/>
    <n v="3"/>
    <x v="1"/>
    <x v="1"/>
    <x v="2"/>
    <s v="Single"/>
    <n v="4084"/>
    <n v="4156"/>
    <n v="1"/>
    <s v="Y"/>
    <s v="No"/>
    <n v="12"/>
    <n v="3"/>
    <n v="1"/>
    <n v="80"/>
    <n v="0"/>
    <n v="7"/>
    <n v="2"/>
    <n v="1"/>
    <x v="5"/>
    <n v="2"/>
    <n v="7"/>
    <n v="7"/>
    <s v="26-35"/>
    <s v="Medium"/>
    <s v="6-10"/>
    <s v="Mid-Level"/>
    <s v="Standard"/>
    <s v="High"/>
    <x v="0"/>
  </r>
  <r>
    <n v="50"/>
    <x v="1"/>
    <s v="Travel_Frequently"/>
    <n v="333"/>
    <x v="1"/>
    <n v="22"/>
    <n v="5"/>
    <s v="Medical"/>
    <n v="1"/>
    <n v="1539"/>
    <x v="1"/>
    <s v="Male"/>
    <n v="88"/>
    <n v="1"/>
    <x v="3"/>
    <x v="7"/>
    <x v="0"/>
    <s v="Single"/>
    <n v="14411"/>
    <n v="24450"/>
    <n v="1"/>
    <s v="Y"/>
    <s v="Yes"/>
    <n v="13"/>
    <n v="3"/>
    <n v="4"/>
    <n v="80"/>
    <n v="0"/>
    <n v="32"/>
    <n v="2"/>
    <n v="3"/>
    <x v="32"/>
    <n v="6"/>
    <n v="13"/>
    <n v="9"/>
    <s v="46-55"/>
    <s v="Very High"/>
    <s v="16+"/>
    <s v="Senior"/>
    <s v="Standard"/>
    <s v="High"/>
    <x v="0"/>
  </r>
  <r>
    <n v="34"/>
    <x v="1"/>
    <s v="Travel_Rarely"/>
    <n v="1440"/>
    <x v="0"/>
    <n v="7"/>
    <n v="2"/>
    <s v="Technical Degree"/>
    <n v="1"/>
    <n v="1541"/>
    <x v="0"/>
    <s v="Male"/>
    <n v="55"/>
    <n v="3"/>
    <x v="1"/>
    <x v="6"/>
    <x v="2"/>
    <s v="Married"/>
    <n v="2308"/>
    <n v="4944"/>
    <n v="0"/>
    <s v="Y"/>
    <s v="Yes"/>
    <n v="25"/>
    <n v="4"/>
    <n v="2"/>
    <n v="80"/>
    <n v="1"/>
    <n v="12"/>
    <n v="4"/>
    <n v="3"/>
    <x v="19"/>
    <n v="10"/>
    <n v="5"/>
    <n v="7"/>
    <s v="26-35"/>
    <s v="Low"/>
    <s v="11-15"/>
    <s v="Mid-Level"/>
    <s v="Excellent"/>
    <s v="High"/>
    <x v="0"/>
  </r>
  <r>
    <n v="42"/>
    <x v="1"/>
    <s v="Travel_Rarely"/>
    <n v="1210"/>
    <x v="1"/>
    <n v="2"/>
    <n v="3"/>
    <s v="Medical"/>
    <n v="1"/>
    <n v="1542"/>
    <x v="1"/>
    <s v="Male"/>
    <n v="68"/>
    <n v="2"/>
    <x v="1"/>
    <x v="2"/>
    <x v="1"/>
    <s v="Married"/>
    <n v="4841"/>
    <n v="24052"/>
    <n v="4"/>
    <s v="Y"/>
    <s v="No"/>
    <n v="14"/>
    <n v="3"/>
    <n v="2"/>
    <n v="80"/>
    <n v="1"/>
    <n v="4"/>
    <n v="3"/>
    <n v="3"/>
    <x v="6"/>
    <n v="0"/>
    <n v="0"/>
    <n v="0"/>
    <s v="36-45"/>
    <s v="Medium"/>
    <s v="0-2"/>
    <s v="Junior"/>
    <s v="Standard"/>
    <s v="Low"/>
    <x v="0"/>
  </r>
  <r>
    <n v="37"/>
    <x v="1"/>
    <s v="Travel_Rarely"/>
    <n v="674"/>
    <x v="1"/>
    <n v="13"/>
    <n v="3"/>
    <s v="Medical"/>
    <n v="1"/>
    <n v="1543"/>
    <x v="3"/>
    <s v="Male"/>
    <n v="47"/>
    <n v="3"/>
    <x v="0"/>
    <x v="1"/>
    <x v="0"/>
    <s v="Married"/>
    <n v="4285"/>
    <n v="3031"/>
    <n v="1"/>
    <s v="Y"/>
    <s v="No"/>
    <n v="17"/>
    <n v="3"/>
    <n v="1"/>
    <n v="80"/>
    <n v="0"/>
    <n v="10"/>
    <n v="2"/>
    <n v="3"/>
    <x v="1"/>
    <n v="8"/>
    <n v="3"/>
    <n v="7"/>
    <s v="36-45"/>
    <s v="Medium"/>
    <s v="6-10"/>
    <s v="Mid-Level"/>
    <s v="Standard"/>
    <s v="High"/>
    <x v="0"/>
  </r>
  <r>
    <n v="29"/>
    <x v="1"/>
    <s v="Travel_Rarely"/>
    <n v="441"/>
    <x v="1"/>
    <n v="8"/>
    <n v="1"/>
    <s v="Other"/>
    <n v="1"/>
    <n v="1544"/>
    <x v="1"/>
    <s v="Female"/>
    <n v="39"/>
    <n v="1"/>
    <x v="0"/>
    <x v="4"/>
    <x v="3"/>
    <s v="Married"/>
    <n v="9715"/>
    <n v="7288"/>
    <n v="3"/>
    <s v="Y"/>
    <s v="No"/>
    <n v="13"/>
    <n v="3"/>
    <n v="3"/>
    <n v="80"/>
    <n v="1"/>
    <n v="9"/>
    <n v="3"/>
    <n v="3"/>
    <x v="5"/>
    <n v="7"/>
    <n v="0"/>
    <n v="7"/>
    <s v="26-35"/>
    <s v="High"/>
    <s v="6-10"/>
    <s v="Mid-Level"/>
    <s v="Standard"/>
    <s v="Low"/>
    <x v="0"/>
  </r>
  <r>
    <n v="33"/>
    <x v="1"/>
    <s v="Travel_Rarely"/>
    <n v="575"/>
    <x v="1"/>
    <n v="25"/>
    <n v="3"/>
    <s v="Life Sciences"/>
    <n v="1"/>
    <n v="1545"/>
    <x v="2"/>
    <s v="Male"/>
    <n v="44"/>
    <n v="2"/>
    <x v="0"/>
    <x v="3"/>
    <x v="1"/>
    <s v="Single"/>
    <n v="4320"/>
    <n v="24152"/>
    <n v="1"/>
    <s v="Y"/>
    <s v="No"/>
    <n v="13"/>
    <n v="3"/>
    <n v="4"/>
    <n v="80"/>
    <n v="0"/>
    <n v="5"/>
    <n v="2"/>
    <n v="3"/>
    <x v="8"/>
    <n v="3"/>
    <n v="0"/>
    <n v="2"/>
    <s v="26-35"/>
    <s v="Medium"/>
    <s v="3-5"/>
    <s v="Junior"/>
    <s v="Standard"/>
    <s v="Low"/>
    <x v="0"/>
  </r>
  <r>
    <n v="45"/>
    <x v="1"/>
    <s v="Travel_Rarely"/>
    <n v="950"/>
    <x v="1"/>
    <n v="28"/>
    <n v="3"/>
    <s v="Technical Degree"/>
    <n v="1"/>
    <n v="1546"/>
    <x v="2"/>
    <s v="Male"/>
    <n v="97"/>
    <n v="3"/>
    <x v="1"/>
    <x v="1"/>
    <x v="0"/>
    <s v="Married"/>
    <n v="2132"/>
    <n v="4585"/>
    <n v="4"/>
    <s v="Y"/>
    <s v="No"/>
    <n v="20"/>
    <n v="4"/>
    <n v="4"/>
    <n v="80"/>
    <n v="1"/>
    <n v="8"/>
    <n v="3"/>
    <n v="3"/>
    <x v="8"/>
    <n v="4"/>
    <n v="0"/>
    <n v="3"/>
    <s v="36-45"/>
    <s v="Low"/>
    <s v="3-5"/>
    <s v="Mid-Level"/>
    <s v="Excellent"/>
    <s v="High"/>
    <x v="0"/>
  </r>
  <r>
    <n v="42"/>
    <x v="1"/>
    <s v="Travel_Frequently"/>
    <n v="288"/>
    <x v="1"/>
    <n v="2"/>
    <n v="3"/>
    <s v="Life Sciences"/>
    <n v="1"/>
    <n v="1547"/>
    <x v="2"/>
    <s v="Male"/>
    <n v="40"/>
    <n v="3"/>
    <x v="2"/>
    <x v="4"/>
    <x v="0"/>
    <s v="Married"/>
    <n v="10124"/>
    <n v="18611"/>
    <n v="2"/>
    <s v="Y"/>
    <s v="Yes"/>
    <n v="14"/>
    <n v="3"/>
    <n v="3"/>
    <n v="80"/>
    <n v="1"/>
    <n v="24"/>
    <n v="3"/>
    <n v="1"/>
    <x v="23"/>
    <n v="8"/>
    <n v="13"/>
    <n v="9"/>
    <s v="36-45"/>
    <s v="Very High"/>
    <s v="16+"/>
    <s v="Senior"/>
    <s v="Standard"/>
    <s v="High"/>
    <x v="0"/>
  </r>
  <r>
    <n v="40"/>
    <x v="1"/>
    <s v="Travel_Rarely"/>
    <n v="1342"/>
    <x v="0"/>
    <n v="9"/>
    <n v="2"/>
    <s v="Medical"/>
    <n v="1"/>
    <n v="1548"/>
    <x v="3"/>
    <s v="Male"/>
    <n v="47"/>
    <n v="3"/>
    <x v="0"/>
    <x v="0"/>
    <x v="3"/>
    <s v="Married"/>
    <n v="5473"/>
    <n v="19345"/>
    <n v="0"/>
    <s v="Y"/>
    <s v="No"/>
    <n v="12"/>
    <n v="3"/>
    <n v="4"/>
    <n v="80"/>
    <n v="0"/>
    <n v="9"/>
    <n v="5"/>
    <n v="4"/>
    <x v="3"/>
    <n v="4"/>
    <n v="7"/>
    <n v="1"/>
    <s v="36-45"/>
    <s v="Medium"/>
    <s v="6-10"/>
    <s v="Mid-Level"/>
    <s v="Standard"/>
    <s v="Low"/>
    <x v="0"/>
  </r>
  <r>
    <n v="33"/>
    <x v="1"/>
    <s v="Travel_Rarely"/>
    <n v="589"/>
    <x v="1"/>
    <n v="28"/>
    <n v="4"/>
    <s v="Life Sciences"/>
    <n v="1"/>
    <n v="1549"/>
    <x v="0"/>
    <s v="Male"/>
    <n v="79"/>
    <n v="3"/>
    <x v="0"/>
    <x v="2"/>
    <x v="2"/>
    <s v="Married"/>
    <n v="5207"/>
    <n v="22949"/>
    <n v="1"/>
    <s v="Y"/>
    <s v="Yes"/>
    <n v="12"/>
    <n v="3"/>
    <n v="2"/>
    <n v="80"/>
    <n v="1"/>
    <n v="15"/>
    <n v="3"/>
    <n v="3"/>
    <x v="15"/>
    <n v="14"/>
    <n v="5"/>
    <n v="7"/>
    <s v="26-35"/>
    <s v="Medium"/>
    <s v="11-15"/>
    <s v="Mid-Level"/>
    <s v="Standard"/>
    <s v="High"/>
    <x v="0"/>
  </r>
  <r>
    <n v="40"/>
    <x v="1"/>
    <s v="Travel_Rarely"/>
    <n v="898"/>
    <x v="2"/>
    <n v="6"/>
    <n v="2"/>
    <s v="Medical"/>
    <n v="1"/>
    <n v="1550"/>
    <x v="1"/>
    <s v="Male"/>
    <n v="38"/>
    <n v="3"/>
    <x v="3"/>
    <x v="5"/>
    <x v="0"/>
    <s v="Single"/>
    <n v="16437"/>
    <n v="17381"/>
    <n v="1"/>
    <s v="Y"/>
    <s v="Yes"/>
    <n v="21"/>
    <n v="4"/>
    <n v="4"/>
    <n v="80"/>
    <n v="0"/>
    <n v="21"/>
    <n v="2"/>
    <n v="3"/>
    <x v="17"/>
    <n v="7"/>
    <n v="7"/>
    <n v="7"/>
    <s v="36-45"/>
    <s v="Very High"/>
    <s v="16+"/>
    <s v="Senior"/>
    <s v="Excellent"/>
    <s v="High"/>
    <x v="0"/>
  </r>
  <r>
    <n v="24"/>
    <x v="1"/>
    <s v="Travel_Rarely"/>
    <n v="350"/>
    <x v="1"/>
    <n v="21"/>
    <n v="2"/>
    <s v="Technical Degree"/>
    <n v="1"/>
    <n v="1551"/>
    <x v="1"/>
    <s v="Male"/>
    <n v="57"/>
    <n v="2"/>
    <x v="1"/>
    <x v="2"/>
    <x v="3"/>
    <s v="Divorced"/>
    <n v="2296"/>
    <n v="10036"/>
    <n v="0"/>
    <s v="Y"/>
    <s v="No"/>
    <n v="14"/>
    <n v="3"/>
    <n v="2"/>
    <n v="80"/>
    <n v="3"/>
    <n v="2"/>
    <n v="3"/>
    <n v="3"/>
    <x v="6"/>
    <n v="1"/>
    <n v="0"/>
    <n v="0"/>
    <s v="18-25"/>
    <s v="Low"/>
    <s v="0-2"/>
    <s v="Junior"/>
    <s v="Standard"/>
    <s v="Low"/>
    <x v="0"/>
  </r>
  <r>
    <n v="40"/>
    <x v="1"/>
    <s v="Non-Travel"/>
    <n v="1142"/>
    <x v="1"/>
    <n v="8"/>
    <n v="2"/>
    <s v="Life Sciences"/>
    <n v="1"/>
    <n v="1552"/>
    <x v="2"/>
    <s v="Male"/>
    <n v="72"/>
    <n v="3"/>
    <x v="0"/>
    <x v="4"/>
    <x v="0"/>
    <s v="Divorced"/>
    <n v="4069"/>
    <n v="8841"/>
    <n v="3"/>
    <s v="Y"/>
    <s v="Yes"/>
    <n v="18"/>
    <n v="3"/>
    <n v="3"/>
    <n v="80"/>
    <n v="0"/>
    <n v="8"/>
    <n v="2"/>
    <n v="3"/>
    <x v="4"/>
    <n v="2"/>
    <n v="2"/>
    <n v="2"/>
    <s v="36-45"/>
    <s v="Medium"/>
    <s v="0-2"/>
    <s v="Mid-Level"/>
    <s v="Standard"/>
    <s v="High"/>
    <x v="0"/>
  </r>
  <r>
    <n v="45"/>
    <x v="1"/>
    <s v="Travel_Rarely"/>
    <n v="538"/>
    <x v="1"/>
    <n v="1"/>
    <n v="4"/>
    <s v="Technical Degree"/>
    <n v="1"/>
    <n v="1553"/>
    <x v="3"/>
    <s v="Male"/>
    <n v="66"/>
    <n v="3"/>
    <x v="2"/>
    <x v="4"/>
    <x v="1"/>
    <s v="Divorced"/>
    <n v="7441"/>
    <n v="20933"/>
    <n v="1"/>
    <s v="Y"/>
    <s v="No"/>
    <n v="12"/>
    <n v="3"/>
    <n v="1"/>
    <n v="80"/>
    <n v="3"/>
    <n v="10"/>
    <n v="4"/>
    <n v="3"/>
    <x v="1"/>
    <n v="8"/>
    <n v="7"/>
    <n v="7"/>
    <s v="36-45"/>
    <s v="High"/>
    <s v="6-10"/>
    <s v="Mid-Level"/>
    <s v="Standard"/>
    <s v="Low"/>
    <x v="0"/>
  </r>
  <r>
    <n v="35"/>
    <x v="1"/>
    <s v="Travel_Rarely"/>
    <n v="1402"/>
    <x v="0"/>
    <n v="28"/>
    <n v="4"/>
    <s v="Life Sciences"/>
    <n v="1"/>
    <n v="1554"/>
    <x v="0"/>
    <s v="Female"/>
    <n v="98"/>
    <n v="2"/>
    <x v="1"/>
    <x v="6"/>
    <x v="2"/>
    <s v="Married"/>
    <n v="2430"/>
    <n v="26204"/>
    <n v="0"/>
    <s v="Y"/>
    <s v="No"/>
    <n v="23"/>
    <n v="4"/>
    <n v="1"/>
    <n v="80"/>
    <n v="2"/>
    <n v="6"/>
    <n v="5"/>
    <n v="3"/>
    <x v="8"/>
    <n v="3"/>
    <n v="4"/>
    <n v="2"/>
    <s v="26-35"/>
    <s v="Low"/>
    <s v="3-5"/>
    <s v="Mid-Level"/>
    <s v="Excellent"/>
    <s v="High"/>
    <x v="0"/>
  </r>
  <r>
    <n v="32"/>
    <x v="1"/>
    <s v="Travel_Rarely"/>
    <n v="824"/>
    <x v="1"/>
    <n v="5"/>
    <n v="2"/>
    <s v="Life Sciences"/>
    <n v="1"/>
    <n v="1555"/>
    <x v="2"/>
    <s v="Female"/>
    <n v="67"/>
    <n v="2"/>
    <x v="0"/>
    <x v="1"/>
    <x v="1"/>
    <s v="Married"/>
    <n v="5878"/>
    <n v="15624"/>
    <n v="3"/>
    <s v="Y"/>
    <s v="No"/>
    <n v="12"/>
    <n v="3"/>
    <n v="1"/>
    <n v="80"/>
    <n v="1"/>
    <n v="12"/>
    <n v="2"/>
    <n v="3"/>
    <x v="5"/>
    <n v="1"/>
    <n v="2"/>
    <n v="5"/>
    <s v="26-35"/>
    <s v="Medium"/>
    <s v="6-10"/>
    <s v="Mid-Level"/>
    <s v="Standard"/>
    <s v="Low"/>
    <x v="0"/>
  </r>
  <r>
    <n v="36"/>
    <x v="1"/>
    <s v="Travel_Rarely"/>
    <n v="1157"/>
    <x v="0"/>
    <n v="2"/>
    <n v="4"/>
    <s v="Life Sciences"/>
    <n v="1"/>
    <n v="1556"/>
    <x v="1"/>
    <s v="Male"/>
    <n v="70"/>
    <n v="3"/>
    <x v="1"/>
    <x v="6"/>
    <x v="0"/>
    <s v="Single"/>
    <n v="2644"/>
    <n v="17001"/>
    <n v="3"/>
    <s v="Y"/>
    <s v="Yes"/>
    <n v="21"/>
    <n v="4"/>
    <n v="4"/>
    <n v="80"/>
    <n v="0"/>
    <n v="7"/>
    <n v="3"/>
    <n v="2"/>
    <x v="11"/>
    <n v="2"/>
    <n v="1"/>
    <n v="2"/>
    <s v="36-45"/>
    <s v="Low"/>
    <s v="3-5"/>
    <s v="Mid-Level"/>
    <s v="Excellent"/>
    <s v="High"/>
    <x v="0"/>
  </r>
  <r>
    <n v="48"/>
    <x v="1"/>
    <s v="Travel_Rarely"/>
    <n v="492"/>
    <x v="0"/>
    <n v="16"/>
    <n v="4"/>
    <s v="Life Sciences"/>
    <n v="1"/>
    <n v="1557"/>
    <x v="1"/>
    <s v="Female"/>
    <n v="96"/>
    <n v="3"/>
    <x v="0"/>
    <x v="0"/>
    <x v="2"/>
    <s v="Divorced"/>
    <n v="6439"/>
    <n v="13693"/>
    <n v="8"/>
    <s v="Y"/>
    <s v="No"/>
    <n v="14"/>
    <n v="3"/>
    <n v="3"/>
    <n v="80"/>
    <n v="1"/>
    <n v="18"/>
    <n v="2"/>
    <n v="3"/>
    <x v="3"/>
    <n v="7"/>
    <n v="7"/>
    <n v="7"/>
    <s v="46-55"/>
    <s v="High"/>
    <s v="6-10"/>
    <s v="Senior"/>
    <s v="Standard"/>
    <s v="High"/>
    <x v="0"/>
  </r>
  <r>
    <n v="29"/>
    <x v="1"/>
    <s v="Travel_Rarely"/>
    <n v="598"/>
    <x v="1"/>
    <n v="9"/>
    <n v="3"/>
    <s v="Life Sciences"/>
    <n v="1"/>
    <n v="1558"/>
    <x v="1"/>
    <s v="Male"/>
    <n v="91"/>
    <n v="4"/>
    <x v="1"/>
    <x v="1"/>
    <x v="2"/>
    <s v="Married"/>
    <n v="2451"/>
    <n v="22376"/>
    <n v="6"/>
    <s v="Y"/>
    <s v="No"/>
    <n v="18"/>
    <n v="3"/>
    <n v="1"/>
    <n v="80"/>
    <n v="2"/>
    <n v="5"/>
    <n v="2"/>
    <n v="2"/>
    <x v="6"/>
    <n v="0"/>
    <n v="0"/>
    <n v="0"/>
    <s v="26-35"/>
    <s v="Low"/>
    <s v="0-2"/>
    <s v="Junior"/>
    <s v="Standard"/>
    <s v="High"/>
    <x v="0"/>
  </r>
  <r>
    <n v="33"/>
    <x v="1"/>
    <s v="Travel_Rarely"/>
    <n v="1242"/>
    <x v="0"/>
    <n v="8"/>
    <n v="4"/>
    <s v="Life Sciences"/>
    <n v="1"/>
    <n v="1560"/>
    <x v="3"/>
    <s v="Male"/>
    <n v="46"/>
    <n v="3"/>
    <x v="0"/>
    <x v="0"/>
    <x v="3"/>
    <s v="Married"/>
    <n v="6392"/>
    <n v="10589"/>
    <n v="2"/>
    <s v="Y"/>
    <s v="No"/>
    <n v="13"/>
    <n v="3"/>
    <n v="4"/>
    <n v="80"/>
    <n v="1"/>
    <n v="8"/>
    <n v="6"/>
    <n v="1"/>
    <x v="4"/>
    <n v="2"/>
    <n v="2"/>
    <n v="2"/>
    <s v="26-35"/>
    <s v="High"/>
    <s v="0-2"/>
    <s v="Mid-Level"/>
    <s v="Standard"/>
    <s v="Low"/>
    <x v="0"/>
  </r>
  <r>
    <n v="30"/>
    <x v="0"/>
    <s v="Travel_Rarely"/>
    <n v="740"/>
    <x v="0"/>
    <n v="1"/>
    <n v="3"/>
    <s v="Life Sciences"/>
    <n v="1"/>
    <n v="1562"/>
    <x v="0"/>
    <s v="Male"/>
    <n v="64"/>
    <n v="2"/>
    <x v="0"/>
    <x v="0"/>
    <x v="3"/>
    <s v="Married"/>
    <n v="9714"/>
    <n v="5323"/>
    <n v="1"/>
    <s v="Y"/>
    <s v="No"/>
    <n v="11"/>
    <n v="3"/>
    <n v="4"/>
    <n v="80"/>
    <n v="1"/>
    <n v="10"/>
    <n v="4"/>
    <n v="3"/>
    <x v="1"/>
    <n v="8"/>
    <n v="6"/>
    <n v="7"/>
    <s v="26-35"/>
    <s v="High"/>
    <s v="6-10"/>
    <s v="Mid-Level"/>
    <s v="Standard"/>
    <s v="Low"/>
    <x v="0"/>
  </r>
  <r>
    <n v="38"/>
    <x v="1"/>
    <s v="Travel_Frequently"/>
    <n v="888"/>
    <x v="2"/>
    <n v="10"/>
    <n v="4"/>
    <s v="Human Resources"/>
    <n v="1"/>
    <n v="1563"/>
    <x v="1"/>
    <s v="Male"/>
    <n v="71"/>
    <n v="3"/>
    <x v="0"/>
    <x v="8"/>
    <x v="2"/>
    <s v="Married"/>
    <n v="6077"/>
    <n v="14814"/>
    <n v="3"/>
    <s v="Y"/>
    <s v="No"/>
    <n v="11"/>
    <n v="3"/>
    <n v="3"/>
    <n v="80"/>
    <n v="0"/>
    <n v="10"/>
    <n v="2"/>
    <n v="3"/>
    <x v="0"/>
    <n v="3"/>
    <n v="1"/>
    <n v="2"/>
    <s v="36-45"/>
    <s v="High"/>
    <s v="6-10"/>
    <s v="Mid-Level"/>
    <s v="Standard"/>
    <s v="High"/>
    <x v="0"/>
  </r>
  <r>
    <n v="35"/>
    <x v="1"/>
    <s v="Travel_Rarely"/>
    <n v="992"/>
    <x v="1"/>
    <n v="1"/>
    <n v="3"/>
    <s v="Medical"/>
    <n v="1"/>
    <n v="1564"/>
    <x v="2"/>
    <s v="Male"/>
    <n v="68"/>
    <n v="2"/>
    <x v="1"/>
    <x v="2"/>
    <x v="3"/>
    <s v="Single"/>
    <n v="2450"/>
    <n v="21731"/>
    <n v="1"/>
    <s v="Y"/>
    <s v="No"/>
    <n v="19"/>
    <n v="3"/>
    <n v="2"/>
    <n v="80"/>
    <n v="0"/>
    <n v="3"/>
    <n v="3"/>
    <n v="3"/>
    <x v="11"/>
    <n v="0"/>
    <n v="1"/>
    <n v="2"/>
    <s v="26-35"/>
    <s v="Low"/>
    <s v="3-5"/>
    <s v="Junior"/>
    <s v="Standard"/>
    <s v="Low"/>
    <x v="0"/>
  </r>
  <r>
    <n v="30"/>
    <x v="1"/>
    <s v="Travel_Rarely"/>
    <n v="1288"/>
    <x v="0"/>
    <n v="29"/>
    <n v="4"/>
    <s v="Technical Degree"/>
    <n v="1"/>
    <n v="1568"/>
    <x v="1"/>
    <s v="Male"/>
    <n v="33"/>
    <n v="3"/>
    <x v="2"/>
    <x v="0"/>
    <x v="1"/>
    <s v="Married"/>
    <n v="9250"/>
    <n v="17799"/>
    <n v="3"/>
    <s v="Y"/>
    <s v="No"/>
    <n v="12"/>
    <n v="3"/>
    <n v="2"/>
    <n v="80"/>
    <n v="1"/>
    <n v="9"/>
    <n v="3"/>
    <n v="3"/>
    <x v="9"/>
    <n v="2"/>
    <n v="1"/>
    <n v="3"/>
    <s v="26-35"/>
    <s v="High"/>
    <s v="3-5"/>
    <s v="Mid-Level"/>
    <s v="Standard"/>
    <s v="Low"/>
    <x v="0"/>
  </r>
  <r>
    <n v="35"/>
    <x v="0"/>
    <s v="Travel_Rarely"/>
    <n v="104"/>
    <x v="1"/>
    <n v="2"/>
    <n v="3"/>
    <s v="Life Sciences"/>
    <n v="1"/>
    <n v="1569"/>
    <x v="3"/>
    <s v="Female"/>
    <n v="69"/>
    <n v="3"/>
    <x v="1"/>
    <x v="2"/>
    <x v="3"/>
    <s v="Divorced"/>
    <n v="2074"/>
    <n v="26619"/>
    <n v="1"/>
    <s v="Y"/>
    <s v="Yes"/>
    <n v="12"/>
    <n v="3"/>
    <n v="4"/>
    <n v="80"/>
    <n v="1"/>
    <n v="1"/>
    <n v="2"/>
    <n v="3"/>
    <x v="6"/>
    <n v="0"/>
    <n v="0"/>
    <n v="0"/>
    <s v="26-35"/>
    <s v="Low"/>
    <s v="0-2"/>
    <s v="Junior"/>
    <s v="Standard"/>
    <s v="Low"/>
    <x v="1"/>
  </r>
  <r>
    <n v="53"/>
    <x v="0"/>
    <s v="Travel_Rarely"/>
    <n v="607"/>
    <x v="1"/>
    <n v="2"/>
    <n v="5"/>
    <s v="Technical Degree"/>
    <n v="1"/>
    <n v="1572"/>
    <x v="1"/>
    <s v="Female"/>
    <n v="78"/>
    <n v="2"/>
    <x v="2"/>
    <x v="3"/>
    <x v="0"/>
    <s v="Married"/>
    <n v="10169"/>
    <n v="14618"/>
    <n v="0"/>
    <s v="Y"/>
    <s v="No"/>
    <n v="16"/>
    <n v="3"/>
    <n v="2"/>
    <n v="80"/>
    <n v="1"/>
    <n v="34"/>
    <n v="4"/>
    <n v="3"/>
    <x v="26"/>
    <n v="7"/>
    <n v="1"/>
    <n v="9"/>
    <s v="46-55"/>
    <s v="Very High"/>
    <s v="16+"/>
    <s v="Senior"/>
    <s v="Standard"/>
    <s v="High"/>
    <x v="0"/>
  </r>
  <r>
    <n v="38"/>
    <x v="0"/>
    <s v="Travel_Rarely"/>
    <n v="903"/>
    <x v="1"/>
    <n v="2"/>
    <n v="3"/>
    <s v="Medical"/>
    <n v="1"/>
    <n v="1573"/>
    <x v="1"/>
    <s v="Male"/>
    <n v="81"/>
    <n v="3"/>
    <x v="0"/>
    <x v="3"/>
    <x v="1"/>
    <s v="Married"/>
    <n v="4855"/>
    <n v="7653"/>
    <n v="4"/>
    <s v="Y"/>
    <s v="No"/>
    <n v="11"/>
    <n v="3"/>
    <n v="1"/>
    <n v="80"/>
    <n v="2"/>
    <n v="7"/>
    <n v="2"/>
    <n v="3"/>
    <x v="8"/>
    <n v="2"/>
    <n v="1"/>
    <n v="4"/>
    <s v="36-45"/>
    <s v="Medium"/>
    <s v="3-5"/>
    <s v="Mid-Level"/>
    <s v="Standard"/>
    <s v="Low"/>
    <x v="0"/>
  </r>
  <r>
    <n v="32"/>
    <x v="1"/>
    <s v="Non-Travel"/>
    <n v="1200"/>
    <x v="1"/>
    <n v="1"/>
    <n v="4"/>
    <s v="Technical Degree"/>
    <n v="1"/>
    <n v="1574"/>
    <x v="2"/>
    <s v="Male"/>
    <n v="62"/>
    <n v="3"/>
    <x v="0"/>
    <x v="1"/>
    <x v="3"/>
    <s v="Married"/>
    <n v="4087"/>
    <n v="25174"/>
    <n v="4"/>
    <s v="Y"/>
    <s v="No"/>
    <n v="14"/>
    <n v="3"/>
    <n v="2"/>
    <n v="80"/>
    <n v="1"/>
    <n v="9"/>
    <n v="3"/>
    <n v="2"/>
    <x v="0"/>
    <n v="5"/>
    <n v="1"/>
    <n v="2"/>
    <s v="26-35"/>
    <s v="Medium"/>
    <s v="6-10"/>
    <s v="Mid-Level"/>
    <s v="Standard"/>
    <s v="Low"/>
    <x v="0"/>
  </r>
  <r>
    <n v="48"/>
    <x v="1"/>
    <s v="Travel_Rarely"/>
    <n v="1108"/>
    <x v="1"/>
    <n v="15"/>
    <n v="4"/>
    <s v="Other"/>
    <n v="1"/>
    <n v="1576"/>
    <x v="1"/>
    <s v="Female"/>
    <n v="65"/>
    <n v="3"/>
    <x v="1"/>
    <x v="1"/>
    <x v="3"/>
    <s v="Married"/>
    <n v="2367"/>
    <n v="16530"/>
    <n v="8"/>
    <s v="Y"/>
    <s v="No"/>
    <n v="12"/>
    <n v="3"/>
    <n v="4"/>
    <n v="80"/>
    <n v="1"/>
    <n v="10"/>
    <n v="3"/>
    <n v="2"/>
    <x v="3"/>
    <n v="2"/>
    <n v="7"/>
    <n v="6"/>
    <s v="46-55"/>
    <s v="Low"/>
    <s v="6-10"/>
    <s v="Mid-Level"/>
    <s v="Standard"/>
    <s v="Low"/>
    <x v="0"/>
  </r>
  <r>
    <n v="34"/>
    <x v="1"/>
    <s v="Travel_Rarely"/>
    <n v="479"/>
    <x v="1"/>
    <n v="7"/>
    <n v="4"/>
    <s v="Medical"/>
    <n v="1"/>
    <n v="1577"/>
    <x v="3"/>
    <s v="Male"/>
    <n v="35"/>
    <n v="3"/>
    <x v="1"/>
    <x v="1"/>
    <x v="0"/>
    <s v="Single"/>
    <n v="2972"/>
    <n v="22061"/>
    <n v="1"/>
    <s v="Y"/>
    <s v="No"/>
    <n v="13"/>
    <n v="3"/>
    <n v="3"/>
    <n v="80"/>
    <n v="0"/>
    <n v="1"/>
    <n v="4"/>
    <n v="1"/>
    <x v="6"/>
    <n v="0"/>
    <n v="0"/>
    <n v="0"/>
    <s v="26-35"/>
    <s v="Low"/>
    <s v="0-2"/>
    <s v="Junior"/>
    <s v="Standard"/>
    <s v="High"/>
    <x v="0"/>
  </r>
  <r>
    <n v="55"/>
    <x v="1"/>
    <s v="Travel_Rarely"/>
    <n v="685"/>
    <x v="0"/>
    <n v="26"/>
    <n v="5"/>
    <s v="Marketing"/>
    <n v="1"/>
    <n v="1578"/>
    <x v="1"/>
    <s v="Male"/>
    <n v="60"/>
    <n v="2"/>
    <x v="4"/>
    <x v="5"/>
    <x v="0"/>
    <s v="Married"/>
    <n v="19586"/>
    <n v="23037"/>
    <n v="1"/>
    <s v="Y"/>
    <s v="No"/>
    <n v="21"/>
    <n v="4"/>
    <n v="3"/>
    <n v="80"/>
    <n v="1"/>
    <n v="36"/>
    <n v="3"/>
    <n v="3"/>
    <x v="28"/>
    <n v="6"/>
    <n v="2"/>
    <n v="13"/>
    <s v="46-55"/>
    <s v="Very High"/>
    <s v="16+"/>
    <s v="Senior"/>
    <s v="Excellent"/>
    <s v="High"/>
    <x v="0"/>
  </r>
  <r>
    <n v="34"/>
    <x v="1"/>
    <s v="Travel_Rarely"/>
    <n v="1351"/>
    <x v="1"/>
    <n v="1"/>
    <n v="4"/>
    <s v="Life Sciences"/>
    <n v="1"/>
    <n v="1580"/>
    <x v="0"/>
    <s v="Male"/>
    <n v="45"/>
    <n v="3"/>
    <x v="0"/>
    <x v="1"/>
    <x v="0"/>
    <s v="Married"/>
    <n v="5484"/>
    <n v="13008"/>
    <n v="9"/>
    <s v="Y"/>
    <s v="No"/>
    <n v="17"/>
    <n v="3"/>
    <n v="2"/>
    <n v="80"/>
    <n v="1"/>
    <n v="9"/>
    <n v="3"/>
    <n v="2"/>
    <x v="4"/>
    <n v="2"/>
    <n v="2"/>
    <n v="1"/>
    <s v="26-35"/>
    <s v="Medium"/>
    <s v="0-2"/>
    <s v="Mid-Level"/>
    <s v="Standard"/>
    <s v="High"/>
    <x v="0"/>
  </r>
  <r>
    <n v="26"/>
    <x v="1"/>
    <s v="Travel_Rarely"/>
    <n v="474"/>
    <x v="1"/>
    <n v="3"/>
    <n v="3"/>
    <s v="Life Sciences"/>
    <n v="1"/>
    <n v="1581"/>
    <x v="3"/>
    <s v="Female"/>
    <n v="89"/>
    <n v="3"/>
    <x v="1"/>
    <x v="1"/>
    <x v="0"/>
    <s v="Married"/>
    <n v="2061"/>
    <n v="11133"/>
    <n v="1"/>
    <s v="Y"/>
    <s v="No"/>
    <n v="21"/>
    <n v="4"/>
    <n v="1"/>
    <n v="80"/>
    <n v="0"/>
    <n v="1"/>
    <n v="5"/>
    <n v="3"/>
    <x v="6"/>
    <n v="0"/>
    <n v="0"/>
    <n v="0"/>
    <s v="26-35"/>
    <s v="Low"/>
    <s v="0-2"/>
    <s v="Junior"/>
    <s v="Excellent"/>
    <s v="High"/>
    <x v="0"/>
  </r>
  <r>
    <n v="38"/>
    <x v="1"/>
    <s v="Travel_Rarely"/>
    <n v="1245"/>
    <x v="0"/>
    <n v="14"/>
    <n v="3"/>
    <s v="Life Sciences"/>
    <n v="1"/>
    <n v="1582"/>
    <x v="1"/>
    <s v="Male"/>
    <n v="80"/>
    <n v="3"/>
    <x v="0"/>
    <x v="0"/>
    <x v="1"/>
    <s v="Married"/>
    <n v="9924"/>
    <n v="12355"/>
    <n v="0"/>
    <s v="Y"/>
    <s v="No"/>
    <n v="11"/>
    <n v="3"/>
    <n v="4"/>
    <n v="80"/>
    <n v="1"/>
    <n v="10"/>
    <n v="3"/>
    <n v="3"/>
    <x v="7"/>
    <n v="8"/>
    <n v="7"/>
    <n v="7"/>
    <s v="36-45"/>
    <s v="High"/>
    <s v="6-10"/>
    <s v="Mid-Level"/>
    <s v="Standard"/>
    <s v="Low"/>
    <x v="0"/>
  </r>
  <r>
    <n v="38"/>
    <x v="1"/>
    <s v="Travel_Rarely"/>
    <n v="437"/>
    <x v="0"/>
    <n v="16"/>
    <n v="3"/>
    <s v="Life Sciences"/>
    <n v="1"/>
    <n v="1583"/>
    <x v="0"/>
    <s v="Female"/>
    <n v="90"/>
    <n v="3"/>
    <x v="0"/>
    <x v="0"/>
    <x v="1"/>
    <s v="Single"/>
    <n v="4198"/>
    <n v="16379"/>
    <n v="2"/>
    <s v="Y"/>
    <s v="No"/>
    <n v="12"/>
    <n v="3"/>
    <n v="2"/>
    <n v="80"/>
    <n v="0"/>
    <n v="8"/>
    <n v="5"/>
    <n v="4"/>
    <x v="11"/>
    <n v="2"/>
    <n v="1"/>
    <n v="2"/>
    <s v="36-45"/>
    <s v="Medium"/>
    <s v="3-5"/>
    <s v="Mid-Level"/>
    <s v="Standard"/>
    <s v="Low"/>
    <x v="0"/>
  </r>
  <r>
    <n v="36"/>
    <x v="1"/>
    <s v="Travel_Rarely"/>
    <n v="884"/>
    <x v="0"/>
    <n v="1"/>
    <n v="4"/>
    <s v="Life Sciences"/>
    <n v="1"/>
    <n v="1585"/>
    <x v="0"/>
    <s v="Female"/>
    <n v="73"/>
    <n v="3"/>
    <x v="0"/>
    <x v="0"/>
    <x v="2"/>
    <s v="Single"/>
    <n v="6815"/>
    <n v="21447"/>
    <n v="6"/>
    <s v="Y"/>
    <s v="No"/>
    <n v="13"/>
    <n v="3"/>
    <n v="1"/>
    <n v="80"/>
    <n v="0"/>
    <n v="15"/>
    <n v="5"/>
    <n v="3"/>
    <x v="6"/>
    <n v="0"/>
    <n v="0"/>
    <n v="0"/>
    <s v="36-45"/>
    <s v="High"/>
    <s v="0-2"/>
    <s v="Mid-Level"/>
    <s v="Standard"/>
    <s v="High"/>
    <x v="0"/>
  </r>
  <r>
    <n v="29"/>
    <x v="1"/>
    <s v="Travel_Rarely"/>
    <n v="1370"/>
    <x v="1"/>
    <n v="3"/>
    <n v="1"/>
    <s v="Medical"/>
    <n v="1"/>
    <n v="1586"/>
    <x v="0"/>
    <s v="Male"/>
    <n v="87"/>
    <n v="3"/>
    <x v="1"/>
    <x v="2"/>
    <x v="3"/>
    <s v="Single"/>
    <n v="4723"/>
    <n v="16213"/>
    <n v="1"/>
    <s v="Y"/>
    <s v="Yes"/>
    <n v="18"/>
    <n v="3"/>
    <n v="4"/>
    <n v="80"/>
    <n v="0"/>
    <n v="10"/>
    <n v="3"/>
    <n v="3"/>
    <x v="1"/>
    <n v="9"/>
    <n v="1"/>
    <n v="5"/>
    <s v="26-35"/>
    <s v="Medium"/>
    <s v="6-10"/>
    <s v="Mid-Level"/>
    <s v="Standard"/>
    <s v="Low"/>
    <x v="0"/>
  </r>
  <r>
    <n v="35"/>
    <x v="1"/>
    <s v="Travel_Rarely"/>
    <n v="670"/>
    <x v="1"/>
    <n v="10"/>
    <n v="4"/>
    <s v="Medical"/>
    <n v="1"/>
    <n v="1587"/>
    <x v="3"/>
    <s v="Female"/>
    <n v="51"/>
    <n v="3"/>
    <x v="0"/>
    <x v="4"/>
    <x v="2"/>
    <s v="Single"/>
    <n v="6142"/>
    <n v="4223"/>
    <n v="3"/>
    <s v="Y"/>
    <s v="Yes"/>
    <n v="16"/>
    <n v="3"/>
    <n v="3"/>
    <n v="80"/>
    <n v="0"/>
    <n v="10"/>
    <n v="4"/>
    <n v="3"/>
    <x v="8"/>
    <n v="2"/>
    <n v="0"/>
    <n v="4"/>
    <s v="26-35"/>
    <s v="High"/>
    <s v="3-5"/>
    <s v="Mid-Level"/>
    <s v="Standard"/>
    <s v="High"/>
    <x v="0"/>
  </r>
  <r>
    <n v="39"/>
    <x v="1"/>
    <s v="Travel_Rarely"/>
    <n v="1462"/>
    <x v="0"/>
    <n v="6"/>
    <n v="3"/>
    <s v="Medical"/>
    <n v="1"/>
    <n v="1588"/>
    <x v="2"/>
    <s v="Male"/>
    <n v="38"/>
    <n v="4"/>
    <x v="2"/>
    <x v="0"/>
    <x v="2"/>
    <s v="Married"/>
    <n v="8237"/>
    <n v="4658"/>
    <n v="2"/>
    <s v="Y"/>
    <s v="No"/>
    <n v="11"/>
    <n v="3"/>
    <n v="1"/>
    <n v="80"/>
    <n v="1"/>
    <n v="11"/>
    <n v="3"/>
    <n v="3"/>
    <x v="5"/>
    <n v="6"/>
    <n v="7"/>
    <n v="6"/>
    <s v="36-45"/>
    <s v="High"/>
    <s v="6-10"/>
    <s v="Mid-Level"/>
    <s v="Standard"/>
    <s v="High"/>
    <x v="0"/>
  </r>
  <r>
    <n v="29"/>
    <x v="1"/>
    <s v="Travel_Frequently"/>
    <n v="995"/>
    <x v="1"/>
    <n v="2"/>
    <n v="1"/>
    <s v="Life Sciences"/>
    <n v="1"/>
    <n v="1590"/>
    <x v="3"/>
    <s v="Male"/>
    <n v="87"/>
    <n v="3"/>
    <x v="0"/>
    <x v="4"/>
    <x v="0"/>
    <s v="Divorced"/>
    <n v="8853"/>
    <n v="24483"/>
    <n v="1"/>
    <s v="Y"/>
    <s v="No"/>
    <n v="19"/>
    <n v="3"/>
    <n v="4"/>
    <n v="80"/>
    <n v="1"/>
    <n v="6"/>
    <n v="0"/>
    <n v="4"/>
    <x v="0"/>
    <n v="4"/>
    <n v="1"/>
    <n v="3"/>
    <s v="26-35"/>
    <s v="High"/>
    <s v="6-10"/>
    <s v="Mid-Level"/>
    <s v="Standard"/>
    <s v="High"/>
    <x v="0"/>
  </r>
  <r>
    <n v="50"/>
    <x v="1"/>
    <s v="Travel_Rarely"/>
    <n v="264"/>
    <x v="0"/>
    <n v="9"/>
    <n v="3"/>
    <s v="Marketing"/>
    <n v="1"/>
    <n v="1591"/>
    <x v="1"/>
    <s v="Male"/>
    <n v="59"/>
    <n v="3"/>
    <x v="4"/>
    <x v="5"/>
    <x v="2"/>
    <s v="Married"/>
    <n v="19331"/>
    <n v="19519"/>
    <n v="4"/>
    <s v="Y"/>
    <s v="Yes"/>
    <n v="16"/>
    <n v="3"/>
    <n v="3"/>
    <n v="80"/>
    <n v="1"/>
    <n v="27"/>
    <n v="2"/>
    <n v="3"/>
    <x v="6"/>
    <n v="0"/>
    <n v="0"/>
    <n v="0"/>
    <s v="46-55"/>
    <s v="Very High"/>
    <s v="0-2"/>
    <s v="Senior"/>
    <s v="Standard"/>
    <s v="High"/>
    <x v="0"/>
  </r>
  <r>
    <n v="23"/>
    <x v="1"/>
    <s v="Travel_Rarely"/>
    <n v="977"/>
    <x v="1"/>
    <n v="10"/>
    <n v="3"/>
    <s v="Technical Degree"/>
    <n v="1"/>
    <n v="1592"/>
    <x v="2"/>
    <s v="Male"/>
    <n v="45"/>
    <n v="4"/>
    <x v="1"/>
    <x v="1"/>
    <x v="2"/>
    <s v="Married"/>
    <n v="2073"/>
    <n v="12826"/>
    <n v="2"/>
    <s v="Y"/>
    <s v="No"/>
    <n v="16"/>
    <n v="3"/>
    <n v="4"/>
    <n v="80"/>
    <n v="1"/>
    <n v="4"/>
    <n v="2"/>
    <n v="3"/>
    <x v="4"/>
    <n v="2"/>
    <n v="2"/>
    <n v="2"/>
    <s v="18-25"/>
    <s v="Low"/>
    <s v="0-2"/>
    <s v="Junior"/>
    <s v="Standard"/>
    <s v="High"/>
    <x v="0"/>
  </r>
  <r>
    <n v="36"/>
    <x v="1"/>
    <s v="Travel_Frequently"/>
    <n v="1302"/>
    <x v="1"/>
    <n v="6"/>
    <n v="4"/>
    <s v="Life Sciences"/>
    <n v="1"/>
    <n v="1594"/>
    <x v="3"/>
    <s v="Male"/>
    <n v="80"/>
    <n v="4"/>
    <x v="0"/>
    <x v="2"/>
    <x v="3"/>
    <s v="Married"/>
    <n v="5562"/>
    <n v="19711"/>
    <n v="3"/>
    <s v="Y"/>
    <s v="Yes"/>
    <n v="13"/>
    <n v="3"/>
    <n v="4"/>
    <n v="80"/>
    <n v="1"/>
    <n v="9"/>
    <n v="3"/>
    <n v="3"/>
    <x v="11"/>
    <n v="2"/>
    <n v="0"/>
    <n v="2"/>
    <s v="36-45"/>
    <s v="Medium"/>
    <s v="3-5"/>
    <s v="Mid-Level"/>
    <s v="Standard"/>
    <s v="Low"/>
    <x v="0"/>
  </r>
  <r>
    <n v="42"/>
    <x v="1"/>
    <s v="Travel_Rarely"/>
    <n v="1059"/>
    <x v="1"/>
    <n v="9"/>
    <n v="2"/>
    <s v="Other"/>
    <n v="1"/>
    <n v="1595"/>
    <x v="2"/>
    <s v="Male"/>
    <n v="93"/>
    <n v="2"/>
    <x v="4"/>
    <x v="5"/>
    <x v="0"/>
    <s v="Single"/>
    <n v="19613"/>
    <n v="26362"/>
    <n v="8"/>
    <s v="Y"/>
    <s v="No"/>
    <n v="22"/>
    <n v="4"/>
    <n v="4"/>
    <n v="80"/>
    <n v="0"/>
    <n v="24"/>
    <n v="2"/>
    <n v="3"/>
    <x v="6"/>
    <n v="0"/>
    <n v="0"/>
    <n v="1"/>
    <s v="36-45"/>
    <s v="Very High"/>
    <s v="0-2"/>
    <s v="Senior"/>
    <s v="Excellent"/>
    <s v="High"/>
    <x v="0"/>
  </r>
  <r>
    <n v="35"/>
    <x v="1"/>
    <s v="Travel_Rarely"/>
    <n v="750"/>
    <x v="1"/>
    <n v="28"/>
    <n v="3"/>
    <s v="Life Sciences"/>
    <n v="1"/>
    <n v="1596"/>
    <x v="0"/>
    <s v="Male"/>
    <n v="46"/>
    <n v="4"/>
    <x v="0"/>
    <x v="2"/>
    <x v="2"/>
    <s v="Married"/>
    <n v="3407"/>
    <n v="25348"/>
    <n v="1"/>
    <s v="Y"/>
    <s v="No"/>
    <n v="17"/>
    <n v="3"/>
    <n v="4"/>
    <n v="80"/>
    <n v="2"/>
    <n v="10"/>
    <n v="3"/>
    <n v="2"/>
    <x v="1"/>
    <n v="9"/>
    <n v="6"/>
    <n v="8"/>
    <s v="26-35"/>
    <s v="Medium"/>
    <s v="6-10"/>
    <s v="Mid-Level"/>
    <s v="Standard"/>
    <s v="High"/>
    <x v="0"/>
  </r>
  <r>
    <n v="34"/>
    <x v="1"/>
    <s v="Travel_Frequently"/>
    <n v="653"/>
    <x v="1"/>
    <n v="10"/>
    <n v="4"/>
    <s v="Technical Degree"/>
    <n v="1"/>
    <n v="1597"/>
    <x v="2"/>
    <s v="Male"/>
    <n v="92"/>
    <n v="2"/>
    <x v="0"/>
    <x v="4"/>
    <x v="2"/>
    <s v="Married"/>
    <n v="5063"/>
    <n v="15332"/>
    <n v="1"/>
    <s v="Y"/>
    <s v="No"/>
    <n v="14"/>
    <n v="3"/>
    <n v="2"/>
    <n v="80"/>
    <n v="1"/>
    <n v="8"/>
    <n v="3"/>
    <n v="2"/>
    <x v="3"/>
    <n v="2"/>
    <n v="7"/>
    <n v="7"/>
    <s v="26-35"/>
    <s v="Medium"/>
    <s v="6-10"/>
    <s v="Mid-Level"/>
    <s v="Standard"/>
    <s v="High"/>
    <x v="0"/>
  </r>
  <r>
    <n v="40"/>
    <x v="1"/>
    <s v="Travel_Rarely"/>
    <n v="118"/>
    <x v="0"/>
    <n v="14"/>
    <n v="2"/>
    <s v="Life Sciences"/>
    <n v="1"/>
    <n v="1598"/>
    <x v="2"/>
    <s v="Female"/>
    <n v="84"/>
    <n v="3"/>
    <x v="0"/>
    <x v="0"/>
    <x v="3"/>
    <s v="Married"/>
    <n v="4639"/>
    <n v="11262"/>
    <n v="1"/>
    <s v="Y"/>
    <s v="No"/>
    <n v="15"/>
    <n v="3"/>
    <n v="3"/>
    <n v="80"/>
    <n v="1"/>
    <n v="5"/>
    <n v="2"/>
    <n v="3"/>
    <x v="8"/>
    <n v="4"/>
    <n v="1"/>
    <n v="2"/>
    <s v="36-45"/>
    <s v="Medium"/>
    <s v="3-5"/>
    <s v="Junior"/>
    <s v="Standard"/>
    <s v="Low"/>
    <x v="0"/>
  </r>
  <r>
    <n v="43"/>
    <x v="1"/>
    <s v="Travel_Rarely"/>
    <n v="990"/>
    <x v="1"/>
    <n v="27"/>
    <n v="3"/>
    <s v="Technical Degree"/>
    <n v="1"/>
    <n v="1599"/>
    <x v="2"/>
    <s v="Male"/>
    <n v="87"/>
    <n v="4"/>
    <x v="1"/>
    <x v="2"/>
    <x v="1"/>
    <s v="Divorced"/>
    <n v="4876"/>
    <n v="5855"/>
    <n v="5"/>
    <s v="Y"/>
    <s v="No"/>
    <n v="12"/>
    <n v="3"/>
    <n v="3"/>
    <n v="80"/>
    <n v="1"/>
    <n v="8"/>
    <n v="0"/>
    <n v="3"/>
    <x v="0"/>
    <n v="4"/>
    <n v="0"/>
    <n v="2"/>
    <s v="36-45"/>
    <s v="Medium"/>
    <s v="6-10"/>
    <s v="Mid-Level"/>
    <s v="Standard"/>
    <s v="Low"/>
    <x v="0"/>
  </r>
  <r>
    <n v="35"/>
    <x v="1"/>
    <s v="Travel_Rarely"/>
    <n v="1349"/>
    <x v="1"/>
    <n v="7"/>
    <n v="2"/>
    <s v="Life Sciences"/>
    <n v="1"/>
    <n v="1601"/>
    <x v="1"/>
    <s v="Male"/>
    <n v="63"/>
    <n v="2"/>
    <x v="1"/>
    <x v="2"/>
    <x v="0"/>
    <s v="Married"/>
    <n v="2690"/>
    <n v="7713"/>
    <n v="1"/>
    <s v="Y"/>
    <s v="No"/>
    <n v="18"/>
    <n v="3"/>
    <n v="4"/>
    <n v="80"/>
    <n v="1"/>
    <n v="1"/>
    <n v="5"/>
    <n v="2"/>
    <x v="6"/>
    <n v="0"/>
    <n v="0"/>
    <n v="1"/>
    <s v="26-35"/>
    <s v="Low"/>
    <s v="0-2"/>
    <s v="Junior"/>
    <s v="Standard"/>
    <s v="High"/>
    <x v="0"/>
  </r>
  <r>
    <n v="46"/>
    <x v="1"/>
    <s v="Travel_Rarely"/>
    <n v="563"/>
    <x v="0"/>
    <n v="1"/>
    <n v="4"/>
    <s v="Life Sciences"/>
    <n v="1"/>
    <n v="1602"/>
    <x v="2"/>
    <s v="Male"/>
    <n v="56"/>
    <n v="4"/>
    <x v="3"/>
    <x v="5"/>
    <x v="3"/>
    <s v="Single"/>
    <n v="17567"/>
    <n v="3156"/>
    <n v="1"/>
    <s v="Y"/>
    <s v="No"/>
    <n v="15"/>
    <n v="3"/>
    <n v="2"/>
    <n v="80"/>
    <n v="0"/>
    <n v="27"/>
    <n v="5"/>
    <n v="1"/>
    <x v="34"/>
    <n v="0"/>
    <n v="0"/>
    <n v="12"/>
    <s v="46-55"/>
    <s v="Very High"/>
    <s v="16+"/>
    <s v="Senior"/>
    <s v="Standard"/>
    <s v="Low"/>
    <x v="0"/>
  </r>
  <r>
    <n v="28"/>
    <x v="0"/>
    <s v="Travel_Rarely"/>
    <n v="329"/>
    <x v="1"/>
    <n v="24"/>
    <n v="3"/>
    <s v="Medical"/>
    <n v="1"/>
    <n v="1604"/>
    <x v="1"/>
    <s v="Male"/>
    <n v="51"/>
    <n v="3"/>
    <x v="1"/>
    <x v="2"/>
    <x v="1"/>
    <s v="Married"/>
    <n v="2408"/>
    <n v="7324"/>
    <n v="1"/>
    <s v="Y"/>
    <s v="Yes"/>
    <n v="17"/>
    <n v="3"/>
    <n v="3"/>
    <n v="80"/>
    <n v="3"/>
    <n v="1"/>
    <n v="3"/>
    <n v="3"/>
    <x v="6"/>
    <n v="1"/>
    <n v="0"/>
    <n v="0"/>
    <s v="26-35"/>
    <s v="Low"/>
    <s v="0-2"/>
    <s v="Junior"/>
    <s v="Standard"/>
    <s v="Low"/>
    <x v="1"/>
  </r>
  <r>
    <n v="22"/>
    <x v="1"/>
    <s v="Non-Travel"/>
    <n v="457"/>
    <x v="1"/>
    <n v="26"/>
    <n v="2"/>
    <s v="Other"/>
    <n v="1"/>
    <n v="1605"/>
    <x v="0"/>
    <s v="Female"/>
    <n v="85"/>
    <n v="2"/>
    <x v="1"/>
    <x v="1"/>
    <x v="2"/>
    <s v="Married"/>
    <n v="2814"/>
    <n v="10293"/>
    <n v="1"/>
    <s v="Y"/>
    <s v="Yes"/>
    <n v="14"/>
    <n v="3"/>
    <n v="2"/>
    <n v="80"/>
    <n v="0"/>
    <n v="4"/>
    <n v="2"/>
    <n v="2"/>
    <x v="9"/>
    <n v="2"/>
    <n v="1"/>
    <n v="3"/>
    <s v="18-25"/>
    <s v="Low"/>
    <s v="3-5"/>
    <s v="Junior"/>
    <s v="Standard"/>
    <s v="High"/>
    <x v="0"/>
  </r>
  <r>
    <n v="50"/>
    <x v="1"/>
    <s v="Travel_Frequently"/>
    <n v="1234"/>
    <x v="1"/>
    <n v="20"/>
    <n v="5"/>
    <s v="Medical"/>
    <n v="1"/>
    <n v="1606"/>
    <x v="0"/>
    <s v="Male"/>
    <n v="41"/>
    <n v="3"/>
    <x v="3"/>
    <x v="4"/>
    <x v="2"/>
    <s v="Married"/>
    <n v="11245"/>
    <n v="20689"/>
    <n v="2"/>
    <s v="Y"/>
    <s v="Yes"/>
    <n v="15"/>
    <n v="3"/>
    <n v="3"/>
    <n v="80"/>
    <n v="1"/>
    <n v="32"/>
    <n v="3"/>
    <n v="3"/>
    <x v="35"/>
    <n v="8"/>
    <n v="12"/>
    <n v="13"/>
    <s v="46-55"/>
    <s v="Very High"/>
    <s v="16+"/>
    <s v="Senior"/>
    <s v="Standard"/>
    <s v="High"/>
    <x v="0"/>
  </r>
  <r>
    <n v="32"/>
    <x v="1"/>
    <s v="Travel_Rarely"/>
    <n v="634"/>
    <x v="1"/>
    <n v="5"/>
    <n v="4"/>
    <s v="Other"/>
    <n v="1"/>
    <n v="1607"/>
    <x v="0"/>
    <s v="Female"/>
    <n v="35"/>
    <n v="4"/>
    <x v="1"/>
    <x v="1"/>
    <x v="0"/>
    <s v="Married"/>
    <n v="3312"/>
    <n v="18783"/>
    <n v="3"/>
    <s v="Y"/>
    <s v="No"/>
    <n v="17"/>
    <n v="3"/>
    <n v="4"/>
    <n v="80"/>
    <n v="2"/>
    <n v="6"/>
    <n v="3"/>
    <n v="3"/>
    <x v="11"/>
    <n v="2"/>
    <n v="0"/>
    <n v="2"/>
    <s v="26-35"/>
    <s v="Medium"/>
    <s v="3-5"/>
    <s v="Mid-Level"/>
    <s v="Standard"/>
    <s v="High"/>
    <x v="0"/>
  </r>
  <r>
    <n v="44"/>
    <x v="1"/>
    <s v="Travel_Rarely"/>
    <n v="1313"/>
    <x v="1"/>
    <n v="7"/>
    <n v="3"/>
    <s v="Medical"/>
    <n v="1"/>
    <n v="1608"/>
    <x v="0"/>
    <s v="Female"/>
    <n v="31"/>
    <n v="3"/>
    <x v="4"/>
    <x v="7"/>
    <x v="0"/>
    <s v="Divorced"/>
    <n v="19049"/>
    <n v="3549"/>
    <n v="0"/>
    <s v="Y"/>
    <s v="Yes"/>
    <n v="14"/>
    <n v="3"/>
    <n v="4"/>
    <n v="80"/>
    <n v="1"/>
    <n v="23"/>
    <n v="4"/>
    <n v="2"/>
    <x v="14"/>
    <n v="7"/>
    <n v="1"/>
    <n v="10"/>
    <s v="36-45"/>
    <s v="Very High"/>
    <s v="16+"/>
    <s v="Senior"/>
    <s v="Standard"/>
    <s v="High"/>
    <x v="0"/>
  </r>
  <r>
    <n v="30"/>
    <x v="1"/>
    <s v="Travel_Rarely"/>
    <n v="241"/>
    <x v="1"/>
    <n v="7"/>
    <n v="3"/>
    <s v="Medical"/>
    <n v="1"/>
    <n v="1609"/>
    <x v="0"/>
    <s v="Male"/>
    <n v="48"/>
    <n v="2"/>
    <x v="1"/>
    <x v="1"/>
    <x v="1"/>
    <s v="Married"/>
    <n v="2141"/>
    <n v="5348"/>
    <n v="1"/>
    <s v="Y"/>
    <s v="No"/>
    <n v="12"/>
    <n v="3"/>
    <n v="2"/>
    <n v="80"/>
    <n v="1"/>
    <n v="6"/>
    <n v="3"/>
    <n v="2"/>
    <x v="0"/>
    <n v="4"/>
    <n v="1"/>
    <n v="1"/>
    <s v="26-35"/>
    <s v="Low"/>
    <s v="6-10"/>
    <s v="Mid-Level"/>
    <s v="Standard"/>
    <s v="Low"/>
    <x v="0"/>
  </r>
  <r>
    <n v="45"/>
    <x v="1"/>
    <s v="Travel_Rarely"/>
    <n v="1015"/>
    <x v="1"/>
    <n v="5"/>
    <n v="5"/>
    <s v="Medical"/>
    <n v="1"/>
    <n v="1611"/>
    <x v="1"/>
    <s v="Female"/>
    <n v="50"/>
    <n v="1"/>
    <x v="0"/>
    <x v="2"/>
    <x v="3"/>
    <s v="Single"/>
    <n v="5769"/>
    <n v="23447"/>
    <n v="1"/>
    <s v="Y"/>
    <s v="Yes"/>
    <n v="14"/>
    <n v="3"/>
    <n v="1"/>
    <n v="80"/>
    <n v="0"/>
    <n v="10"/>
    <n v="3"/>
    <n v="3"/>
    <x v="1"/>
    <n v="7"/>
    <n v="1"/>
    <n v="4"/>
    <s v="36-45"/>
    <s v="Medium"/>
    <s v="6-10"/>
    <s v="Mid-Level"/>
    <s v="Standard"/>
    <s v="Low"/>
    <x v="0"/>
  </r>
  <r>
    <n v="45"/>
    <x v="1"/>
    <s v="Non-Travel"/>
    <n v="336"/>
    <x v="0"/>
    <n v="26"/>
    <n v="3"/>
    <s v="Marketing"/>
    <n v="1"/>
    <n v="1612"/>
    <x v="3"/>
    <s v="Male"/>
    <n v="52"/>
    <n v="2"/>
    <x v="0"/>
    <x v="0"/>
    <x v="3"/>
    <s v="Married"/>
    <n v="4385"/>
    <n v="24162"/>
    <n v="1"/>
    <s v="Y"/>
    <s v="No"/>
    <n v="15"/>
    <n v="3"/>
    <n v="1"/>
    <n v="80"/>
    <n v="1"/>
    <n v="10"/>
    <n v="2"/>
    <n v="3"/>
    <x v="1"/>
    <n v="7"/>
    <n v="4"/>
    <n v="5"/>
    <s v="36-45"/>
    <s v="Medium"/>
    <s v="6-10"/>
    <s v="Mid-Level"/>
    <s v="Standard"/>
    <s v="Low"/>
    <x v="0"/>
  </r>
  <r>
    <n v="31"/>
    <x v="1"/>
    <s v="Travel_Frequently"/>
    <n v="715"/>
    <x v="0"/>
    <n v="2"/>
    <n v="4"/>
    <s v="Other"/>
    <n v="1"/>
    <n v="1613"/>
    <x v="2"/>
    <s v="Male"/>
    <n v="54"/>
    <n v="3"/>
    <x v="0"/>
    <x v="0"/>
    <x v="3"/>
    <s v="Single"/>
    <n v="5332"/>
    <n v="21602"/>
    <n v="7"/>
    <s v="Y"/>
    <s v="No"/>
    <n v="13"/>
    <n v="3"/>
    <n v="4"/>
    <n v="80"/>
    <n v="0"/>
    <n v="10"/>
    <n v="3"/>
    <n v="3"/>
    <x v="8"/>
    <n v="2"/>
    <n v="0"/>
    <n v="3"/>
    <s v="26-35"/>
    <s v="Medium"/>
    <s v="3-5"/>
    <s v="Mid-Level"/>
    <s v="Standard"/>
    <s v="Low"/>
    <x v="0"/>
  </r>
  <r>
    <n v="36"/>
    <x v="1"/>
    <s v="Travel_Rarely"/>
    <n v="559"/>
    <x v="1"/>
    <n v="12"/>
    <n v="4"/>
    <s v="Life Sciences"/>
    <n v="1"/>
    <n v="1614"/>
    <x v="1"/>
    <s v="Female"/>
    <n v="76"/>
    <n v="3"/>
    <x v="0"/>
    <x v="3"/>
    <x v="2"/>
    <s v="Married"/>
    <n v="4663"/>
    <n v="12421"/>
    <n v="9"/>
    <s v="Y"/>
    <s v="Yes"/>
    <n v="12"/>
    <n v="3"/>
    <n v="2"/>
    <n v="80"/>
    <n v="2"/>
    <n v="7"/>
    <n v="2"/>
    <n v="3"/>
    <x v="11"/>
    <n v="2"/>
    <n v="1"/>
    <n v="1"/>
    <s v="36-45"/>
    <s v="Medium"/>
    <s v="3-5"/>
    <s v="Mid-Level"/>
    <s v="Standard"/>
    <s v="High"/>
    <x v="0"/>
  </r>
  <r>
    <n v="34"/>
    <x v="1"/>
    <s v="Travel_Frequently"/>
    <n v="426"/>
    <x v="1"/>
    <n v="10"/>
    <n v="4"/>
    <s v="Life Sciences"/>
    <n v="1"/>
    <n v="1615"/>
    <x v="1"/>
    <s v="Male"/>
    <n v="42"/>
    <n v="4"/>
    <x v="0"/>
    <x v="3"/>
    <x v="0"/>
    <s v="Divorced"/>
    <n v="4724"/>
    <n v="17000"/>
    <n v="1"/>
    <s v="Y"/>
    <s v="No"/>
    <n v="13"/>
    <n v="3"/>
    <n v="1"/>
    <n v="80"/>
    <n v="1"/>
    <n v="9"/>
    <n v="3"/>
    <n v="3"/>
    <x v="7"/>
    <n v="7"/>
    <n v="7"/>
    <n v="2"/>
    <s v="26-35"/>
    <s v="Medium"/>
    <s v="6-10"/>
    <s v="Mid-Level"/>
    <s v="Standard"/>
    <s v="High"/>
    <x v="0"/>
  </r>
  <r>
    <n v="49"/>
    <x v="1"/>
    <s v="Travel_Rarely"/>
    <n v="722"/>
    <x v="1"/>
    <n v="25"/>
    <n v="4"/>
    <s v="Life Sciences"/>
    <n v="1"/>
    <n v="1617"/>
    <x v="1"/>
    <s v="Female"/>
    <n v="84"/>
    <n v="3"/>
    <x v="1"/>
    <x v="2"/>
    <x v="3"/>
    <s v="Married"/>
    <n v="3211"/>
    <n v="22102"/>
    <n v="1"/>
    <s v="Y"/>
    <s v="No"/>
    <n v="14"/>
    <n v="3"/>
    <n v="4"/>
    <n v="80"/>
    <n v="1"/>
    <n v="10"/>
    <n v="3"/>
    <n v="2"/>
    <x v="7"/>
    <n v="6"/>
    <n v="1"/>
    <n v="4"/>
    <s v="46-55"/>
    <s v="Medium"/>
    <s v="6-10"/>
    <s v="Mid-Level"/>
    <s v="Standard"/>
    <s v="Low"/>
    <x v="0"/>
  </r>
  <r>
    <n v="39"/>
    <x v="1"/>
    <s v="Travel_Rarely"/>
    <n v="1387"/>
    <x v="1"/>
    <n v="10"/>
    <n v="5"/>
    <s v="Medical"/>
    <n v="1"/>
    <n v="1618"/>
    <x v="0"/>
    <s v="Male"/>
    <n v="76"/>
    <n v="3"/>
    <x v="0"/>
    <x v="3"/>
    <x v="3"/>
    <s v="Married"/>
    <n v="5377"/>
    <n v="3835"/>
    <n v="2"/>
    <s v="Y"/>
    <s v="No"/>
    <n v="13"/>
    <n v="3"/>
    <n v="4"/>
    <n v="80"/>
    <n v="3"/>
    <n v="10"/>
    <n v="3"/>
    <n v="3"/>
    <x v="5"/>
    <n v="7"/>
    <n v="7"/>
    <n v="7"/>
    <s v="36-45"/>
    <s v="Medium"/>
    <s v="6-10"/>
    <s v="Mid-Level"/>
    <s v="Standard"/>
    <s v="Low"/>
    <x v="0"/>
  </r>
  <r>
    <n v="27"/>
    <x v="1"/>
    <s v="Travel_Rarely"/>
    <n v="1302"/>
    <x v="1"/>
    <n v="19"/>
    <n v="3"/>
    <s v="Other"/>
    <n v="1"/>
    <n v="1619"/>
    <x v="2"/>
    <s v="Male"/>
    <n v="67"/>
    <n v="2"/>
    <x v="1"/>
    <x v="2"/>
    <x v="3"/>
    <s v="Divorced"/>
    <n v="4066"/>
    <n v="16290"/>
    <n v="1"/>
    <s v="Y"/>
    <s v="No"/>
    <n v="11"/>
    <n v="3"/>
    <n v="1"/>
    <n v="80"/>
    <n v="2"/>
    <n v="7"/>
    <n v="3"/>
    <n v="3"/>
    <x v="5"/>
    <n v="7"/>
    <n v="0"/>
    <n v="7"/>
    <s v="26-35"/>
    <s v="Medium"/>
    <s v="6-10"/>
    <s v="Mid-Level"/>
    <s v="Standard"/>
    <s v="Low"/>
    <x v="0"/>
  </r>
  <r>
    <n v="35"/>
    <x v="1"/>
    <s v="Travel_Rarely"/>
    <n v="819"/>
    <x v="1"/>
    <n v="18"/>
    <n v="5"/>
    <s v="Life Sciences"/>
    <n v="1"/>
    <n v="1621"/>
    <x v="0"/>
    <s v="Male"/>
    <n v="48"/>
    <n v="4"/>
    <x v="0"/>
    <x v="1"/>
    <x v="3"/>
    <s v="Married"/>
    <n v="5208"/>
    <n v="26312"/>
    <n v="1"/>
    <s v="Y"/>
    <s v="No"/>
    <n v="11"/>
    <n v="3"/>
    <n v="4"/>
    <n v="80"/>
    <n v="0"/>
    <n v="16"/>
    <n v="2"/>
    <n v="3"/>
    <x v="22"/>
    <n v="15"/>
    <n v="1"/>
    <n v="10"/>
    <s v="26-35"/>
    <s v="Medium"/>
    <s v="16+"/>
    <s v="Senior"/>
    <s v="Standard"/>
    <s v="Low"/>
    <x v="0"/>
  </r>
  <r>
    <n v="28"/>
    <x v="1"/>
    <s v="Travel_Rarely"/>
    <n v="580"/>
    <x v="1"/>
    <n v="27"/>
    <n v="3"/>
    <s v="Medical"/>
    <n v="1"/>
    <n v="1622"/>
    <x v="0"/>
    <s v="Female"/>
    <n v="39"/>
    <n v="1"/>
    <x v="0"/>
    <x v="3"/>
    <x v="3"/>
    <s v="Divorced"/>
    <n v="4877"/>
    <n v="20460"/>
    <n v="0"/>
    <s v="Y"/>
    <s v="No"/>
    <n v="21"/>
    <n v="4"/>
    <n v="2"/>
    <n v="80"/>
    <n v="1"/>
    <n v="6"/>
    <n v="5"/>
    <n v="2"/>
    <x v="8"/>
    <n v="3"/>
    <n v="0"/>
    <n v="0"/>
    <s v="26-35"/>
    <s v="Medium"/>
    <s v="3-5"/>
    <s v="Mid-Level"/>
    <s v="Excellent"/>
    <s v="Low"/>
    <x v="0"/>
  </r>
  <r>
    <n v="21"/>
    <x v="1"/>
    <s v="Travel_Rarely"/>
    <n v="546"/>
    <x v="1"/>
    <n v="5"/>
    <n v="1"/>
    <s v="Medical"/>
    <n v="1"/>
    <n v="1623"/>
    <x v="1"/>
    <s v="Male"/>
    <n v="97"/>
    <n v="3"/>
    <x v="1"/>
    <x v="1"/>
    <x v="0"/>
    <s v="Single"/>
    <n v="3117"/>
    <n v="26009"/>
    <n v="1"/>
    <s v="Y"/>
    <s v="No"/>
    <n v="18"/>
    <n v="3"/>
    <n v="3"/>
    <n v="80"/>
    <n v="0"/>
    <n v="3"/>
    <n v="2"/>
    <n v="3"/>
    <x v="4"/>
    <n v="2"/>
    <n v="2"/>
    <n v="2"/>
    <s v="18-25"/>
    <s v="Medium"/>
    <s v="0-2"/>
    <s v="Junior"/>
    <s v="Standard"/>
    <s v="High"/>
    <x v="0"/>
  </r>
  <r>
    <n v="18"/>
    <x v="0"/>
    <s v="Travel_Frequently"/>
    <n v="544"/>
    <x v="0"/>
    <n v="3"/>
    <n v="2"/>
    <s v="Medical"/>
    <n v="1"/>
    <n v="1624"/>
    <x v="0"/>
    <s v="Female"/>
    <n v="70"/>
    <n v="3"/>
    <x v="1"/>
    <x v="6"/>
    <x v="0"/>
    <s v="Single"/>
    <n v="1569"/>
    <n v="18420"/>
    <n v="1"/>
    <s v="Y"/>
    <s v="Yes"/>
    <n v="12"/>
    <n v="3"/>
    <n v="3"/>
    <n v="80"/>
    <n v="0"/>
    <n v="0"/>
    <n v="2"/>
    <n v="4"/>
    <x v="2"/>
    <n v="0"/>
    <n v="0"/>
    <n v="0"/>
    <s v="18-25"/>
    <s v="Low"/>
    <s v="0-2"/>
    <s v="Junior"/>
    <s v="Standard"/>
    <s v="High"/>
    <x v="0"/>
  </r>
  <r>
    <n v="47"/>
    <x v="1"/>
    <s v="Travel_Rarely"/>
    <n v="1176"/>
    <x v="2"/>
    <n v="26"/>
    <n v="4"/>
    <s v="Life Sciences"/>
    <n v="1"/>
    <n v="1625"/>
    <x v="2"/>
    <s v="Female"/>
    <n v="98"/>
    <n v="3"/>
    <x v="4"/>
    <x v="5"/>
    <x v="2"/>
    <s v="Married"/>
    <n v="19658"/>
    <n v="5220"/>
    <n v="3"/>
    <s v="Y"/>
    <s v="No"/>
    <n v="11"/>
    <n v="3"/>
    <n v="3"/>
    <n v="80"/>
    <n v="1"/>
    <n v="27"/>
    <n v="2"/>
    <n v="3"/>
    <x v="8"/>
    <n v="2"/>
    <n v="1"/>
    <n v="0"/>
    <s v="46-55"/>
    <s v="Very High"/>
    <s v="3-5"/>
    <s v="Senior"/>
    <s v="Standard"/>
    <s v="High"/>
    <x v="0"/>
  </r>
  <r>
    <n v="39"/>
    <x v="1"/>
    <s v="Travel_Rarely"/>
    <n v="170"/>
    <x v="1"/>
    <n v="3"/>
    <n v="2"/>
    <s v="Medical"/>
    <n v="1"/>
    <n v="1627"/>
    <x v="1"/>
    <s v="Male"/>
    <n v="76"/>
    <n v="2"/>
    <x v="0"/>
    <x v="2"/>
    <x v="2"/>
    <s v="Divorced"/>
    <n v="3069"/>
    <n v="10302"/>
    <n v="0"/>
    <s v="Y"/>
    <s v="No"/>
    <n v="15"/>
    <n v="3"/>
    <n v="4"/>
    <n v="80"/>
    <n v="1"/>
    <n v="11"/>
    <n v="3"/>
    <n v="3"/>
    <x v="1"/>
    <n v="8"/>
    <n v="0"/>
    <n v="7"/>
    <s v="36-45"/>
    <s v="Medium"/>
    <s v="6-10"/>
    <s v="Mid-Level"/>
    <s v="Standard"/>
    <s v="High"/>
    <x v="0"/>
  </r>
  <r>
    <n v="40"/>
    <x v="1"/>
    <s v="Travel_Rarely"/>
    <n v="884"/>
    <x v="1"/>
    <n v="15"/>
    <n v="3"/>
    <s v="Life Sciences"/>
    <n v="1"/>
    <n v="1628"/>
    <x v="3"/>
    <s v="Female"/>
    <n v="80"/>
    <n v="2"/>
    <x v="2"/>
    <x v="3"/>
    <x v="2"/>
    <s v="Married"/>
    <n v="10435"/>
    <n v="25800"/>
    <n v="1"/>
    <s v="Y"/>
    <s v="No"/>
    <n v="13"/>
    <n v="3"/>
    <n v="4"/>
    <n v="80"/>
    <n v="2"/>
    <n v="18"/>
    <n v="2"/>
    <n v="3"/>
    <x v="29"/>
    <n v="15"/>
    <n v="14"/>
    <n v="12"/>
    <s v="36-45"/>
    <s v="Very High"/>
    <s v="16+"/>
    <s v="Senior"/>
    <s v="Standard"/>
    <s v="High"/>
    <x v="0"/>
  </r>
  <r>
    <n v="35"/>
    <x v="1"/>
    <s v="Non-Travel"/>
    <n v="208"/>
    <x v="1"/>
    <n v="8"/>
    <n v="4"/>
    <s v="Life Sciences"/>
    <n v="1"/>
    <n v="1630"/>
    <x v="1"/>
    <s v="Female"/>
    <n v="52"/>
    <n v="3"/>
    <x v="0"/>
    <x v="4"/>
    <x v="2"/>
    <s v="Married"/>
    <n v="4148"/>
    <n v="12250"/>
    <n v="1"/>
    <s v="Y"/>
    <s v="No"/>
    <n v="12"/>
    <n v="3"/>
    <n v="4"/>
    <n v="80"/>
    <n v="1"/>
    <n v="15"/>
    <n v="5"/>
    <n v="3"/>
    <x v="13"/>
    <n v="11"/>
    <n v="2"/>
    <n v="9"/>
    <s v="26-35"/>
    <s v="Medium"/>
    <s v="11-15"/>
    <s v="Mid-Level"/>
    <s v="Standard"/>
    <s v="High"/>
    <x v="0"/>
  </r>
  <r>
    <n v="37"/>
    <x v="1"/>
    <s v="Travel_Rarely"/>
    <n v="671"/>
    <x v="1"/>
    <n v="19"/>
    <n v="3"/>
    <s v="Life Sciences"/>
    <n v="1"/>
    <n v="1631"/>
    <x v="1"/>
    <s v="Male"/>
    <n v="85"/>
    <n v="3"/>
    <x v="0"/>
    <x v="3"/>
    <x v="2"/>
    <s v="Married"/>
    <n v="5768"/>
    <n v="26493"/>
    <n v="3"/>
    <s v="Y"/>
    <s v="No"/>
    <n v="17"/>
    <n v="3"/>
    <n v="1"/>
    <n v="80"/>
    <n v="3"/>
    <n v="9"/>
    <n v="2"/>
    <n v="2"/>
    <x v="9"/>
    <n v="3"/>
    <n v="0"/>
    <n v="2"/>
    <s v="36-45"/>
    <s v="Medium"/>
    <s v="3-5"/>
    <s v="Mid-Level"/>
    <s v="Standard"/>
    <s v="High"/>
    <x v="0"/>
  </r>
  <r>
    <n v="39"/>
    <x v="1"/>
    <s v="Travel_Frequently"/>
    <n v="711"/>
    <x v="1"/>
    <n v="4"/>
    <n v="3"/>
    <s v="Medical"/>
    <n v="1"/>
    <n v="1633"/>
    <x v="3"/>
    <s v="Female"/>
    <n v="81"/>
    <n v="3"/>
    <x v="0"/>
    <x v="3"/>
    <x v="2"/>
    <s v="Single"/>
    <n v="5042"/>
    <n v="3140"/>
    <n v="0"/>
    <s v="Y"/>
    <s v="No"/>
    <n v="13"/>
    <n v="3"/>
    <n v="4"/>
    <n v="80"/>
    <n v="0"/>
    <n v="10"/>
    <n v="2"/>
    <n v="1"/>
    <x v="7"/>
    <n v="2"/>
    <n v="3"/>
    <n v="8"/>
    <s v="36-45"/>
    <s v="Medium"/>
    <s v="6-10"/>
    <s v="Mid-Level"/>
    <s v="Standard"/>
    <s v="High"/>
    <x v="0"/>
  </r>
  <r>
    <n v="45"/>
    <x v="1"/>
    <s v="Travel_Rarely"/>
    <n v="1329"/>
    <x v="1"/>
    <n v="2"/>
    <n v="2"/>
    <s v="Other"/>
    <n v="1"/>
    <n v="1635"/>
    <x v="2"/>
    <s v="Female"/>
    <n v="59"/>
    <n v="2"/>
    <x v="0"/>
    <x v="3"/>
    <x v="0"/>
    <s v="Divorced"/>
    <n v="5770"/>
    <n v="5388"/>
    <n v="1"/>
    <s v="Y"/>
    <s v="No"/>
    <n v="19"/>
    <n v="3"/>
    <n v="1"/>
    <n v="80"/>
    <n v="2"/>
    <n v="10"/>
    <n v="3"/>
    <n v="3"/>
    <x v="1"/>
    <n v="7"/>
    <n v="3"/>
    <n v="9"/>
    <s v="36-45"/>
    <s v="Medium"/>
    <s v="6-10"/>
    <s v="Mid-Level"/>
    <s v="Standard"/>
    <s v="High"/>
    <x v="0"/>
  </r>
  <r>
    <n v="38"/>
    <x v="1"/>
    <s v="Travel_Rarely"/>
    <n v="397"/>
    <x v="1"/>
    <n v="2"/>
    <n v="2"/>
    <s v="Medical"/>
    <n v="1"/>
    <n v="1638"/>
    <x v="2"/>
    <s v="Female"/>
    <n v="54"/>
    <n v="2"/>
    <x v="2"/>
    <x v="3"/>
    <x v="2"/>
    <s v="Married"/>
    <n v="7756"/>
    <n v="14199"/>
    <n v="3"/>
    <s v="Y"/>
    <s v="Yes"/>
    <n v="19"/>
    <n v="3"/>
    <n v="4"/>
    <n v="80"/>
    <n v="1"/>
    <n v="10"/>
    <n v="6"/>
    <n v="4"/>
    <x v="8"/>
    <n v="4"/>
    <n v="0"/>
    <n v="2"/>
    <s v="36-45"/>
    <s v="High"/>
    <s v="3-5"/>
    <s v="Mid-Level"/>
    <s v="Standard"/>
    <s v="High"/>
    <x v="0"/>
  </r>
  <r>
    <n v="35"/>
    <x v="0"/>
    <s v="Travel_Rarely"/>
    <n v="737"/>
    <x v="0"/>
    <n v="10"/>
    <n v="3"/>
    <s v="Medical"/>
    <n v="1"/>
    <n v="1639"/>
    <x v="2"/>
    <s v="Male"/>
    <n v="55"/>
    <n v="2"/>
    <x v="2"/>
    <x v="0"/>
    <x v="3"/>
    <s v="Married"/>
    <n v="10306"/>
    <n v="21530"/>
    <n v="9"/>
    <s v="Y"/>
    <s v="No"/>
    <n v="17"/>
    <n v="3"/>
    <n v="3"/>
    <n v="80"/>
    <n v="0"/>
    <n v="15"/>
    <n v="3"/>
    <n v="3"/>
    <x v="20"/>
    <n v="12"/>
    <n v="6"/>
    <n v="0"/>
    <s v="26-35"/>
    <s v="Very High"/>
    <s v="11-15"/>
    <s v="Mid-Level"/>
    <s v="Standard"/>
    <s v="Low"/>
    <x v="0"/>
  </r>
  <r>
    <n v="37"/>
    <x v="1"/>
    <s v="Travel_Rarely"/>
    <n v="1470"/>
    <x v="1"/>
    <n v="10"/>
    <n v="3"/>
    <s v="Medical"/>
    <n v="1"/>
    <n v="1640"/>
    <x v="0"/>
    <s v="Female"/>
    <n v="71"/>
    <n v="3"/>
    <x v="1"/>
    <x v="1"/>
    <x v="1"/>
    <s v="Married"/>
    <n v="3936"/>
    <n v="9953"/>
    <n v="1"/>
    <s v="Y"/>
    <s v="No"/>
    <n v="11"/>
    <n v="3"/>
    <n v="1"/>
    <n v="80"/>
    <n v="1"/>
    <n v="8"/>
    <n v="2"/>
    <n v="1"/>
    <x v="3"/>
    <n v="4"/>
    <n v="7"/>
    <n v="7"/>
    <s v="36-45"/>
    <s v="Medium"/>
    <s v="6-10"/>
    <s v="Mid-Level"/>
    <s v="Standard"/>
    <s v="Low"/>
    <x v="0"/>
  </r>
  <r>
    <n v="40"/>
    <x v="1"/>
    <s v="Travel_Rarely"/>
    <n v="448"/>
    <x v="1"/>
    <n v="16"/>
    <n v="3"/>
    <s v="Life Sciences"/>
    <n v="1"/>
    <n v="1641"/>
    <x v="1"/>
    <s v="Female"/>
    <n v="84"/>
    <n v="3"/>
    <x v="2"/>
    <x v="3"/>
    <x v="0"/>
    <s v="Single"/>
    <n v="7945"/>
    <n v="19948"/>
    <n v="6"/>
    <s v="Y"/>
    <s v="Yes"/>
    <n v="15"/>
    <n v="3"/>
    <n v="4"/>
    <n v="80"/>
    <n v="0"/>
    <n v="18"/>
    <n v="2"/>
    <n v="2"/>
    <x v="9"/>
    <n v="2"/>
    <n v="3"/>
    <n v="3"/>
    <s v="36-45"/>
    <s v="High"/>
    <s v="3-5"/>
    <s v="Senior"/>
    <s v="Standard"/>
    <s v="High"/>
    <x v="0"/>
  </r>
  <r>
    <n v="44"/>
    <x v="1"/>
    <s v="Travel_Frequently"/>
    <n v="602"/>
    <x v="2"/>
    <n v="1"/>
    <n v="5"/>
    <s v="Human Resources"/>
    <n v="1"/>
    <n v="1642"/>
    <x v="3"/>
    <s v="Male"/>
    <n v="37"/>
    <n v="3"/>
    <x v="0"/>
    <x v="8"/>
    <x v="0"/>
    <s v="Married"/>
    <n v="5743"/>
    <n v="10503"/>
    <n v="4"/>
    <s v="Y"/>
    <s v="Yes"/>
    <n v="11"/>
    <n v="3"/>
    <n v="3"/>
    <n v="80"/>
    <n v="0"/>
    <n v="14"/>
    <n v="3"/>
    <n v="3"/>
    <x v="1"/>
    <n v="7"/>
    <n v="0"/>
    <n v="2"/>
    <s v="36-45"/>
    <s v="Medium"/>
    <s v="6-10"/>
    <s v="Mid-Level"/>
    <s v="Standard"/>
    <s v="High"/>
    <x v="0"/>
  </r>
  <r>
    <n v="48"/>
    <x v="1"/>
    <s v="Travel_Frequently"/>
    <n v="365"/>
    <x v="1"/>
    <n v="4"/>
    <n v="5"/>
    <s v="Medical"/>
    <n v="1"/>
    <n v="1644"/>
    <x v="1"/>
    <s v="Male"/>
    <n v="89"/>
    <n v="2"/>
    <x v="3"/>
    <x v="5"/>
    <x v="0"/>
    <s v="Married"/>
    <n v="15202"/>
    <n v="5602"/>
    <n v="2"/>
    <s v="Y"/>
    <s v="No"/>
    <n v="25"/>
    <n v="4"/>
    <n v="2"/>
    <n v="80"/>
    <n v="1"/>
    <n v="23"/>
    <n v="3"/>
    <n v="3"/>
    <x v="4"/>
    <n v="2"/>
    <n v="2"/>
    <n v="2"/>
    <s v="46-55"/>
    <s v="Very High"/>
    <s v="0-2"/>
    <s v="Senior"/>
    <s v="Excellent"/>
    <s v="High"/>
    <x v="0"/>
  </r>
  <r>
    <n v="35"/>
    <x v="0"/>
    <s v="Travel_Rarely"/>
    <n v="763"/>
    <x v="0"/>
    <n v="15"/>
    <n v="2"/>
    <s v="Medical"/>
    <n v="1"/>
    <n v="1645"/>
    <x v="3"/>
    <s v="Male"/>
    <n v="59"/>
    <n v="1"/>
    <x v="0"/>
    <x v="0"/>
    <x v="0"/>
    <s v="Divorced"/>
    <n v="5440"/>
    <n v="22098"/>
    <n v="6"/>
    <s v="Y"/>
    <s v="Yes"/>
    <n v="14"/>
    <n v="3"/>
    <n v="4"/>
    <n v="80"/>
    <n v="2"/>
    <n v="7"/>
    <n v="2"/>
    <n v="2"/>
    <x v="4"/>
    <n v="2"/>
    <n v="2"/>
    <n v="2"/>
    <s v="26-35"/>
    <s v="Medium"/>
    <s v="0-2"/>
    <s v="Mid-Level"/>
    <s v="Standard"/>
    <s v="High"/>
    <x v="0"/>
  </r>
  <r>
    <n v="24"/>
    <x v="1"/>
    <s v="Travel_Frequently"/>
    <n v="567"/>
    <x v="1"/>
    <n v="2"/>
    <n v="1"/>
    <s v="Technical Degree"/>
    <n v="1"/>
    <n v="1646"/>
    <x v="3"/>
    <s v="Female"/>
    <n v="32"/>
    <n v="3"/>
    <x v="1"/>
    <x v="1"/>
    <x v="0"/>
    <s v="Single"/>
    <n v="3760"/>
    <n v="17218"/>
    <n v="1"/>
    <s v="Y"/>
    <s v="Yes"/>
    <n v="13"/>
    <n v="3"/>
    <n v="3"/>
    <n v="80"/>
    <n v="0"/>
    <n v="6"/>
    <n v="2"/>
    <n v="3"/>
    <x v="0"/>
    <n v="3"/>
    <n v="1"/>
    <n v="3"/>
    <s v="18-25"/>
    <s v="Medium"/>
    <s v="6-10"/>
    <s v="Mid-Level"/>
    <s v="Standard"/>
    <s v="High"/>
    <x v="0"/>
  </r>
  <r>
    <n v="27"/>
    <x v="1"/>
    <s v="Travel_Rarely"/>
    <n v="486"/>
    <x v="1"/>
    <n v="8"/>
    <n v="3"/>
    <s v="Medical"/>
    <n v="1"/>
    <n v="1647"/>
    <x v="0"/>
    <s v="Female"/>
    <n v="86"/>
    <n v="4"/>
    <x v="1"/>
    <x v="1"/>
    <x v="2"/>
    <s v="Married"/>
    <n v="3517"/>
    <n v="22490"/>
    <n v="7"/>
    <s v="Y"/>
    <s v="No"/>
    <n v="17"/>
    <n v="3"/>
    <n v="1"/>
    <n v="80"/>
    <n v="0"/>
    <n v="5"/>
    <n v="0"/>
    <n v="3"/>
    <x v="11"/>
    <n v="2"/>
    <n v="0"/>
    <n v="2"/>
    <s v="26-35"/>
    <s v="Medium"/>
    <s v="3-5"/>
    <s v="Junior"/>
    <s v="Standard"/>
    <s v="High"/>
    <x v="0"/>
  </r>
  <r>
    <n v="27"/>
    <x v="1"/>
    <s v="Travel_Frequently"/>
    <n v="591"/>
    <x v="1"/>
    <n v="2"/>
    <n v="3"/>
    <s v="Medical"/>
    <n v="1"/>
    <n v="1648"/>
    <x v="2"/>
    <s v="Male"/>
    <n v="87"/>
    <n v="3"/>
    <x v="1"/>
    <x v="1"/>
    <x v="0"/>
    <s v="Single"/>
    <n v="2580"/>
    <n v="6297"/>
    <n v="2"/>
    <s v="Y"/>
    <s v="No"/>
    <n v="13"/>
    <n v="3"/>
    <n v="3"/>
    <n v="80"/>
    <n v="0"/>
    <n v="6"/>
    <n v="0"/>
    <n v="2"/>
    <x v="9"/>
    <n v="2"/>
    <n v="1"/>
    <n v="2"/>
    <s v="26-35"/>
    <s v="Low"/>
    <s v="3-5"/>
    <s v="Mid-Level"/>
    <s v="Standard"/>
    <s v="High"/>
    <x v="0"/>
  </r>
  <r>
    <n v="40"/>
    <x v="0"/>
    <s v="Travel_Rarely"/>
    <n v="1329"/>
    <x v="1"/>
    <n v="7"/>
    <n v="3"/>
    <s v="Life Sciences"/>
    <n v="1"/>
    <n v="1649"/>
    <x v="3"/>
    <s v="Male"/>
    <n v="73"/>
    <n v="3"/>
    <x v="1"/>
    <x v="2"/>
    <x v="3"/>
    <s v="Single"/>
    <n v="2166"/>
    <n v="3339"/>
    <n v="3"/>
    <s v="Y"/>
    <s v="Yes"/>
    <n v="14"/>
    <n v="3"/>
    <n v="2"/>
    <n v="80"/>
    <n v="0"/>
    <n v="10"/>
    <n v="3"/>
    <n v="1"/>
    <x v="9"/>
    <n v="2"/>
    <n v="0"/>
    <n v="3"/>
    <s v="36-45"/>
    <s v="Low"/>
    <s v="3-5"/>
    <s v="Mid-Level"/>
    <s v="Standard"/>
    <s v="Low"/>
    <x v="0"/>
  </r>
  <r>
    <n v="29"/>
    <x v="1"/>
    <s v="Travel_Rarely"/>
    <n v="469"/>
    <x v="0"/>
    <n v="10"/>
    <n v="3"/>
    <s v="Medical"/>
    <n v="1"/>
    <n v="1650"/>
    <x v="1"/>
    <s v="Male"/>
    <n v="42"/>
    <n v="2"/>
    <x v="0"/>
    <x v="0"/>
    <x v="2"/>
    <s v="Single"/>
    <n v="5869"/>
    <n v="23413"/>
    <n v="9"/>
    <s v="Y"/>
    <s v="No"/>
    <n v="11"/>
    <n v="3"/>
    <n v="3"/>
    <n v="80"/>
    <n v="0"/>
    <n v="8"/>
    <n v="2"/>
    <n v="3"/>
    <x v="8"/>
    <n v="2"/>
    <n v="1"/>
    <n v="4"/>
    <s v="26-35"/>
    <s v="Medium"/>
    <s v="3-5"/>
    <s v="Mid-Level"/>
    <s v="Standard"/>
    <s v="High"/>
    <x v="0"/>
  </r>
  <r>
    <n v="36"/>
    <x v="1"/>
    <s v="Travel_Rarely"/>
    <n v="711"/>
    <x v="1"/>
    <n v="5"/>
    <n v="4"/>
    <s v="Life Sciences"/>
    <n v="1"/>
    <n v="1651"/>
    <x v="0"/>
    <s v="Female"/>
    <n v="42"/>
    <n v="3"/>
    <x v="2"/>
    <x v="4"/>
    <x v="3"/>
    <s v="Married"/>
    <n v="8008"/>
    <n v="22792"/>
    <n v="4"/>
    <s v="Y"/>
    <s v="No"/>
    <n v="12"/>
    <n v="3"/>
    <n v="3"/>
    <n v="80"/>
    <n v="2"/>
    <n v="9"/>
    <n v="6"/>
    <n v="3"/>
    <x v="11"/>
    <n v="2"/>
    <n v="0"/>
    <n v="2"/>
    <s v="36-45"/>
    <s v="High"/>
    <s v="3-5"/>
    <s v="Mid-Level"/>
    <s v="Standard"/>
    <s v="Low"/>
    <x v="0"/>
  </r>
  <r>
    <n v="25"/>
    <x v="1"/>
    <s v="Travel_Frequently"/>
    <n v="772"/>
    <x v="1"/>
    <n v="2"/>
    <n v="1"/>
    <s v="Life Sciences"/>
    <n v="1"/>
    <n v="1653"/>
    <x v="2"/>
    <s v="Male"/>
    <n v="77"/>
    <n v="4"/>
    <x v="0"/>
    <x v="3"/>
    <x v="2"/>
    <s v="Divorced"/>
    <n v="5206"/>
    <n v="4973"/>
    <n v="1"/>
    <s v="Y"/>
    <s v="No"/>
    <n v="17"/>
    <n v="3"/>
    <n v="3"/>
    <n v="80"/>
    <n v="2"/>
    <n v="7"/>
    <n v="6"/>
    <n v="3"/>
    <x v="5"/>
    <n v="7"/>
    <n v="0"/>
    <n v="7"/>
    <s v="18-25"/>
    <s v="Medium"/>
    <s v="6-10"/>
    <s v="Mid-Level"/>
    <s v="Standard"/>
    <s v="High"/>
    <x v="0"/>
  </r>
  <r>
    <n v="39"/>
    <x v="1"/>
    <s v="Travel_Rarely"/>
    <n v="492"/>
    <x v="1"/>
    <n v="12"/>
    <n v="3"/>
    <s v="Medical"/>
    <n v="1"/>
    <n v="1654"/>
    <x v="2"/>
    <s v="Male"/>
    <n v="66"/>
    <n v="3"/>
    <x v="0"/>
    <x v="3"/>
    <x v="1"/>
    <s v="Married"/>
    <n v="5295"/>
    <n v="7693"/>
    <n v="4"/>
    <s v="Y"/>
    <s v="No"/>
    <n v="21"/>
    <n v="4"/>
    <n v="3"/>
    <n v="80"/>
    <n v="0"/>
    <n v="7"/>
    <n v="3"/>
    <n v="3"/>
    <x v="8"/>
    <n v="4"/>
    <n v="1"/>
    <n v="0"/>
    <s v="36-45"/>
    <s v="Medium"/>
    <s v="3-5"/>
    <s v="Mid-Level"/>
    <s v="Excellent"/>
    <s v="Low"/>
    <x v="0"/>
  </r>
  <r>
    <n v="49"/>
    <x v="1"/>
    <s v="Travel_Rarely"/>
    <n v="301"/>
    <x v="1"/>
    <n v="22"/>
    <n v="4"/>
    <s v="Other"/>
    <n v="1"/>
    <n v="1655"/>
    <x v="3"/>
    <s v="Female"/>
    <n v="72"/>
    <n v="3"/>
    <x v="3"/>
    <x v="7"/>
    <x v="1"/>
    <s v="Married"/>
    <n v="16413"/>
    <n v="3498"/>
    <n v="3"/>
    <s v="Y"/>
    <s v="No"/>
    <n v="16"/>
    <n v="3"/>
    <n v="2"/>
    <n v="80"/>
    <n v="2"/>
    <n v="27"/>
    <n v="2"/>
    <n v="3"/>
    <x v="9"/>
    <n v="2"/>
    <n v="1"/>
    <n v="2"/>
    <s v="46-55"/>
    <s v="Very High"/>
    <s v="3-5"/>
    <s v="Senior"/>
    <s v="Standard"/>
    <s v="Low"/>
    <x v="0"/>
  </r>
  <r>
    <n v="50"/>
    <x v="1"/>
    <s v="Travel_Rarely"/>
    <n v="813"/>
    <x v="1"/>
    <n v="17"/>
    <n v="5"/>
    <s v="Life Sciences"/>
    <n v="1"/>
    <n v="1656"/>
    <x v="2"/>
    <s v="Female"/>
    <n v="50"/>
    <n v="2"/>
    <x v="2"/>
    <x v="7"/>
    <x v="3"/>
    <s v="Divorced"/>
    <n v="13269"/>
    <n v="21981"/>
    <n v="5"/>
    <s v="Y"/>
    <s v="No"/>
    <n v="15"/>
    <n v="3"/>
    <n v="3"/>
    <n v="80"/>
    <n v="3"/>
    <n v="19"/>
    <n v="3"/>
    <n v="3"/>
    <x v="13"/>
    <n v="11"/>
    <n v="1"/>
    <n v="11"/>
    <s v="46-55"/>
    <s v="Very High"/>
    <s v="11-15"/>
    <s v="Senior"/>
    <s v="Standard"/>
    <s v="Low"/>
    <x v="0"/>
  </r>
  <r>
    <n v="20"/>
    <x v="1"/>
    <s v="Travel_Rarely"/>
    <n v="1141"/>
    <x v="0"/>
    <n v="2"/>
    <n v="3"/>
    <s v="Medical"/>
    <n v="1"/>
    <n v="1657"/>
    <x v="1"/>
    <s v="Female"/>
    <n v="31"/>
    <n v="3"/>
    <x v="1"/>
    <x v="6"/>
    <x v="2"/>
    <s v="Single"/>
    <n v="2783"/>
    <n v="13251"/>
    <n v="1"/>
    <s v="Y"/>
    <s v="No"/>
    <n v="19"/>
    <n v="3"/>
    <n v="1"/>
    <n v="80"/>
    <n v="0"/>
    <n v="2"/>
    <n v="3"/>
    <n v="3"/>
    <x v="4"/>
    <n v="2"/>
    <n v="2"/>
    <n v="2"/>
    <s v="18-25"/>
    <s v="Low"/>
    <s v="0-2"/>
    <s v="Junior"/>
    <s v="Standard"/>
    <s v="High"/>
    <x v="0"/>
  </r>
  <r>
    <n v="34"/>
    <x v="1"/>
    <s v="Travel_Rarely"/>
    <n v="1130"/>
    <x v="1"/>
    <n v="3"/>
    <n v="3"/>
    <s v="Life Sciences"/>
    <n v="1"/>
    <n v="1658"/>
    <x v="2"/>
    <s v="Female"/>
    <n v="66"/>
    <n v="3"/>
    <x v="0"/>
    <x v="1"/>
    <x v="1"/>
    <s v="Divorced"/>
    <n v="5433"/>
    <n v="19332"/>
    <n v="1"/>
    <s v="Y"/>
    <s v="No"/>
    <n v="12"/>
    <n v="3"/>
    <n v="3"/>
    <n v="80"/>
    <n v="1"/>
    <n v="11"/>
    <n v="2"/>
    <n v="3"/>
    <x v="19"/>
    <n v="8"/>
    <n v="7"/>
    <n v="9"/>
    <s v="26-35"/>
    <s v="Medium"/>
    <s v="11-15"/>
    <s v="Mid-Level"/>
    <s v="Standard"/>
    <s v="Low"/>
    <x v="0"/>
  </r>
  <r>
    <n v="36"/>
    <x v="1"/>
    <s v="Travel_Rarely"/>
    <n v="311"/>
    <x v="1"/>
    <n v="7"/>
    <n v="3"/>
    <s v="Life Sciences"/>
    <n v="1"/>
    <n v="1659"/>
    <x v="3"/>
    <s v="Male"/>
    <n v="77"/>
    <n v="3"/>
    <x v="1"/>
    <x v="2"/>
    <x v="1"/>
    <s v="Single"/>
    <n v="2013"/>
    <n v="10950"/>
    <n v="2"/>
    <s v="Y"/>
    <s v="No"/>
    <n v="11"/>
    <n v="3"/>
    <n v="3"/>
    <n v="80"/>
    <n v="0"/>
    <n v="15"/>
    <n v="4"/>
    <n v="3"/>
    <x v="9"/>
    <n v="3"/>
    <n v="1"/>
    <n v="3"/>
    <s v="36-45"/>
    <s v="Low"/>
    <s v="3-5"/>
    <s v="Mid-Level"/>
    <s v="Standard"/>
    <s v="Low"/>
    <x v="0"/>
  </r>
  <r>
    <n v="49"/>
    <x v="1"/>
    <s v="Travel_Rarely"/>
    <n v="465"/>
    <x v="1"/>
    <n v="6"/>
    <n v="1"/>
    <s v="Life Sciences"/>
    <n v="1"/>
    <n v="1661"/>
    <x v="1"/>
    <s v="Female"/>
    <n v="41"/>
    <n v="2"/>
    <x v="3"/>
    <x v="4"/>
    <x v="2"/>
    <s v="Married"/>
    <n v="13966"/>
    <n v="11652"/>
    <n v="2"/>
    <s v="Y"/>
    <s v="Yes"/>
    <n v="19"/>
    <n v="3"/>
    <n v="2"/>
    <n v="80"/>
    <n v="1"/>
    <n v="30"/>
    <n v="3"/>
    <n v="3"/>
    <x v="15"/>
    <n v="11"/>
    <n v="2"/>
    <n v="12"/>
    <s v="46-55"/>
    <s v="Very High"/>
    <s v="11-15"/>
    <s v="Senior"/>
    <s v="Standard"/>
    <s v="High"/>
    <x v="0"/>
  </r>
  <r>
    <n v="36"/>
    <x v="1"/>
    <s v="Non-Travel"/>
    <n v="894"/>
    <x v="1"/>
    <n v="1"/>
    <n v="4"/>
    <s v="Medical"/>
    <n v="1"/>
    <n v="1662"/>
    <x v="2"/>
    <s v="Female"/>
    <n v="33"/>
    <n v="2"/>
    <x v="0"/>
    <x v="3"/>
    <x v="2"/>
    <s v="Married"/>
    <n v="4374"/>
    <n v="15411"/>
    <n v="0"/>
    <s v="Y"/>
    <s v="No"/>
    <n v="15"/>
    <n v="3"/>
    <n v="3"/>
    <n v="80"/>
    <n v="0"/>
    <n v="4"/>
    <n v="6"/>
    <n v="3"/>
    <x v="11"/>
    <n v="2"/>
    <n v="1"/>
    <n v="2"/>
    <s v="36-45"/>
    <s v="Medium"/>
    <s v="3-5"/>
    <s v="Junior"/>
    <s v="Standard"/>
    <s v="High"/>
    <x v="0"/>
  </r>
  <r>
    <n v="36"/>
    <x v="1"/>
    <s v="Travel_Rarely"/>
    <n v="1040"/>
    <x v="1"/>
    <n v="3"/>
    <n v="2"/>
    <s v="Life Sciences"/>
    <n v="1"/>
    <n v="1664"/>
    <x v="2"/>
    <s v="Male"/>
    <n v="79"/>
    <n v="4"/>
    <x v="0"/>
    <x v="4"/>
    <x v="3"/>
    <s v="Divorced"/>
    <n v="6842"/>
    <n v="26308"/>
    <n v="6"/>
    <s v="Y"/>
    <s v="No"/>
    <n v="20"/>
    <n v="4"/>
    <n v="1"/>
    <n v="80"/>
    <n v="1"/>
    <n v="13"/>
    <n v="3"/>
    <n v="3"/>
    <x v="8"/>
    <n v="4"/>
    <n v="0"/>
    <n v="4"/>
    <s v="36-45"/>
    <s v="High"/>
    <s v="3-5"/>
    <s v="Mid-Level"/>
    <s v="Excellent"/>
    <s v="Low"/>
    <x v="0"/>
  </r>
  <r>
    <n v="54"/>
    <x v="1"/>
    <s v="Travel_Rarely"/>
    <n v="584"/>
    <x v="1"/>
    <n v="22"/>
    <n v="5"/>
    <s v="Medical"/>
    <n v="1"/>
    <n v="1665"/>
    <x v="0"/>
    <s v="Female"/>
    <n v="91"/>
    <n v="3"/>
    <x v="3"/>
    <x v="5"/>
    <x v="2"/>
    <s v="Married"/>
    <n v="17426"/>
    <n v="18685"/>
    <n v="3"/>
    <s v="Y"/>
    <s v="No"/>
    <n v="25"/>
    <n v="4"/>
    <n v="3"/>
    <n v="80"/>
    <n v="1"/>
    <n v="36"/>
    <n v="6"/>
    <n v="3"/>
    <x v="1"/>
    <n v="8"/>
    <n v="4"/>
    <n v="7"/>
    <s v="46-55"/>
    <s v="Very High"/>
    <s v="6-10"/>
    <s v="Senior"/>
    <s v="Excellent"/>
    <s v="High"/>
    <x v="0"/>
  </r>
  <r>
    <n v="43"/>
    <x v="1"/>
    <s v="Travel_Rarely"/>
    <n v="1291"/>
    <x v="1"/>
    <n v="15"/>
    <n v="2"/>
    <s v="Life Sciences"/>
    <n v="1"/>
    <n v="1666"/>
    <x v="1"/>
    <s v="Male"/>
    <n v="65"/>
    <n v="2"/>
    <x v="3"/>
    <x v="7"/>
    <x v="2"/>
    <s v="Married"/>
    <n v="17603"/>
    <n v="3525"/>
    <n v="1"/>
    <s v="Y"/>
    <s v="No"/>
    <n v="24"/>
    <n v="4"/>
    <n v="1"/>
    <n v="80"/>
    <n v="1"/>
    <n v="14"/>
    <n v="3"/>
    <n v="3"/>
    <x v="13"/>
    <n v="10"/>
    <n v="6"/>
    <n v="11"/>
    <s v="36-45"/>
    <s v="Very High"/>
    <s v="11-15"/>
    <s v="Mid-Level"/>
    <s v="Excellent"/>
    <s v="High"/>
    <x v="0"/>
  </r>
  <r>
    <n v="35"/>
    <x v="0"/>
    <s v="Travel_Frequently"/>
    <n v="880"/>
    <x v="0"/>
    <n v="12"/>
    <n v="4"/>
    <s v="Other"/>
    <n v="1"/>
    <n v="1667"/>
    <x v="2"/>
    <s v="Male"/>
    <n v="36"/>
    <n v="3"/>
    <x v="0"/>
    <x v="0"/>
    <x v="0"/>
    <s v="Single"/>
    <n v="4581"/>
    <n v="10414"/>
    <n v="3"/>
    <s v="Y"/>
    <s v="Yes"/>
    <n v="24"/>
    <n v="4"/>
    <n v="1"/>
    <n v="80"/>
    <n v="0"/>
    <n v="13"/>
    <n v="2"/>
    <n v="4"/>
    <x v="19"/>
    <n v="9"/>
    <n v="6"/>
    <n v="7"/>
    <s v="26-35"/>
    <s v="Medium"/>
    <s v="11-15"/>
    <s v="Mid-Level"/>
    <s v="Excellent"/>
    <s v="High"/>
    <x v="0"/>
  </r>
  <r>
    <n v="38"/>
    <x v="1"/>
    <s v="Travel_Frequently"/>
    <n v="1189"/>
    <x v="1"/>
    <n v="1"/>
    <n v="3"/>
    <s v="Life Sciences"/>
    <n v="1"/>
    <n v="1668"/>
    <x v="2"/>
    <s v="Male"/>
    <n v="90"/>
    <n v="3"/>
    <x v="0"/>
    <x v="1"/>
    <x v="0"/>
    <s v="Married"/>
    <n v="4735"/>
    <n v="9867"/>
    <n v="7"/>
    <s v="Y"/>
    <s v="No"/>
    <n v="15"/>
    <n v="3"/>
    <n v="4"/>
    <n v="80"/>
    <n v="2"/>
    <n v="19"/>
    <n v="4"/>
    <n v="4"/>
    <x v="20"/>
    <n v="11"/>
    <n v="2"/>
    <n v="9"/>
    <s v="36-45"/>
    <s v="Medium"/>
    <s v="11-15"/>
    <s v="Senior"/>
    <s v="Standard"/>
    <s v="High"/>
    <x v="0"/>
  </r>
  <r>
    <n v="29"/>
    <x v="1"/>
    <s v="Travel_Rarely"/>
    <n v="991"/>
    <x v="0"/>
    <n v="5"/>
    <n v="3"/>
    <s v="Medical"/>
    <n v="1"/>
    <n v="1669"/>
    <x v="3"/>
    <s v="Male"/>
    <n v="43"/>
    <n v="2"/>
    <x v="0"/>
    <x v="0"/>
    <x v="1"/>
    <s v="Divorced"/>
    <n v="4187"/>
    <n v="3356"/>
    <n v="1"/>
    <s v="Y"/>
    <s v="Yes"/>
    <n v="13"/>
    <n v="3"/>
    <n v="2"/>
    <n v="80"/>
    <n v="1"/>
    <n v="10"/>
    <n v="3"/>
    <n v="2"/>
    <x v="1"/>
    <n v="0"/>
    <n v="0"/>
    <n v="9"/>
    <s v="26-35"/>
    <s v="Medium"/>
    <s v="6-10"/>
    <s v="Mid-Level"/>
    <s v="Standard"/>
    <s v="Low"/>
    <x v="0"/>
  </r>
  <r>
    <n v="33"/>
    <x v="1"/>
    <s v="Travel_Rarely"/>
    <n v="392"/>
    <x v="0"/>
    <n v="2"/>
    <n v="4"/>
    <s v="Medical"/>
    <n v="1"/>
    <n v="1670"/>
    <x v="2"/>
    <s v="Male"/>
    <n v="93"/>
    <n v="3"/>
    <x v="0"/>
    <x v="0"/>
    <x v="0"/>
    <s v="Divorced"/>
    <n v="5505"/>
    <n v="3921"/>
    <n v="1"/>
    <s v="Y"/>
    <s v="No"/>
    <n v="14"/>
    <n v="3"/>
    <n v="3"/>
    <n v="80"/>
    <n v="2"/>
    <n v="6"/>
    <n v="5"/>
    <n v="3"/>
    <x v="0"/>
    <n v="2"/>
    <n v="0"/>
    <n v="4"/>
    <s v="26-35"/>
    <s v="Medium"/>
    <s v="6-10"/>
    <s v="Mid-Level"/>
    <s v="Standard"/>
    <s v="High"/>
    <x v="0"/>
  </r>
  <r>
    <n v="32"/>
    <x v="1"/>
    <s v="Travel_Rarely"/>
    <n v="977"/>
    <x v="1"/>
    <n v="2"/>
    <n v="3"/>
    <s v="Medical"/>
    <n v="1"/>
    <n v="1671"/>
    <x v="2"/>
    <s v="Male"/>
    <n v="45"/>
    <n v="3"/>
    <x v="0"/>
    <x v="1"/>
    <x v="1"/>
    <s v="Divorced"/>
    <n v="5470"/>
    <n v="25518"/>
    <n v="0"/>
    <s v="Y"/>
    <s v="No"/>
    <n v="13"/>
    <n v="3"/>
    <n v="3"/>
    <n v="80"/>
    <n v="2"/>
    <n v="10"/>
    <n v="4"/>
    <n v="2"/>
    <x v="7"/>
    <n v="5"/>
    <n v="1"/>
    <n v="6"/>
    <s v="26-35"/>
    <s v="Medium"/>
    <s v="6-10"/>
    <s v="Mid-Level"/>
    <s v="Standard"/>
    <s v="Low"/>
    <x v="0"/>
  </r>
  <r>
    <n v="31"/>
    <x v="1"/>
    <s v="Travel_Rarely"/>
    <n v="1112"/>
    <x v="0"/>
    <n v="5"/>
    <n v="4"/>
    <s v="Life Sciences"/>
    <n v="1"/>
    <n v="1673"/>
    <x v="3"/>
    <s v="Female"/>
    <n v="67"/>
    <n v="3"/>
    <x v="0"/>
    <x v="0"/>
    <x v="0"/>
    <s v="Married"/>
    <n v="5476"/>
    <n v="22589"/>
    <n v="1"/>
    <s v="Y"/>
    <s v="No"/>
    <n v="11"/>
    <n v="3"/>
    <n v="1"/>
    <n v="80"/>
    <n v="2"/>
    <n v="10"/>
    <n v="2"/>
    <n v="3"/>
    <x v="1"/>
    <n v="0"/>
    <n v="0"/>
    <n v="2"/>
    <s v="26-35"/>
    <s v="Medium"/>
    <s v="6-10"/>
    <s v="Mid-Level"/>
    <s v="Standard"/>
    <s v="High"/>
    <x v="0"/>
  </r>
  <r>
    <n v="49"/>
    <x v="1"/>
    <s v="Travel_Rarely"/>
    <n v="464"/>
    <x v="1"/>
    <n v="16"/>
    <n v="3"/>
    <s v="Medical"/>
    <n v="1"/>
    <n v="1674"/>
    <x v="2"/>
    <s v="Female"/>
    <n v="74"/>
    <n v="3"/>
    <x v="1"/>
    <x v="2"/>
    <x v="3"/>
    <s v="Divorced"/>
    <n v="2587"/>
    <n v="24941"/>
    <n v="4"/>
    <s v="Y"/>
    <s v="Yes"/>
    <n v="16"/>
    <n v="3"/>
    <n v="2"/>
    <n v="80"/>
    <n v="1"/>
    <n v="17"/>
    <n v="2"/>
    <n v="2"/>
    <x v="4"/>
    <n v="2"/>
    <n v="2"/>
    <n v="2"/>
    <s v="46-55"/>
    <s v="Low"/>
    <s v="0-2"/>
    <s v="Senior"/>
    <s v="Standard"/>
    <s v="Low"/>
    <x v="1"/>
  </r>
  <r>
    <n v="38"/>
    <x v="1"/>
    <s v="Travel_Frequently"/>
    <n v="148"/>
    <x v="1"/>
    <n v="2"/>
    <n v="3"/>
    <s v="Medical"/>
    <n v="1"/>
    <n v="1675"/>
    <x v="2"/>
    <s v="Female"/>
    <n v="42"/>
    <n v="2"/>
    <x v="1"/>
    <x v="2"/>
    <x v="1"/>
    <s v="Single"/>
    <n v="2440"/>
    <n v="23826"/>
    <n v="1"/>
    <s v="Y"/>
    <s v="No"/>
    <n v="22"/>
    <n v="4"/>
    <n v="2"/>
    <n v="80"/>
    <n v="0"/>
    <n v="4"/>
    <n v="3"/>
    <n v="3"/>
    <x v="9"/>
    <n v="3"/>
    <n v="3"/>
    <n v="3"/>
    <s v="36-45"/>
    <s v="Low"/>
    <s v="3-5"/>
    <s v="Junior"/>
    <s v="Excellent"/>
    <s v="Low"/>
    <x v="0"/>
  </r>
  <r>
    <n v="47"/>
    <x v="1"/>
    <s v="Travel_Rarely"/>
    <n v="1225"/>
    <x v="0"/>
    <n v="2"/>
    <n v="4"/>
    <s v="Life Sciences"/>
    <n v="1"/>
    <n v="1676"/>
    <x v="0"/>
    <s v="Female"/>
    <n v="47"/>
    <n v="4"/>
    <x v="3"/>
    <x v="5"/>
    <x v="1"/>
    <s v="Divorced"/>
    <n v="15972"/>
    <n v="21086"/>
    <n v="6"/>
    <s v="Y"/>
    <s v="No"/>
    <n v="14"/>
    <n v="3"/>
    <n v="3"/>
    <n v="80"/>
    <n v="3"/>
    <n v="29"/>
    <n v="2"/>
    <n v="3"/>
    <x v="11"/>
    <n v="2"/>
    <n v="1"/>
    <n v="2"/>
    <s v="46-55"/>
    <s v="Very High"/>
    <s v="3-5"/>
    <s v="Senior"/>
    <s v="Standard"/>
    <s v="Low"/>
    <x v="0"/>
  </r>
  <r>
    <n v="49"/>
    <x v="1"/>
    <s v="Travel_Rarely"/>
    <n v="809"/>
    <x v="1"/>
    <n v="1"/>
    <n v="3"/>
    <s v="Life Sciences"/>
    <n v="1"/>
    <n v="1677"/>
    <x v="1"/>
    <s v="Male"/>
    <n v="36"/>
    <n v="3"/>
    <x v="3"/>
    <x v="5"/>
    <x v="2"/>
    <s v="Single"/>
    <n v="15379"/>
    <n v="22384"/>
    <n v="4"/>
    <s v="Y"/>
    <s v="No"/>
    <n v="14"/>
    <n v="3"/>
    <n v="1"/>
    <n v="80"/>
    <n v="0"/>
    <n v="23"/>
    <n v="2"/>
    <n v="3"/>
    <x v="3"/>
    <n v="7"/>
    <n v="0"/>
    <n v="0"/>
    <s v="46-55"/>
    <s v="Very High"/>
    <s v="6-10"/>
    <s v="Senior"/>
    <s v="Standard"/>
    <s v="High"/>
    <x v="0"/>
  </r>
  <r>
    <n v="41"/>
    <x v="1"/>
    <s v="Travel_Rarely"/>
    <n v="1206"/>
    <x v="0"/>
    <n v="23"/>
    <n v="2"/>
    <s v="Life Sciences"/>
    <n v="1"/>
    <n v="1678"/>
    <x v="2"/>
    <s v="Male"/>
    <n v="80"/>
    <n v="3"/>
    <x v="2"/>
    <x v="0"/>
    <x v="2"/>
    <s v="Single"/>
    <n v="7082"/>
    <n v="11591"/>
    <n v="3"/>
    <s v="Y"/>
    <s v="Yes"/>
    <n v="16"/>
    <n v="3"/>
    <n v="4"/>
    <n v="80"/>
    <n v="0"/>
    <n v="21"/>
    <n v="2"/>
    <n v="3"/>
    <x v="4"/>
    <n v="0"/>
    <n v="0"/>
    <n v="2"/>
    <s v="36-45"/>
    <s v="High"/>
    <s v="0-2"/>
    <s v="Senior"/>
    <s v="Standard"/>
    <s v="High"/>
    <x v="0"/>
  </r>
  <r>
    <n v="20"/>
    <x v="1"/>
    <s v="Travel_Rarely"/>
    <n v="727"/>
    <x v="0"/>
    <n v="9"/>
    <n v="1"/>
    <s v="Life Sciences"/>
    <n v="1"/>
    <n v="1680"/>
    <x v="2"/>
    <s v="Male"/>
    <n v="54"/>
    <n v="3"/>
    <x v="1"/>
    <x v="6"/>
    <x v="3"/>
    <s v="Single"/>
    <n v="2728"/>
    <n v="21082"/>
    <n v="1"/>
    <s v="Y"/>
    <s v="No"/>
    <n v="11"/>
    <n v="3"/>
    <n v="1"/>
    <n v="80"/>
    <n v="0"/>
    <n v="2"/>
    <n v="3"/>
    <n v="3"/>
    <x v="4"/>
    <n v="2"/>
    <n v="0"/>
    <n v="2"/>
    <s v="18-25"/>
    <s v="Low"/>
    <s v="0-2"/>
    <s v="Junior"/>
    <s v="Standard"/>
    <s v="Low"/>
    <x v="0"/>
  </r>
  <r>
    <n v="33"/>
    <x v="1"/>
    <s v="Non-Travel"/>
    <n v="530"/>
    <x v="0"/>
    <n v="16"/>
    <n v="3"/>
    <s v="Life Sciences"/>
    <n v="1"/>
    <n v="1681"/>
    <x v="1"/>
    <s v="Female"/>
    <n v="36"/>
    <n v="3"/>
    <x v="0"/>
    <x v="0"/>
    <x v="0"/>
    <s v="Divorced"/>
    <n v="5368"/>
    <n v="16130"/>
    <n v="1"/>
    <s v="Y"/>
    <s v="Yes"/>
    <n v="25"/>
    <n v="4"/>
    <n v="3"/>
    <n v="80"/>
    <n v="1"/>
    <n v="7"/>
    <n v="2"/>
    <n v="3"/>
    <x v="0"/>
    <n v="5"/>
    <n v="1"/>
    <n v="2"/>
    <s v="26-35"/>
    <s v="Medium"/>
    <s v="6-10"/>
    <s v="Mid-Level"/>
    <s v="Excellent"/>
    <s v="High"/>
    <x v="0"/>
  </r>
  <r>
    <n v="36"/>
    <x v="1"/>
    <s v="Travel_Rarely"/>
    <n v="1351"/>
    <x v="1"/>
    <n v="26"/>
    <n v="4"/>
    <s v="Life Sciences"/>
    <n v="1"/>
    <n v="1682"/>
    <x v="3"/>
    <s v="Male"/>
    <n v="80"/>
    <n v="3"/>
    <x v="0"/>
    <x v="4"/>
    <x v="2"/>
    <s v="Married"/>
    <n v="5347"/>
    <n v="7419"/>
    <n v="6"/>
    <s v="Y"/>
    <s v="No"/>
    <n v="14"/>
    <n v="3"/>
    <n v="2"/>
    <n v="80"/>
    <n v="2"/>
    <n v="10"/>
    <n v="2"/>
    <n v="2"/>
    <x v="11"/>
    <n v="2"/>
    <n v="0"/>
    <n v="2"/>
    <s v="36-45"/>
    <s v="Medium"/>
    <s v="3-5"/>
    <s v="Mid-Level"/>
    <s v="Standard"/>
    <s v="High"/>
    <x v="0"/>
  </r>
  <r>
    <n v="44"/>
    <x v="1"/>
    <s v="Travel_Rarely"/>
    <n v="528"/>
    <x v="2"/>
    <n v="1"/>
    <n v="3"/>
    <s v="Life Sciences"/>
    <n v="1"/>
    <n v="1683"/>
    <x v="1"/>
    <s v="Female"/>
    <n v="44"/>
    <n v="3"/>
    <x v="1"/>
    <x v="8"/>
    <x v="0"/>
    <s v="Divorced"/>
    <n v="3195"/>
    <n v="4167"/>
    <n v="4"/>
    <s v="Y"/>
    <s v="Yes"/>
    <n v="18"/>
    <n v="3"/>
    <n v="1"/>
    <n v="80"/>
    <n v="3"/>
    <n v="8"/>
    <n v="2"/>
    <n v="3"/>
    <x v="4"/>
    <n v="2"/>
    <n v="2"/>
    <n v="2"/>
    <s v="36-45"/>
    <s v="Medium"/>
    <s v="0-2"/>
    <s v="Mid-Level"/>
    <s v="Standard"/>
    <s v="High"/>
    <x v="0"/>
  </r>
  <r>
    <n v="23"/>
    <x v="0"/>
    <s v="Travel_Rarely"/>
    <n v="1320"/>
    <x v="1"/>
    <n v="8"/>
    <n v="1"/>
    <s v="Medical"/>
    <n v="1"/>
    <n v="1684"/>
    <x v="2"/>
    <s v="Male"/>
    <n v="93"/>
    <n v="2"/>
    <x v="1"/>
    <x v="2"/>
    <x v="2"/>
    <s v="Single"/>
    <n v="3989"/>
    <n v="20586"/>
    <n v="1"/>
    <s v="Y"/>
    <s v="Yes"/>
    <n v="11"/>
    <n v="3"/>
    <n v="1"/>
    <n v="80"/>
    <n v="0"/>
    <n v="5"/>
    <n v="2"/>
    <n v="3"/>
    <x v="8"/>
    <n v="4"/>
    <n v="1"/>
    <n v="2"/>
    <s v="18-25"/>
    <s v="Medium"/>
    <s v="3-5"/>
    <s v="Junior"/>
    <s v="Standard"/>
    <s v="High"/>
    <x v="0"/>
  </r>
  <r>
    <n v="38"/>
    <x v="1"/>
    <s v="Travel_Rarely"/>
    <n v="1495"/>
    <x v="1"/>
    <n v="4"/>
    <n v="2"/>
    <s v="Medical"/>
    <n v="1"/>
    <n v="1687"/>
    <x v="2"/>
    <s v="Female"/>
    <n v="87"/>
    <n v="3"/>
    <x v="1"/>
    <x v="2"/>
    <x v="2"/>
    <s v="Married"/>
    <n v="3306"/>
    <n v="26176"/>
    <n v="7"/>
    <s v="Y"/>
    <s v="No"/>
    <n v="19"/>
    <n v="3"/>
    <n v="4"/>
    <n v="80"/>
    <n v="1"/>
    <n v="7"/>
    <n v="5"/>
    <n v="2"/>
    <x v="2"/>
    <n v="0"/>
    <n v="0"/>
    <n v="0"/>
    <s v="36-45"/>
    <s v="Medium"/>
    <s v="0-2"/>
    <s v="Mid-Level"/>
    <s v="Standard"/>
    <s v="High"/>
    <x v="0"/>
  </r>
  <r>
    <n v="53"/>
    <x v="1"/>
    <s v="Travel_Rarely"/>
    <n v="1395"/>
    <x v="1"/>
    <n v="24"/>
    <n v="4"/>
    <s v="Medical"/>
    <n v="1"/>
    <n v="1689"/>
    <x v="0"/>
    <s v="Male"/>
    <n v="48"/>
    <n v="4"/>
    <x v="2"/>
    <x v="4"/>
    <x v="0"/>
    <s v="Married"/>
    <n v="7005"/>
    <n v="3458"/>
    <n v="3"/>
    <s v="Y"/>
    <s v="No"/>
    <n v="15"/>
    <n v="3"/>
    <n v="3"/>
    <n v="80"/>
    <n v="0"/>
    <n v="11"/>
    <n v="2"/>
    <n v="3"/>
    <x v="9"/>
    <n v="3"/>
    <n v="1"/>
    <n v="2"/>
    <s v="46-55"/>
    <s v="High"/>
    <s v="3-5"/>
    <s v="Mid-Level"/>
    <s v="Standard"/>
    <s v="High"/>
    <x v="0"/>
  </r>
  <r>
    <n v="48"/>
    <x v="0"/>
    <s v="Travel_Frequently"/>
    <n v="708"/>
    <x v="0"/>
    <n v="7"/>
    <n v="2"/>
    <s v="Medical"/>
    <n v="1"/>
    <n v="1691"/>
    <x v="2"/>
    <s v="Female"/>
    <n v="95"/>
    <n v="3"/>
    <x v="1"/>
    <x v="6"/>
    <x v="2"/>
    <s v="Married"/>
    <n v="2655"/>
    <n v="11740"/>
    <n v="2"/>
    <s v="Y"/>
    <s v="Yes"/>
    <n v="11"/>
    <n v="3"/>
    <n v="3"/>
    <n v="80"/>
    <n v="2"/>
    <n v="19"/>
    <n v="3"/>
    <n v="3"/>
    <x v="7"/>
    <n v="7"/>
    <n v="7"/>
    <n v="7"/>
    <s v="46-55"/>
    <s v="Low"/>
    <s v="6-10"/>
    <s v="Senior"/>
    <s v="Standard"/>
    <s v="High"/>
    <x v="0"/>
  </r>
  <r>
    <n v="32"/>
    <x v="0"/>
    <s v="Travel_Rarely"/>
    <n v="1259"/>
    <x v="1"/>
    <n v="2"/>
    <n v="4"/>
    <s v="Life Sciences"/>
    <n v="1"/>
    <n v="1692"/>
    <x v="2"/>
    <s v="Male"/>
    <n v="95"/>
    <n v="3"/>
    <x v="1"/>
    <x v="2"/>
    <x v="1"/>
    <s v="Single"/>
    <n v="1393"/>
    <n v="24852"/>
    <n v="1"/>
    <s v="Y"/>
    <s v="No"/>
    <n v="12"/>
    <n v="3"/>
    <n v="1"/>
    <n v="80"/>
    <n v="0"/>
    <n v="1"/>
    <n v="2"/>
    <n v="3"/>
    <x v="6"/>
    <n v="0"/>
    <n v="0"/>
    <n v="0"/>
    <s v="26-35"/>
    <s v="Low"/>
    <s v="0-2"/>
    <s v="Junior"/>
    <s v="Standard"/>
    <s v="Low"/>
    <x v="0"/>
  </r>
  <r>
    <n v="26"/>
    <x v="1"/>
    <s v="Non-Travel"/>
    <n v="786"/>
    <x v="1"/>
    <n v="7"/>
    <n v="3"/>
    <s v="Medical"/>
    <n v="1"/>
    <n v="1693"/>
    <x v="2"/>
    <s v="Male"/>
    <n v="76"/>
    <n v="3"/>
    <x v="1"/>
    <x v="2"/>
    <x v="0"/>
    <s v="Single"/>
    <n v="2570"/>
    <n v="11925"/>
    <n v="1"/>
    <s v="Y"/>
    <s v="No"/>
    <n v="20"/>
    <n v="4"/>
    <n v="3"/>
    <n v="80"/>
    <n v="0"/>
    <n v="7"/>
    <n v="5"/>
    <n v="3"/>
    <x v="5"/>
    <n v="7"/>
    <n v="5"/>
    <n v="7"/>
    <s v="26-35"/>
    <s v="Low"/>
    <s v="6-10"/>
    <s v="Mid-Level"/>
    <s v="Excellent"/>
    <s v="High"/>
    <x v="0"/>
  </r>
  <r>
    <n v="55"/>
    <x v="1"/>
    <s v="Travel_Rarely"/>
    <n v="1441"/>
    <x v="1"/>
    <n v="22"/>
    <n v="3"/>
    <s v="Technical Degree"/>
    <n v="1"/>
    <n v="1694"/>
    <x v="3"/>
    <s v="Male"/>
    <n v="94"/>
    <n v="2"/>
    <x v="1"/>
    <x v="1"/>
    <x v="1"/>
    <s v="Divorced"/>
    <n v="3537"/>
    <n v="23737"/>
    <n v="5"/>
    <s v="Y"/>
    <s v="No"/>
    <n v="12"/>
    <n v="3"/>
    <n v="4"/>
    <n v="80"/>
    <n v="1"/>
    <n v="8"/>
    <n v="1"/>
    <n v="3"/>
    <x v="9"/>
    <n v="2"/>
    <n v="1"/>
    <n v="2"/>
    <s v="46-55"/>
    <s v="Medium"/>
    <s v="3-5"/>
    <s v="Mid-Level"/>
    <s v="Standard"/>
    <s v="Low"/>
    <x v="0"/>
  </r>
  <r>
    <n v="34"/>
    <x v="1"/>
    <s v="Travel_Rarely"/>
    <n v="1157"/>
    <x v="1"/>
    <n v="5"/>
    <n v="2"/>
    <s v="Medical"/>
    <n v="1"/>
    <n v="1696"/>
    <x v="0"/>
    <s v="Male"/>
    <n v="57"/>
    <n v="2"/>
    <x v="0"/>
    <x v="2"/>
    <x v="0"/>
    <s v="Married"/>
    <n v="3986"/>
    <n v="11912"/>
    <n v="1"/>
    <s v="Y"/>
    <s v="No"/>
    <n v="14"/>
    <n v="3"/>
    <n v="3"/>
    <n v="80"/>
    <n v="1"/>
    <n v="15"/>
    <n v="3"/>
    <n v="4"/>
    <x v="15"/>
    <n v="10"/>
    <n v="4"/>
    <n v="13"/>
    <s v="26-35"/>
    <s v="Medium"/>
    <s v="11-15"/>
    <s v="Mid-Level"/>
    <s v="Standard"/>
    <s v="High"/>
    <x v="0"/>
  </r>
  <r>
    <n v="60"/>
    <x v="1"/>
    <s v="Travel_Rarely"/>
    <n v="370"/>
    <x v="1"/>
    <n v="1"/>
    <n v="4"/>
    <s v="Medical"/>
    <n v="1"/>
    <n v="1697"/>
    <x v="1"/>
    <s v="Male"/>
    <n v="92"/>
    <n v="1"/>
    <x v="2"/>
    <x v="4"/>
    <x v="0"/>
    <s v="Divorced"/>
    <n v="10883"/>
    <n v="20467"/>
    <n v="3"/>
    <s v="Y"/>
    <s v="No"/>
    <n v="20"/>
    <n v="4"/>
    <n v="3"/>
    <n v="80"/>
    <n v="1"/>
    <n v="19"/>
    <n v="2"/>
    <n v="4"/>
    <x v="6"/>
    <n v="0"/>
    <n v="0"/>
    <n v="0"/>
    <s v="56+"/>
    <s v="Very High"/>
    <s v="0-2"/>
    <s v="Senior"/>
    <s v="Excellent"/>
    <s v="High"/>
    <x v="0"/>
  </r>
  <r>
    <n v="33"/>
    <x v="1"/>
    <s v="Travel_Rarely"/>
    <n v="267"/>
    <x v="1"/>
    <n v="21"/>
    <n v="3"/>
    <s v="Medical"/>
    <n v="1"/>
    <n v="1698"/>
    <x v="0"/>
    <s v="Male"/>
    <n v="79"/>
    <n v="4"/>
    <x v="1"/>
    <x v="2"/>
    <x v="1"/>
    <s v="Married"/>
    <n v="2028"/>
    <n v="13637"/>
    <n v="1"/>
    <s v="Y"/>
    <s v="No"/>
    <n v="18"/>
    <n v="3"/>
    <n v="4"/>
    <n v="80"/>
    <n v="3"/>
    <n v="14"/>
    <n v="6"/>
    <n v="3"/>
    <x v="13"/>
    <n v="11"/>
    <n v="2"/>
    <n v="13"/>
    <s v="26-35"/>
    <s v="Low"/>
    <s v="11-15"/>
    <s v="Mid-Level"/>
    <s v="Standard"/>
    <s v="Low"/>
    <x v="0"/>
  </r>
  <r>
    <n v="37"/>
    <x v="1"/>
    <s v="Travel_Frequently"/>
    <n v="1278"/>
    <x v="0"/>
    <n v="1"/>
    <n v="4"/>
    <s v="Medical"/>
    <n v="1"/>
    <n v="1700"/>
    <x v="1"/>
    <s v="Male"/>
    <n v="31"/>
    <n v="1"/>
    <x v="0"/>
    <x v="0"/>
    <x v="0"/>
    <s v="Divorced"/>
    <n v="9525"/>
    <n v="7677"/>
    <n v="1"/>
    <s v="Y"/>
    <s v="No"/>
    <n v="14"/>
    <n v="3"/>
    <n v="3"/>
    <n v="80"/>
    <n v="2"/>
    <n v="6"/>
    <n v="2"/>
    <n v="2"/>
    <x v="0"/>
    <n v="3"/>
    <n v="1"/>
    <n v="3"/>
    <s v="36-45"/>
    <s v="High"/>
    <s v="6-10"/>
    <s v="Mid-Level"/>
    <s v="Standard"/>
    <s v="High"/>
    <x v="0"/>
  </r>
  <r>
    <n v="34"/>
    <x v="1"/>
    <s v="Travel_Rarely"/>
    <n v="678"/>
    <x v="1"/>
    <n v="19"/>
    <n v="3"/>
    <s v="Life Sciences"/>
    <n v="1"/>
    <n v="1701"/>
    <x v="0"/>
    <s v="Female"/>
    <n v="35"/>
    <n v="2"/>
    <x v="1"/>
    <x v="1"/>
    <x v="0"/>
    <s v="Married"/>
    <n v="2929"/>
    <n v="20338"/>
    <n v="1"/>
    <s v="Y"/>
    <s v="No"/>
    <n v="12"/>
    <n v="3"/>
    <n v="2"/>
    <n v="80"/>
    <n v="0"/>
    <n v="10"/>
    <n v="3"/>
    <n v="3"/>
    <x v="1"/>
    <n v="9"/>
    <n v="8"/>
    <n v="7"/>
    <s v="26-35"/>
    <s v="Low"/>
    <s v="6-10"/>
    <s v="Mid-Level"/>
    <s v="Standard"/>
    <s v="High"/>
    <x v="0"/>
  </r>
  <r>
    <n v="23"/>
    <x v="0"/>
    <s v="Travel_Rarely"/>
    <n v="427"/>
    <x v="0"/>
    <n v="7"/>
    <n v="3"/>
    <s v="Life Sciences"/>
    <n v="1"/>
    <n v="1702"/>
    <x v="1"/>
    <s v="Male"/>
    <n v="99"/>
    <n v="3"/>
    <x v="1"/>
    <x v="6"/>
    <x v="0"/>
    <s v="Divorced"/>
    <n v="2275"/>
    <n v="25103"/>
    <n v="1"/>
    <s v="Y"/>
    <s v="Yes"/>
    <n v="21"/>
    <n v="4"/>
    <n v="2"/>
    <n v="80"/>
    <n v="1"/>
    <n v="3"/>
    <n v="2"/>
    <n v="3"/>
    <x v="11"/>
    <n v="2"/>
    <n v="0"/>
    <n v="2"/>
    <s v="18-25"/>
    <s v="Low"/>
    <s v="3-5"/>
    <s v="Junior"/>
    <s v="Excellent"/>
    <s v="High"/>
    <x v="0"/>
  </r>
  <r>
    <n v="44"/>
    <x v="1"/>
    <s v="Travel_Rarely"/>
    <n v="921"/>
    <x v="1"/>
    <n v="2"/>
    <n v="3"/>
    <s v="Life Sciences"/>
    <n v="1"/>
    <n v="1703"/>
    <x v="1"/>
    <s v="Female"/>
    <n v="96"/>
    <n v="4"/>
    <x v="2"/>
    <x v="4"/>
    <x v="0"/>
    <s v="Married"/>
    <n v="7879"/>
    <n v="14810"/>
    <n v="1"/>
    <s v="Y"/>
    <s v="Yes"/>
    <n v="19"/>
    <n v="3"/>
    <n v="2"/>
    <n v="80"/>
    <n v="1"/>
    <n v="9"/>
    <n v="2"/>
    <n v="3"/>
    <x v="3"/>
    <n v="7"/>
    <n v="6"/>
    <n v="7"/>
    <s v="36-45"/>
    <s v="High"/>
    <s v="6-10"/>
    <s v="Mid-Level"/>
    <s v="Standard"/>
    <s v="High"/>
    <x v="0"/>
  </r>
  <r>
    <n v="35"/>
    <x v="1"/>
    <s v="Travel_Frequently"/>
    <n v="146"/>
    <x v="1"/>
    <n v="2"/>
    <n v="4"/>
    <s v="Medical"/>
    <n v="1"/>
    <n v="1704"/>
    <x v="3"/>
    <s v="Male"/>
    <n v="79"/>
    <n v="2"/>
    <x v="1"/>
    <x v="1"/>
    <x v="0"/>
    <s v="Single"/>
    <n v="4930"/>
    <n v="13970"/>
    <n v="0"/>
    <s v="Y"/>
    <s v="Yes"/>
    <n v="14"/>
    <n v="3"/>
    <n v="3"/>
    <n v="80"/>
    <n v="0"/>
    <n v="6"/>
    <n v="2"/>
    <n v="4"/>
    <x v="8"/>
    <n v="4"/>
    <n v="1"/>
    <n v="4"/>
    <s v="26-35"/>
    <s v="Medium"/>
    <s v="3-5"/>
    <s v="Mid-Level"/>
    <s v="Standard"/>
    <s v="High"/>
    <x v="0"/>
  </r>
  <r>
    <n v="43"/>
    <x v="1"/>
    <s v="Travel_Rarely"/>
    <n v="1179"/>
    <x v="0"/>
    <n v="2"/>
    <n v="3"/>
    <s v="Medical"/>
    <n v="1"/>
    <n v="1706"/>
    <x v="2"/>
    <s v="Male"/>
    <n v="73"/>
    <n v="3"/>
    <x v="0"/>
    <x v="0"/>
    <x v="0"/>
    <s v="Married"/>
    <n v="7847"/>
    <n v="6069"/>
    <n v="1"/>
    <s v="Y"/>
    <s v="Yes"/>
    <n v="17"/>
    <n v="3"/>
    <n v="1"/>
    <n v="80"/>
    <n v="1"/>
    <n v="10"/>
    <n v="3"/>
    <n v="3"/>
    <x v="1"/>
    <n v="9"/>
    <n v="8"/>
    <n v="8"/>
    <s v="36-45"/>
    <s v="High"/>
    <s v="6-10"/>
    <s v="Mid-Level"/>
    <s v="Standard"/>
    <s v="High"/>
    <x v="0"/>
  </r>
  <r>
    <n v="24"/>
    <x v="1"/>
    <s v="Travel_Rarely"/>
    <n v="581"/>
    <x v="1"/>
    <n v="9"/>
    <n v="3"/>
    <s v="Medical"/>
    <n v="1"/>
    <n v="1707"/>
    <x v="1"/>
    <s v="Male"/>
    <n v="62"/>
    <n v="4"/>
    <x v="1"/>
    <x v="1"/>
    <x v="2"/>
    <s v="Married"/>
    <n v="4401"/>
    <n v="17616"/>
    <n v="1"/>
    <s v="Y"/>
    <s v="No"/>
    <n v="16"/>
    <n v="3"/>
    <n v="4"/>
    <n v="80"/>
    <n v="1"/>
    <n v="5"/>
    <n v="1"/>
    <n v="3"/>
    <x v="8"/>
    <n v="3"/>
    <n v="0"/>
    <n v="4"/>
    <s v="18-25"/>
    <s v="Medium"/>
    <s v="3-5"/>
    <s v="Junior"/>
    <s v="Standard"/>
    <s v="High"/>
    <x v="0"/>
  </r>
  <r>
    <n v="41"/>
    <x v="1"/>
    <s v="Travel_Rarely"/>
    <n v="918"/>
    <x v="0"/>
    <n v="6"/>
    <n v="3"/>
    <s v="Marketing"/>
    <n v="1"/>
    <n v="1708"/>
    <x v="2"/>
    <s v="Male"/>
    <n v="35"/>
    <n v="3"/>
    <x v="2"/>
    <x v="0"/>
    <x v="2"/>
    <s v="Single"/>
    <n v="9241"/>
    <n v="15869"/>
    <n v="1"/>
    <s v="Y"/>
    <s v="No"/>
    <n v="12"/>
    <n v="3"/>
    <n v="2"/>
    <n v="80"/>
    <n v="0"/>
    <n v="10"/>
    <n v="3"/>
    <n v="3"/>
    <x v="1"/>
    <n v="8"/>
    <n v="8"/>
    <n v="7"/>
    <s v="36-45"/>
    <s v="High"/>
    <s v="6-10"/>
    <s v="Mid-Level"/>
    <s v="Standard"/>
    <s v="High"/>
    <x v="0"/>
  </r>
  <r>
    <n v="29"/>
    <x v="1"/>
    <s v="Travel_Rarely"/>
    <n v="1082"/>
    <x v="1"/>
    <n v="9"/>
    <n v="4"/>
    <s v="Medical"/>
    <n v="1"/>
    <n v="1709"/>
    <x v="2"/>
    <s v="Female"/>
    <n v="43"/>
    <n v="3"/>
    <x v="1"/>
    <x v="2"/>
    <x v="2"/>
    <s v="Married"/>
    <n v="2974"/>
    <n v="25412"/>
    <n v="9"/>
    <s v="Y"/>
    <s v="No"/>
    <n v="17"/>
    <n v="3"/>
    <n v="3"/>
    <n v="80"/>
    <n v="1"/>
    <n v="9"/>
    <n v="2"/>
    <n v="3"/>
    <x v="8"/>
    <n v="3"/>
    <n v="1"/>
    <n v="2"/>
    <s v="26-35"/>
    <s v="Low"/>
    <s v="3-5"/>
    <s v="Mid-Level"/>
    <s v="Standard"/>
    <s v="High"/>
    <x v="0"/>
  </r>
  <r>
    <n v="36"/>
    <x v="1"/>
    <s v="Travel_Rarely"/>
    <n v="530"/>
    <x v="0"/>
    <n v="2"/>
    <n v="4"/>
    <s v="Life Sciences"/>
    <n v="1"/>
    <n v="1710"/>
    <x v="1"/>
    <s v="Female"/>
    <n v="51"/>
    <n v="3"/>
    <x v="0"/>
    <x v="6"/>
    <x v="0"/>
    <s v="Single"/>
    <n v="4502"/>
    <n v="7439"/>
    <n v="3"/>
    <s v="Y"/>
    <s v="No"/>
    <n v="15"/>
    <n v="3"/>
    <n v="3"/>
    <n v="80"/>
    <n v="0"/>
    <n v="17"/>
    <n v="2"/>
    <n v="2"/>
    <x v="20"/>
    <n v="7"/>
    <n v="6"/>
    <n v="7"/>
    <s v="36-45"/>
    <s v="Medium"/>
    <s v="11-15"/>
    <s v="Senior"/>
    <s v="Standard"/>
    <s v="High"/>
    <x v="0"/>
  </r>
  <r>
    <n v="45"/>
    <x v="1"/>
    <s v="Non-Travel"/>
    <n v="1238"/>
    <x v="1"/>
    <n v="1"/>
    <n v="1"/>
    <s v="Life Sciences"/>
    <n v="1"/>
    <n v="1712"/>
    <x v="1"/>
    <s v="Male"/>
    <n v="74"/>
    <n v="2"/>
    <x v="2"/>
    <x v="4"/>
    <x v="2"/>
    <s v="Married"/>
    <n v="10748"/>
    <n v="3395"/>
    <n v="3"/>
    <s v="Y"/>
    <s v="No"/>
    <n v="23"/>
    <n v="4"/>
    <n v="4"/>
    <n v="80"/>
    <n v="1"/>
    <n v="25"/>
    <n v="3"/>
    <n v="2"/>
    <x v="36"/>
    <n v="15"/>
    <n v="14"/>
    <n v="4"/>
    <s v="36-45"/>
    <s v="Very High"/>
    <s v="16+"/>
    <s v="Senior"/>
    <s v="Excellent"/>
    <s v="High"/>
    <x v="0"/>
  </r>
  <r>
    <n v="24"/>
    <x v="0"/>
    <s v="Travel_Rarely"/>
    <n v="240"/>
    <x v="2"/>
    <n v="22"/>
    <n v="1"/>
    <s v="Human Resources"/>
    <n v="1"/>
    <n v="1714"/>
    <x v="2"/>
    <s v="Male"/>
    <n v="58"/>
    <n v="1"/>
    <x v="1"/>
    <x v="8"/>
    <x v="2"/>
    <s v="Married"/>
    <n v="1555"/>
    <n v="11585"/>
    <n v="1"/>
    <s v="Y"/>
    <s v="No"/>
    <n v="11"/>
    <n v="3"/>
    <n v="3"/>
    <n v="80"/>
    <n v="1"/>
    <n v="1"/>
    <n v="2"/>
    <n v="3"/>
    <x v="6"/>
    <n v="0"/>
    <n v="0"/>
    <n v="0"/>
    <s v="18-25"/>
    <s v="Low"/>
    <s v="0-2"/>
    <s v="Junior"/>
    <s v="Standard"/>
    <s v="High"/>
    <x v="0"/>
  </r>
  <r>
    <n v="47"/>
    <x v="0"/>
    <s v="Travel_Frequently"/>
    <n v="1093"/>
    <x v="0"/>
    <n v="9"/>
    <n v="3"/>
    <s v="Life Sciences"/>
    <n v="1"/>
    <n v="1716"/>
    <x v="1"/>
    <s v="Male"/>
    <n v="82"/>
    <n v="1"/>
    <x v="3"/>
    <x v="0"/>
    <x v="2"/>
    <s v="Married"/>
    <n v="12936"/>
    <n v="24164"/>
    <n v="7"/>
    <s v="Y"/>
    <s v="No"/>
    <n v="11"/>
    <n v="3"/>
    <n v="3"/>
    <n v="80"/>
    <n v="0"/>
    <n v="25"/>
    <n v="3"/>
    <n v="1"/>
    <x v="36"/>
    <n v="5"/>
    <n v="14"/>
    <n v="10"/>
    <s v="46-55"/>
    <s v="Very High"/>
    <s v="16+"/>
    <s v="Senior"/>
    <s v="Standard"/>
    <s v="High"/>
    <x v="0"/>
  </r>
  <r>
    <n v="26"/>
    <x v="1"/>
    <s v="Travel_Rarely"/>
    <n v="390"/>
    <x v="1"/>
    <n v="17"/>
    <n v="4"/>
    <s v="Medical"/>
    <n v="1"/>
    <n v="1718"/>
    <x v="2"/>
    <s v="Male"/>
    <n v="62"/>
    <n v="1"/>
    <x v="1"/>
    <x v="2"/>
    <x v="2"/>
    <s v="Married"/>
    <n v="2305"/>
    <n v="6217"/>
    <n v="1"/>
    <s v="Y"/>
    <s v="No"/>
    <n v="15"/>
    <n v="3"/>
    <n v="3"/>
    <n v="80"/>
    <n v="3"/>
    <n v="3"/>
    <n v="3"/>
    <n v="4"/>
    <x v="11"/>
    <n v="2"/>
    <n v="0"/>
    <n v="2"/>
    <s v="26-35"/>
    <s v="Low"/>
    <s v="3-5"/>
    <s v="Junior"/>
    <s v="Standard"/>
    <s v="High"/>
    <x v="0"/>
  </r>
  <r>
    <n v="45"/>
    <x v="1"/>
    <s v="Travel_Rarely"/>
    <n v="1005"/>
    <x v="1"/>
    <n v="28"/>
    <n v="2"/>
    <s v="Technical Degree"/>
    <n v="1"/>
    <n v="1719"/>
    <x v="2"/>
    <s v="Female"/>
    <n v="48"/>
    <n v="2"/>
    <x v="3"/>
    <x v="7"/>
    <x v="1"/>
    <s v="Single"/>
    <n v="16704"/>
    <n v="17119"/>
    <n v="1"/>
    <s v="Y"/>
    <s v="No"/>
    <n v="11"/>
    <n v="3"/>
    <n v="3"/>
    <n v="80"/>
    <n v="0"/>
    <n v="21"/>
    <n v="2"/>
    <n v="3"/>
    <x v="17"/>
    <n v="6"/>
    <n v="8"/>
    <n v="6"/>
    <s v="36-45"/>
    <s v="Very High"/>
    <s v="16+"/>
    <s v="Senior"/>
    <s v="Standard"/>
    <s v="Low"/>
    <x v="0"/>
  </r>
  <r>
    <n v="32"/>
    <x v="1"/>
    <s v="Travel_Frequently"/>
    <n v="585"/>
    <x v="1"/>
    <n v="10"/>
    <n v="3"/>
    <s v="Life Sciences"/>
    <n v="1"/>
    <n v="1720"/>
    <x v="3"/>
    <s v="Male"/>
    <n v="56"/>
    <n v="3"/>
    <x v="1"/>
    <x v="1"/>
    <x v="2"/>
    <s v="Married"/>
    <n v="3433"/>
    <n v="17360"/>
    <n v="6"/>
    <s v="Y"/>
    <s v="No"/>
    <n v="13"/>
    <n v="3"/>
    <n v="1"/>
    <n v="80"/>
    <n v="1"/>
    <n v="10"/>
    <n v="3"/>
    <n v="2"/>
    <x v="8"/>
    <n v="2"/>
    <n v="1"/>
    <n v="3"/>
    <s v="26-35"/>
    <s v="Medium"/>
    <s v="3-5"/>
    <s v="Mid-Level"/>
    <s v="Standard"/>
    <s v="High"/>
    <x v="0"/>
  </r>
  <r>
    <n v="31"/>
    <x v="1"/>
    <s v="Travel_Rarely"/>
    <n v="741"/>
    <x v="1"/>
    <n v="2"/>
    <n v="4"/>
    <s v="Life Sciences"/>
    <n v="1"/>
    <n v="1721"/>
    <x v="0"/>
    <s v="Male"/>
    <n v="69"/>
    <n v="3"/>
    <x v="1"/>
    <x v="2"/>
    <x v="2"/>
    <s v="Married"/>
    <n v="3477"/>
    <n v="18103"/>
    <n v="1"/>
    <s v="Y"/>
    <s v="No"/>
    <n v="14"/>
    <n v="3"/>
    <n v="4"/>
    <n v="80"/>
    <n v="1"/>
    <n v="6"/>
    <n v="2"/>
    <n v="4"/>
    <x v="8"/>
    <n v="2"/>
    <n v="0"/>
    <n v="3"/>
    <s v="26-35"/>
    <s v="Medium"/>
    <s v="3-5"/>
    <s v="Mid-Level"/>
    <s v="Standard"/>
    <s v="High"/>
    <x v="0"/>
  </r>
  <r>
    <n v="41"/>
    <x v="1"/>
    <s v="Non-Travel"/>
    <n v="552"/>
    <x v="2"/>
    <n v="4"/>
    <n v="3"/>
    <s v="Human Resources"/>
    <n v="1"/>
    <n v="1722"/>
    <x v="1"/>
    <s v="Male"/>
    <n v="60"/>
    <n v="1"/>
    <x v="0"/>
    <x v="8"/>
    <x v="1"/>
    <s v="Married"/>
    <n v="6430"/>
    <n v="20794"/>
    <n v="6"/>
    <s v="Y"/>
    <s v="No"/>
    <n v="19"/>
    <n v="3"/>
    <n v="2"/>
    <n v="80"/>
    <n v="1"/>
    <n v="10"/>
    <n v="4"/>
    <n v="3"/>
    <x v="11"/>
    <n v="2"/>
    <n v="1"/>
    <n v="2"/>
    <s v="36-45"/>
    <s v="High"/>
    <s v="3-5"/>
    <s v="Mid-Level"/>
    <s v="Standard"/>
    <s v="Low"/>
    <x v="0"/>
  </r>
  <r>
    <n v="40"/>
    <x v="1"/>
    <s v="Travel_Rarely"/>
    <n v="369"/>
    <x v="1"/>
    <n v="8"/>
    <n v="2"/>
    <s v="Life Sciences"/>
    <n v="1"/>
    <n v="1724"/>
    <x v="0"/>
    <s v="Female"/>
    <n v="92"/>
    <n v="3"/>
    <x v="0"/>
    <x v="3"/>
    <x v="3"/>
    <s v="Married"/>
    <n v="6516"/>
    <n v="5041"/>
    <n v="2"/>
    <s v="Y"/>
    <s v="Yes"/>
    <n v="16"/>
    <n v="3"/>
    <n v="2"/>
    <n v="80"/>
    <n v="1"/>
    <n v="18"/>
    <n v="3"/>
    <n v="3"/>
    <x v="6"/>
    <n v="0"/>
    <n v="0"/>
    <n v="0"/>
    <s v="36-45"/>
    <s v="High"/>
    <s v="0-2"/>
    <s v="Senior"/>
    <s v="Standard"/>
    <s v="Low"/>
    <x v="1"/>
  </r>
  <r>
    <n v="24"/>
    <x v="1"/>
    <s v="Travel_Rarely"/>
    <n v="506"/>
    <x v="1"/>
    <n v="29"/>
    <n v="1"/>
    <s v="Medical"/>
    <n v="1"/>
    <n v="1725"/>
    <x v="0"/>
    <s v="Male"/>
    <n v="91"/>
    <n v="3"/>
    <x v="1"/>
    <x v="2"/>
    <x v="3"/>
    <s v="Divorced"/>
    <n v="3907"/>
    <n v="3622"/>
    <n v="1"/>
    <s v="Y"/>
    <s v="No"/>
    <n v="13"/>
    <n v="3"/>
    <n v="2"/>
    <n v="80"/>
    <n v="3"/>
    <n v="6"/>
    <n v="2"/>
    <n v="4"/>
    <x v="0"/>
    <n v="2"/>
    <n v="1"/>
    <n v="2"/>
    <s v="18-25"/>
    <s v="Medium"/>
    <s v="6-10"/>
    <s v="Mid-Level"/>
    <s v="Standard"/>
    <s v="Low"/>
    <x v="0"/>
  </r>
  <r>
    <n v="46"/>
    <x v="1"/>
    <s v="Travel_Rarely"/>
    <n v="717"/>
    <x v="1"/>
    <n v="13"/>
    <n v="4"/>
    <s v="Life Sciences"/>
    <n v="1"/>
    <n v="1727"/>
    <x v="1"/>
    <s v="Male"/>
    <n v="34"/>
    <n v="3"/>
    <x v="0"/>
    <x v="4"/>
    <x v="1"/>
    <s v="Single"/>
    <n v="5562"/>
    <n v="9697"/>
    <n v="6"/>
    <s v="Y"/>
    <s v="No"/>
    <n v="14"/>
    <n v="3"/>
    <n v="4"/>
    <n v="80"/>
    <n v="0"/>
    <n v="19"/>
    <n v="3"/>
    <n v="3"/>
    <x v="1"/>
    <n v="7"/>
    <n v="0"/>
    <n v="9"/>
    <s v="46-55"/>
    <s v="Medium"/>
    <s v="6-10"/>
    <s v="Senior"/>
    <s v="Standard"/>
    <s v="Low"/>
    <x v="0"/>
  </r>
  <r>
    <n v="35"/>
    <x v="1"/>
    <s v="Travel_Rarely"/>
    <n v="1370"/>
    <x v="1"/>
    <n v="27"/>
    <n v="4"/>
    <s v="Life Sciences"/>
    <n v="1"/>
    <n v="1728"/>
    <x v="2"/>
    <s v="Male"/>
    <n v="49"/>
    <n v="3"/>
    <x v="0"/>
    <x v="3"/>
    <x v="2"/>
    <s v="Married"/>
    <n v="6883"/>
    <n v="5151"/>
    <n v="2"/>
    <s v="Y"/>
    <s v="No"/>
    <n v="16"/>
    <n v="3"/>
    <n v="2"/>
    <n v="80"/>
    <n v="1"/>
    <n v="17"/>
    <n v="3"/>
    <n v="3"/>
    <x v="5"/>
    <n v="7"/>
    <n v="0"/>
    <n v="7"/>
    <s v="26-35"/>
    <s v="High"/>
    <s v="6-10"/>
    <s v="Senior"/>
    <s v="Standard"/>
    <s v="High"/>
    <x v="0"/>
  </r>
  <r>
    <n v="30"/>
    <x v="1"/>
    <s v="Travel_Rarely"/>
    <n v="793"/>
    <x v="1"/>
    <n v="16"/>
    <n v="1"/>
    <s v="Life Sciences"/>
    <n v="1"/>
    <n v="1729"/>
    <x v="0"/>
    <s v="Male"/>
    <n v="33"/>
    <n v="3"/>
    <x v="1"/>
    <x v="1"/>
    <x v="0"/>
    <s v="Married"/>
    <n v="2862"/>
    <n v="3811"/>
    <n v="1"/>
    <s v="Y"/>
    <s v="No"/>
    <n v="12"/>
    <n v="3"/>
    <n v="2"/>
    <n v="80"/>
    <n v="1"/>
    <n v="10"/>
    <n v="2"/>
    <n v="2"/>
    <x v="1"/>
    <n v="0"/>
    <n v="0"/>
    <n v="8"/>
    <s v="26-35"/>
    <s v="Low"/>
    <s v="6-10"/>
    <s v="Mid-Level"/>
    <s v="Standard"/>
    <s v="High"/>
    <x v="0"/>
  </r>
  <r>
    <n v="47"/>
    <x v="1"/>
    <s v="Non-Travel"/>
    <n v="543"/>
    <x v="0"/>
    <n v="2"/>
    <n v="4"/>
    <s v="Marketing"/>
    <n v="1"/>
    <n v="1731"/>
    <x v="1"/>
    <s v="Male"/>
    <n v="87"/>
    <n v="3"/>
    <x v="0"/>
    <x v="0"/>
    <x v="1"/>
    <s v="Married"/>
    <n v="4978"/>
    <n v="3536"/>
    <n v="7"/>
    <s v="Y"/>
    <s v="No"/>
    <n v="11"/>
    <n v="3"/>
    <n v="4"/>
    <n v="80"/>
    <n v="1"/>
    <n v="4"/>
    <n v="3"/>
    <n v="1"/>
    <x v="6"/>
    <n v="0"/>
    <n v="0"/>
    <n v="0"/>
    <s v="46-55"/>
    <s v="Medium"/>
    <s v="0-2"/>
    <s v="Junior"/>
    <s v="Standard"/>
    <s v="Low"/>
    <x v="0"/>
  </r>
  <r>
    <n v="46"/>
    <x v="1"/>
    <s v="Travel_Rarely"/>
    <n v="1277"/>
    <x v="0"/>
    <n v="2"/>
    <n v="3"/>
    <s v="Life Sciences"/>
    <n v="1"/>
    <n v="1732"/>
    <x v="1"/>
    <s v="Male"/>
    <n v="74"/>
    <n v="3"/>
    <x v="2"/>
    <x v="0"/>
    <x v="0"/>
    <s v="Divorced"/>
    <n v="10368"/>
    <n v="5596"/>
    <n v="4"/>
    <s v="Y"/>
    <s v="Yes"/>
    <n v="12"/>
    <n v="3"/>
    <n v="2"/>
    <n v="80"/>
    <n v="1"/>
    <n v="13"/>
    <n v="5"/>
    <n v="2"/>
    <x v="1"/>
    <n v="6"/>
    <n v="0"/>
    <n v="3"/>
    <s v="46-55"/>
    <s v="Very High"/>
    <s v="6-10"/>
    <s v="Mid-Level"/>
    <s v="Standard"/>
    <s v="High"/>
    <x v="0"/>
  </r>
  <r>
    <n v="36"/>
    <x v="0"/>
    <s v="Travel_Rarely"/>
    <n v="1456"/>
    <x v="0"/>
    <n v="13"/>
    <n v="5"/>
    <s v="Marketing"/>
    <n v="1"/>
    <n v="1733"/>
    <x v="0"/>
    <s v="Male"/>
    <n v="96"/>
    <n v="2"/>
    <x v="0"/>
    <x v="0"/>
    <x v="3"/>
    <s v="Divorced"/>
    <n v="6134"/>
    <n v="8658"/>
    <n v="5"/>
    <s v="Y"/>
    <s v="Yes"/>
    <n v="13"/>
    <n v="3"/>
    <n v="2"/>
    <n v="80"/>
    <n v="3"/>
    <n v="16"/>
    <n v="3"/>
    <n v="3"/>
    <x v="4"/>
    <n v="2"/>
    <n v="2"/>
    <n v="2"/>
    <s v="36-45"/>
    <s v="High"/>
    <s v="0-2"/>
    <s v="Senior"/>
    <s v="Standard"/>
    <s v="Low"/>
    <x v="1"/>
  </r>
  <r>
    <n v="32"/>
    <x v="0"/>
    <s v="Travel_Rarely"/>
    <n v="964"/>
    <x v="0"/>
    <n v="1"/>
    <n v="2"/>
    <s v="Life Sciences"/>
    <n v="1"/>
    <n v="1734"/>
    <x v="3"/>
    <s v="Male"/>
    <n v="34"/>
    <n v="1"/>
    <x v="0"/>
    <x v="0"/>
    <x v="1"/>
    <s v="Single"/>
    <n v="6735"/>
    <n v="12147"/>
    <n v="6"/>
    <s v="Y"/>
    <s v="No"/>
    <n v="15"/>
    <n v="3"/>
    <n v="2"/>
    <n v="80"/>
    <n v="0"/>
    <n v="10"/>
    <n v="2"/>
    <n v="3"/>
    <x v="2"/>
    <n v="0"/>
    <n v="0"/>
    <n v="0"/>
    <s v="26-35"/>
    <s v="High"/>
    <s v="0-2"/>
    <s v="Mid-Level"/>
    <s v="Standard"/>
    <s v="Low"/>
    <x v="0"/>
  </r>
  <r>
    <n v="23"/>
    <x v="1"/>
    <s v="Travel_Rarely"/>
    <n v="160"/>
    <x v="1"/>
    <n v="4"/>
    <n v="1"/>
    <s v="Medical"/>
    <n v="1"/>
    <n v="1735"/>
    <x v="1"/>
    <s v="Female"/>
    <n v="51"/>
    <n v="3"/>
    <x v="1"/>
    <x v="2"/>
    <x v="1"/>
    <s v="Single"/>
    <n v="3295"/>
    <n v="12862"/>
    <n v="1"/>
    <s v="Y"/>
    <s v="No"/>
    <n v="13"/>
    <n v="3"/>
    <n v="3"/>
    <n v="80"/>
    <n v="0"/>
    <n v="3"/>
    <n v="3"/>
    <n v="1"/>
    <x v="11"/>
    <n v="2"/>
    <n v="1"/>
    <n v="2"/>
    <s v="18-25"/>
    <s v="Medium"/>
    <s v="3-5"/>
    <s v="Junior"/>
    <s v="Standard"/>
    <s v="Low"/>
    <x v="0"/>
  </r>
  <r>
    <n v="31"/>
    <x v="1"/>
    <s v="Travel_Frequently"/>
    <n v="163"/>
    <x v="1"/>
    <n v="24"/>
    <n v="1"/>
    <s v="Technical Degree"/>
    <n v="1"/>
    <n v="1736"/>
    <x v="2"/>
    <s v="Female"/>
    <n v="30"/>
    <n v="3"/>
    <x v="0"/>
    <x v="3"/>
    <x v="0"/>
    <s v="Single"/>
    <n v="5238"/>
    <n v="6670"/>
    <n v="2"/>
    <s v="Y"/>
    <s v="No"/>
    <n v="20"/>
    <n v="4"/>
    <n v="4"/>
    <n v="80"/>
    <n v="0"/>
    <n v="9"/>
    <n v="3"/>
    <n v="2"/>
    <x v="8"/>
    <n v="4"/>
    <n v="1"/>
    <n v="4"/>
    <s v="26-35"/>
    <s v="Medium"/>
    <s v="3-5"/>
    <s v="Mid-Level"/>
    <s v="Excellent"/>
    <s v="High"/>
    <x v="0"/>
  </r>
  <r>
    <n v="39"/>
    <x v="1"/>
    <s v="Non-Travel"/>
    <n v="792"/>
    <x v="1"/>
    <n v="1"/>
    <n v="3"/>
    <s v="Life Sciences"/>
    <n v="1"/>
    <n v="1737"/>
    <x v="2"/>
    <s v="Male"/>
    <n v="77"/>
    <n v="3"/>
    <x v="0"/>
    <x v="2"/>
    <x v="0"/>
    <s v="Married"/>
    <n v="6472"/>
    <n v="8989"/>
    <n v="1"/>
    <s v="Y"/>
    <s v="Yes"/>
    <n v="15"/>
    <n v="3"/>
    <n v="4"/>
    <n v="80"/>
    <n v="1"/>
    <n v="9"/>
    <n v="2"/>
    <n v="3"/>
    <x v="7"/>
    <n v="8"/>
    <n v="5"/>
    <n v="8"/>
    <s v="36-45"/>
    <s v="High"/>
    <s v="6-10"/>
    <s v="Mid-Level"/>
    <s v="Standard"/>
    <s v="High"/>
    <x v="0"/>
  </r>
  <r>
    <n v="32"/>
    <x v="1"/>
    <s v="Travel_Rarely"/>
    <n v="371"/>
    <x v="0"/>
    <n v="19"/>
    <n v="3"/>
    <s v="Life Sciences"/>
    <n v="1"/>
    <n v="1739"/>
    <x v="2"/>
    <s v="Male"/>
    <n v="80"/>
    <n v="1"/>
    <x v="2"/>
    <x v="0"/>
    <x v="2"/>
    <s v="Married"/>
    <n v="9610"/>
    <n v="3840"/>
    <n v="3"/>
    <s v="Y"/>
    <s v="No"/>
    <n v="13"/>
    <n v="3"/>
    <n v="3"/>
    <n v="80"/>
    <n v="1"/>
    <n v="10"/>
    <n v="2"/>
    <n v="1"/>
    <x v="9"/>
    <n v="3"/>
    <n v="0"/>
    <n v="2"/>
    <s v="26-35"/>
    <s v="High"/>
    <s v="3-5"/>
    <s v="Mid-Level"/>
    <s v="Standard"/>
    <s v="High"/>
    <x v="0"/>
  </r>
  <r>
    <n v="40"/>
    <x v="1"/>
    <s v="Travel_Rarely"/>
    <n v="611"/>
    <x v="0"/>
    <n v="7"/>
    <n v="4"/>
    <s v="Medical"/>
    <n v="1"/>
    <n v="1740"/>
    <x v="0"/>
    <s v="Male"/>
    <n v="88"/>
    <n v="3"/>
    <x v="4"/>
    <x v="5"/>
    <x v="1"/>
    <s v="Single"/>
    <n v="19833"/>
    <n v="4349"/>
    <n v="1"/>
    <s v="Y"/>
    <s v="No"/>
    <n v="14"/>
    <n v="3"/>
    <n v="2"/>
    <n v="80"/>
    <n v="0"/>
    <n v="21"/>
    <n v="3"/>
    <n v="2"/>
    <x v="17"/>
    <n v="8"/>
    <n v="12"/>
    <n v="8"/>
    <s v="36-45"/>
    <s v="Very High"/>
    <s v="16+"/>
    <s v="Senior"/>
    <s v="Standard"/>
    <s v="Low"/>
    <x v="0"/>
  </r>
  <r>
    <n v="45"/>
    <x v="1"/>
    <s v="Travel_Rarely"/>
    <n v="176"/>
    <x v="2"/>
    <n v="4"/>
    <n v="3"/>
    <s v="Life Sciences"/>
    <n v="1"/>
    <n v="1744"/>
    <x v="1"/>
    <s v="Female"/>
    <n v="56"/>
    <n v="1"/>
    <x v="2"/>
    <x v="8"/>
    <x v="2"/>
    <s v="Married"/>
    <n v="9756"/>
    <n v="6595"/>
    <n v="4"/>
    <s v="Y"/>
    <s v="No"/>
    <n v="21"/>
    <n v="4"/>
    <n v="3"/>
    <n v="80"/>
    <n v="2"/>
    <n v="9"/>
    <n v="2"/>
    <n v="4"/>
    <x v="8"/>
    <n v="0"/>
    <n v="0"/>
    <n v="3"/>
    <s v="36-45"/>
    <s v="High"/>
    <s v="3-5"/>
    <s v="Mid-Level"/>
    <s v="Excellent"/>
    <s v="High"/>
    <x v="0"/>
  </r>
  <r>
    <n v="30"/>
    <x v="1"/>
    <s v="Travel_Frequently"/>
    <n v="1312"/>
    <x v="1"/>
    <n v="2"/>
    <n v="4"/>
    <s v="Technical Degree"/>
    <n v="1"/>
    <n v="1745"/>
    <x v="2"/>
    <s v="Female"/>
    <n v="78"/>
    <n v="2"/>
    <x v="1"/>
    <x v="1"/>
    <x v="3"/>
    <s v="Single"/>
    <n v="4968"/>
    <n v="26427"/>
    <n v="0"/>
    <s v="Y"/>
    <s v="No"/>
    <n v="16"/>
    <n v="3"/>
    <n v="4"/>
    <n v="80"/>
    <n v="0"/>
    <n v="10"/>
    <n v="2"/>
    <n v="3"/>
    <x v="7"/>
    <n v="7"/>
    <n v="0"/>
    <n v="7"/>
    <s v="26-35"/>
    <s v="Medium"/>
    <s v="6-10"/>
    <s v="Mid-Level"/>
    <s v="Standard"/>
    <s v="Low"/>
    <x v="0"/>
  </r>
  <r>
    <n v="24"/>
    <x v="1"/>
    <s v="Travel_Frequently"/>
    <n v="897"/>
    <x v="2"/>
    <n v="10"/>
    <n v="3"/>
    <s v="Medical"/>
    <n v="1"/>
    <n v="1746"/>
    <x v="3"/>
    <s v="Male"/>
    <n v="59"/>
    <n v="3"/>
    <x v="1"/>
    <x v="8"/>
    <x v="0"/>
    <s v="Married"/>
    <n v="2145"/>
    <n v="2097"/>
    <n v="0"/>
    <s v="Y"/>
    <s v="No"/>
    <n v="14"/>
    <n v="3"/>
    <n v="4"/>
    <n v="80"/>
    <n v="1"/>
    <n v="3"/>
    <n v="2"/>
    <n v="3"/>
    <x v="4"/>
    <n v="2"/>
    <n v="2"/>
    <n v="1"/>
    <s v="18-25"/>
    <s v="Low"/>
    <s v="0-2"/>
    <s v="Junior"/>
    <s v="Standard"/>
    <s v="High"/>
    <x v="0"/>
  </r>
  <r>
    <n v="30"/>
    <x v="0"/>
    <s v="Travel_Frequently"/>
    <n v="600"/>
    <x v="2"/>
    <n v="8"/>
    <n v="3"/>
    <s v="Human Resources"/>
    <n v="1"/>
    <n v="1747"/>
    <x v="1"/>
    <s v="Female"/>
    <n v="66"/>
    <n v="2"/>
    <x v="1"/>
    <x v="8"/>
    <x v="0"/>
    <s v="Divorced"/>
    <n v="2180"/>
    <n v="9732"/>
    <n v="6"/>
    <s v="Y"/>
    <s v="No"/>
    <n v="11"/>
    <n v="3"/>
    <n v="3"/>
    <n v="80"/>
    <n v="1"/>
    <n v="6"/>
    <n v="0"/>
    <n v="2"/>
    <x v="9"/>
    <n v="2"/>
    <n v="1"/>
    <n v="2"/>
    <s v="26-35"/>
    <s v="Low"/>
    <s v="3-5"/>
    <s v="Mid-Level"/>
    <s v="Standard"/>
    <s v="High"/>
    <x v="0"/>
  </r>
  <r>
    <n v="31"/>
    <x v="1"/>
    <s v="Travel_Rarely"/>
    <n v="1003"/>
    <x v="0"/>
    <n v="5"/>
    <n v="3"/>
    <s v="Technical Degree"/>
    <n v="1"/>
    <n v="1749"/>
    <x v="3"/>
    <s v="Male"/>
    <n v="51"/>
    <n v="3"/>
    <x v="0"/>
    <x v="0"/>
    <x v="2"/>
    <s v="Married"/>
    <n v="8346"/>
    <n v="20943"/>
    <n v="1"/>
    <s v="Y"/>
    <s v="No"/>
    <n v="19"/>
    <n v="3"/>
    <n v="3"/>
    <n v="80"/>
    <n v="1"/>
    <n v="6"/>
    <n v="3"/>
    <n v="3"/>
    <x v="8"/>
    <n v="2"/>
    <n v="0"/>
    <n v="2"/>
    <s v="26-35"/>
    <s v="High"/>
    <s v="3-5"/>
    <s v="Mid-Level"/>
    <s v="Standard"/>
    <s v="High"/>
    <x v="0"/>
  </r>
  <r>
    <n v="27"/>
    <x v="1"/>
    <s v="Travel_Rarely"/>
    <n v="1054"/>
    <x v="1"/>
    <n v="8"/>
    <n v="3"/>
    <s v="Medical"/>
    <n v="1"/>
    <n v="1751"/>
    <x v="1"/>
    <s v="Female"/>
    <n v="67"/>
    <n v="3"/>
    <x v="1"/>
    <x v="1"/>
    <x v="0"/>
    <s v="Single"/>
    <n v="3445"/>
    <n v="6152"/>
    <n v="1"/>
    <s v="Y"/>
    <s v="No"/>
    <n v="11"/>
    <n v="3"/>
    <n v="3"/>
    <n v="80"/>
    <n v="0"/>
    <n v="6"/>
    <n v="5"/>
    <n v="2"/>
    <x v="0"/>
    <n v="2"/>
    <n v="1"/>
    <n v="4"/>
    <s v="26-35"/>
    <s v="Medium"/>
    <s v="6-10"/>
    <s v="Mid-Level"/>
    <s v="Standard"/>
    <s v="High"/>
    <x v="0"/>
  </r>
  <r>
    <n v="29"/>
    <x v="0"/>
    <s v="Travel_Rarely"/>
    <n v="428"/>
    <x v="0"/>
    <n v="9"/>
    <n v="3"/>
    <s v="Marketing"/>
    <n v="1"/>
    <n v="1752"/>
    <x v="0"/>
    <s v="Female"/>
    <n v="52"/>
    <n v="1"/>
    <x v="1"/>
    <x v="6"/>
    <x v="1"/>
    <s v="Single"/>
    <n v="2760"/>
    <n v="14630"/>
    <n v="1"/>
    <s v="Y"/>
    <s v="No"/>
    <n v="13"/>
    <n v="3"/>
    <n v="3"/>
    <n v="80"/>
    <n v="0"/>
    <n v="2"/>
    <n v="3"/>
    <n v="3"/>
    <x v="4"/>
    <n v="2"/>
    <n v="2"/>
    <n v="2"/>
    <s v="26-35"/>
    <s v="Low"/>
    <s v="0-2"/>
    <s v="Junior"/>
    <s v="Standard"/>
    <s v="Low"/>
    <x v="0"/>
  </r>
  <r>
    <n v="29"/>
    <x v="1"/>
    <s v="Travel_Frequently"/>
    <n v="461"/>
    <x v="1"/>
    <n v="1"/>
    <n v="3"/>
    <s v="Life Sciences"/>
    <n v="1"/>
    <n v="1753"/>
    <x v="2"/>
    <s v="Male"/>
    <n v="70"/>
    <n v="4"/>
    <x v="0"/>
    <x v="4"/>
    <x v="2"/>
    <s v="Single"/>
    <n v="6294"/>
    <n v="23060"/>
    <n v="8"/>
    <s v="Y"/>
    <s v="Yes"/>
    <n v="12"/>
    <n v="3"/>
    <n v="4"/>
    <n v="80"/>
    <n v="0"/>
    <n v="10"/>
    <n v="5"/>
    <n v="4"/>
    <x v="11"/>
    <n v="2"/>
    <n v="0"/>
    <n v="2"/>
    <s v="26-35"/>
    <s v="High"/>
    <s v="3-5"/>
    <s v="Mid-Level"/>
    <s v="Standard"/>
    <s v="High"/>
    <x v="0"/>
  </r>
  <r>
    <n v="30"/>
    <x v="1"/>
    <s v="Travel_Rarely"/>
    <n v="979"/>
    <x v="0"/>
    <n v="15"/>
    <n v="2"/>
    <s v="Marketing"/>
    <n v="1"/>
    <n v="1754"/>
    <x v="1"/>
    <s v="Male"/>
    <n v="94"/>
    <n v="2"/>
    <x v="2"/>
    <x v="0"/>
    <x v="3"/>
    <s v="Divorced"/>
    <n v="7140"/>
    <n v="3088"/>
    <n v="2"/>
    <s v="Y"/>
    <s v="No"/>
    <n v="11"/>
    <n v="3"/>
    <n v="1"/>
    <n v="80"/>
    <n v="1"/>
    <n v="12"/>
    <n v="2"/>
    <n v="3"/>
    <x v="5"/>
    <n v="7"/>
    <n v="1"/>
    <n v="7"/>
    <s v="26-35"/>
    <s v="High"/>
    <s v="6-10"/>
    <s v="Mid-Level"/>
    <s v="Standard"/>
    <s v="Low"/>
    <x v="0"/>
  </r>
  <r>
    <n v="34"/>
    <x v="1"/>
    <s v="Travel_Rarely"/>
    <n v="181"/>
    <x v="1"/>
    <n v="2"/>
    <n v="4"/>
    <s v="Medical"/>
    <n v="1"/>
    <n v="1755"/>
    <x v="2"/>
    <s v="Male"/>
    <n v="97"/>
    <n v="4"/>
    <x v="1"/>
    <x v="1"/>
    <x v="0"/>
    <s v="Married"/>
    <n v="2932"/>
    <n v="5586"/>
    <n v="0"/>
    <s v="Y"/>
    <s v="Yes"/>
    <n v="14"/>
    <n v="3"/>
    <n v="1"/>
    <n v="80"/>
    <n v="3"/>
    <n v="6"/>
    <n v="3"/>
    <n v="3"/>
    <x v="8"/>
    <n v="0"/>
    <n v="1"/>
    <n v="2"/>
    <s v="26-35"/>
    <s v="Low"/>
    <s v="3-5"/>
    <s v="Mid-Level"/>
    <s v="Standard"/>
    <s v="High"/>
    <x v="0"/>
  </r>
  <r>
    <n v="33"/>
    <x v="1"/>
    <s v="Non-Travel"/>
    <n v="1283"/>
    <x v="0"/>
    <n v="2"/>
    <n v="3"/>
    <s v="Marketing"/>
    <n v="1"/>
    <n v="1756"/>
    <x v="2"/>
    <s v="Female"/>
    <n v="62"/>
    <n v="3"/>
    <x v="0"/>
    <x v="0"/>
    <x v="1"/>
    <s v="Single"/>
    <n v="5147"/>
    <n v="10697"/>
    <n v="8"/>
    <s v="Y"/>
    <s v="No"/>
    <n v="15"/>
    <n v="3"/>
    <n v="4"/>
    <n v="80"/>
    <n v="0"/>
    <n v="13"/>
    <n v="2"/>
    <n v="2"/>
    <x v="19"/>
    <n v="7"/>
    <n v="1"/>
    <n v="7"/>
    <s v="26-35"/>
    <s v="Medium"/>
    <s v="11-15"/>
    <s v="Mid-Level"/>
    <s v="Standard"/>
    <s v="Low"/>
    <x v="0"/>
  </r>
  <r>
    <n v="49"/>
    <x v="1"/>
    <s v="Travel_Rarely"/>
    <n v="1313"/>
    <x v="0"/>
    <n v="11"/>
    <n v="4"/>
    <s v="Marketing"/>
    <n v="1"/>
    <n v="1757"/>
    <x v="2"/>
    <s v="Female"/>
    <n v="80"/>
    <n v="3"/>
    <x v="0"/>
    <x v="0"/>
    <x v="0"/>
    <s v="Single"/>
    <n v="4507"/>
    <n v="8191"/>
    <n v="3"/>
    <s v="Y"/>
    <s v="No"/>
    <n v="12"/>
    <n v="3"/>
    <n v="3"/>
    <n v="80"/>
    <n v="0"/>
    <n v="8"/>
    <n v="1"/>
    <n v="4"/>
    <x v="8"/>
    <n v="1"/>
    <n v="0"/>
    <n v="4"/>
    <s v="46-55"/>
    <s v="Medium"/>
    <s v="3-5"/>
    <s v="Mid-Level"/>
    <s v="Standard"/>
    <s v="High"/>
    <x v="0"/>
  </r>
  <r>
    <n v="33"/>
    <x v="0"/>
    <s v="Travel_Rarely"/>
    <n v="211"/>
    <x v="0"/>
    <n v="16"/>
    <n v="3"/>
    <s v="Life Sciences"/>
    <n v="1"/>
    <n v="1758"/>
    <x v="3"/>
    <s v="Female"/>
    <n v="74"/>
    <n v="3"/>
    <x v="2"/>
    <x v="0"/>
    <x v="3"/>
    <s v="Single"/>
    <n v="8564"/>
    <n v="10092"/>
    <n v="2"/>
    <s v="Y"/>
    <s v="Yes"/>
    <n v="20"/>
    <n v="4"/>
    <n v="3"/>
    <n v="80"/>
    <n v="0"/>
    <n v="11"/>
    <n v="2"/>
    <n v="2"/>
    <x v="2"/>
    <n v="0"/>
    <n v="0"/>
    <n v="0"/>
    <s v="26-35"/>
    <s v="High"/>
    <s v="0-2"/>
    <s v="Mid-Level"/>
    <s v="Excellent"/>
    <s v="Low"/>
    <x v="1"/>
  </r>
  <r>
    <n v="38"/>
    <x v="1"/>
    <s v="Travel_Frequently"/>
    <n v="594"/>
    <x v="1"/>
    <n v="2"/>
    <n v="2"/>
    <s v="Medical"/>
    <n v="1"/>
    <n v="1760"/>
    <x v="1"/>
    <s v="Female"/>
    <n v="75"/>
    <n v="2"/>
    <x v="1"/>
    <x v="2"/>
    <x v="1"/>
    <s v="Married"/>
    <n v="2468"/>
    <n v="15963"/>
    <n v="4"/>
    <s v="Y"/>
    <s v="No"/>
    <n v="14"/>
    <n v="3"/>
    <n v="2"/>
    <n v="80"/>
    <n v="1"/>
    <n v="9"/>
    <n v="4"/>
    <n v="2"/>
    <x v="0"/>
    <n v="1"/>
    <n v="0"/>
    <n v="5"/>
    <s v="36-45"/>
    <s v="Low"/>
    <s v="6-10"/>
    <s v="Mid-Level"/>
    <s v="Standard"/>
    <s v="Low"/>
    <x v="0"/>
  </r>
  <r>
    <n v="31"/>
    <x v="0"/>
    <s v="Travel_Rarely"/>
    <n v="1079"/>
    <x v="0"/>
    <n v="16"/>
    <n v="4"/>
    <s v="Marketing"/>
    <n v="1"/>
    <n v="1761"/>
    <x v="3"/>
    <s v="Male"/>
    <n v="70"/>
    <n v="3"/>
    <x v="2"/>
    <x v="0"/>
    <x v="2"/>
    <s v="Married"/>
    <n v="8161"/>
    <n v="19002"/>
    <n v="2"/>
    <s v="Y"/>
    <s v="No"/>
    <n v="13"/>
    <n v="3"/>
    <n v="1"/>
    <n v="80"/>
    <n v="3"/>
    <n v="10"/>
    <n v="2"/>
    <n v="3"/>
    <x v="6"/>
    <n v="0"/>
    <n v="0"/>
    <n v="0"/>
    <s v="26-35"/>
    <s v="High"/>
    <s v="0-2"/>
    <s v="Mid-Level"/>
    <s v="Standard"/>
    <s v="High"/>
    <x v="0"/>
  </r>
  <r>
    <n v="29"/>
    <x v="1"/>
    <s v="Travel_Rarely"/>
    <n v="590"/>
    <x v="1"/>
    <n v="4"/>
    <n v="3"/>
    <s v="Technical Degree"/>
    <n v="1"/>
    <n v="1762"/>
    <x v="2"/>
    <s v="Female"/>
    <n v="91"/>
    <n v="2"/>
    <x v="1"/>
    <x v="1"/>
    <x v="3"/>
    <s v="Divorced"/>
    <n v="2109"/>
    <n v="10007"/>
    <n v="1"/>
    <s v="Y"/>
    <s v="No"/>
    <n v="13"/>
    <n v="3"/>
    <n v="3"/>
    <n v="80"/>
    <n v="1"/>
    <n v="1"/>
    <n v="2"/>
    <n v="3"/>
    <x v="6"/>
    <n v="0"/>
    <n v="0"/>
    <n v="0"/>
    <s v="26-35"/>
    <s v="Low"/>
    <s v="0-2"/>
    <s v="Junior"/>
    <s v="Standard"/>
    <s v="Low"/>
    <x v="0"/>
  </r>
  <r>
    <n v="30"/>
    <x v="1"/>
    <s v="Travel_Rarely"/>
    <n v="305"/>
    <x v="1"/>
    <n v="16"/>
    <n v="3"/>
    <s v="Life Sciences"/>
    <n v="1"/>
    <n v="1763"/>
    <x v="1"/>
    <s v="Male"/>
    <n v="58"/>
    <n v="4"/>
    <x v="0"/>
    <x v="4"/>
    <x v="2"/>
    <s v="Married"/>
    <n v="5294"/>
    <n v="9128"/>
    <n v="3"/>
    <s v="Y"/>
    <s v="No"/>
    <n v="16"/>
    <n v="3"/>
    <n v="3"/>
    <n v="80"/>
    <n v="1"/>
    <n v="10"/>
    <n v="3"/>
    <n v="3"/>
    <x v="5"/>
    <n v="0"/>
    <n v="1"/>
    <n v="7"/>
    <s v="26-35"/>
    <s v="Medium"/>
    <s v="6-10"/>
    <s v="Mid-Level"/>
    <s v="Standard"/>
    <s v="High"/>
    <x v="0"/>
  </r>
  <r>
    <n v="32"/>
    <x v="1"/>
    <s v="Non-Travel"/>
    <n v="953"/>
    <x v="1"/>
    <n v="5"/>
    <n v="4"/>
    <s v="Technical Degree"/>
    <n v="1"/>
    <n v="1764"/>
    <x v="0"/>
    <s v="Male"/>
    <n v="65"/>
    <n v="3"/>
    <x v="1"/>
    <x v="1"/>
    <x v="1"/>
    <s v="Single"/>
    <n v="2718"/>
    <n v="17674"/>
    <n v="2"/>
    <s v="Y"/>
    <s v="No"/>
    <n v="14"/>
    <n v="3"/>
    <n v="2"/>
    <n v="80"/>
    <n v="0"/>
    <n v="12"/>
    <n v="3"/>
    <n v="3"/>
    <x v="5"/>
    <n v="7"/>
    <n v="0"/>
    <n v="7"/>
    <s v="26-35"/>
    <s v="Low"/>
    <s v="6-10"/>
    <s v="Mid-Level"/>
    <s v="Standard"/>
    <s v="Low"/>
    <x v="0"/>
  </r>
  <r>
    <n v="38"/>
    <x v="1"/>
    <s v="Travel_Rarely"/>
    <n v="833"/>
    <x v="1"/>
    <n v="18"/>
    <n v="3"/>
    <s v="Medical"/>
    <n v="1"/>
    <n v="1766"/>
    <x v="0"/>
    <s v="Male"/>
    <n v="60"/>
    <n v="1"/>
    <x v="0"/>
    <x v="4"/>
    <x v="0"/>
    <s v="Married"/>
    <n v="5811"/>
    <n v="24539"/>
    <n v="3"/>
    <s v="Y"/>
    <s v="Yes"/>
    <n v="16"/>
    <n v="3"/>
    <n v="3"/>
    <n v="80"/>
    <n v="1"/>
    <n v="15"/>
    <n v="2"/>
    <n v="3"/>
    <x v="6"/>
    <n v="0"/>
    <n v="1"/>
    <n v="0"/>
    <s v="36-45"/>
    <s v="Medium"/>
    <s v="0-2"/>
    <s v="Mid-Level"/>
    <s v="Standard"/>
    <s v="High"/>
    <x v="0"/>
  </r>
  <r>
    <n v="43"/>
    <x v="0"/>
    <s v="Travel_Frequently"/>
    <n v="807"/>
    <x v="1"/>
    <n v="17"/>
    <n v="3"/>
    <s v="Technical Degree"/>
    <n v="1"/>
    <n v="1767"/>
    <x v="1"/>
    <s v="Male"/>
    <n v="38"/>
    <n v="2"/>
    <x v="1"/>
    <x v="1"/>
    <x v="2"/>
    <s v="Married"/>
    <n v="2437"/>
    <n v="15587"/>
    <n v="9"/>
    <s v="Y"/>
    <s v="Yes"/>
    <n v="16"/>
    <n v="3"/>
    <n v="4"/>
    <n v="80"/>
    <n v="1"/>
    <n v="6"/>
    <n v="4"/>
    <n v="3"/>
    <x v="6"/>
    <n v="0"/>
    <n v="0"/>
    <n v="0"/>
    <s v="36-45"/>
    <s v="Low"/>
    <s v="0-2"/>
    <s v="Mid-Level"/>
    <s v="Standard"/>
    <s v="High"/>
    <x v="0"/>
  </r>
  <r>
    <n v="42"/>
    <x v="1"/>
    <s v="Travel_Rarely"/>
    <n v="855"/>
    <x v="1"/>
    <n v="12"/>
    <n v="3"/>
    <s v="Medical"/>
    <n v="1"/>
    <n v="1768"/>
    <x v="0"/>
    <s v="Male"/>
    <n v="57"/>
    <n v="3"/>
    <x v="1"/>
    <x v="2"/>
    <x v="1"/>
    <s v="Divorced"/>
    <n v="2766"/>
    <n v="8952"/>
    <n v="8"/>
    <s v="Y"/>
    <s v="No"/>
    <n v="22"/>
    <n v="4"/>
    <n v="2"/>
    <n v="80"/>
    <n v="3"/>
    <n v="7"/>
    <n v="6"/>
    <n v="2"/>
    <x v="8"/>
    <n v="3"/>
    <n v="0"/>
    <n v="4"/>
    <s v="36-45"/>
    <s v="Low"/>
    <s v="3-5"/>
    <s v="Mid-Level"/>
    <s v="Excellent"/>
    <s v="Low"/>
    <x v="0"/>
  </r>
  <r>
    <n v="55"/>
    <x v="1"/>
    <s v="Travel_Rarely"/>
    <n v="478"/>
    <x v="1"/>
    <n v="2"/>
    <n v="3"/>
    <s v="Medical"/>
    <n v="1"/>
    <n v="1770"/>
    <x v="1"/>
    <s v="Male"/>
    <n v="60"/>
    <n v="2"/>
    <x v="4"/>
    <x v="7"/>
    <x v="3"/>
    <s v="Married"/>
    <n v="19038"/>
    <n v="19805"/>
    <n v="8"/>
    <s v="Y"/>
    <s v="No"/>
    <n v="12"/>
    <n v="3"/>
    <n v="2"/>
    <n v="80"/>
    <n v="3"/>
    <n v="34"/>
    <n v="2"/>
    <n v="3"/>
    <x v="6"/>
    <n v="0"/>
    <n v="0"/>
    <n v="0"/>
    <s v="46-55"/>
    <s v="Very High"/>
    <s v="0-2"/>
    <s v="Senior"/>
    <s v="Standard"/>
    <s v="Low"/>
    <x v="0"/>
  </r>
  <r>
    <n v="33"/>
    <x v="1"/>
    <s v="Non-Travel"/>
    <n v="775"/>
    <x v="1"/>
    <n v="4"/>
    <n v="3"/>
    <s v="Technical Degree"/>
    <n v="1"/>
    <n v="1771"/>
    <x v="2"/>
    <s v="Male"/>
    <n v="90"/>
    <n v="3"/>
    <x v="0"/>
    <x v="1"/>
    <x v="1"/>
    <s v="Divorced"/>
    <n v="3055"/>
    <n v="6194"/>
    <n v="5"/>
    <s v="Y"/>
    <s v="No"/>
    <n v="15"/>
    <n v="3"/>
    <n v="4"/>
    <n v="80"/>
    <n v="2"/>
    <n v="11"/>
    <n v="2"/>
    <n v="2"/>
    <x v="7"/>
    <n v="8"/>
    <n v="1"/>
    <n v="7"/>
    <s v="26-35"/>
    <s v="Medium"/>
    <s v="6-10"/>
    <s v="Mid-Level"/>
    <s v="Standard"/>
    <s v="Low"/>
    <x v="0"/>
  </r>
  <r>
    <n v="41"/>
    <x v="1"/>
    <s v="Travel_Rarely"/>
    <n v="548"/>
    <x v="1"/>
    <n v="9"/>
    <n v="4"/>
    <s v="Life Sciences"/>
    <n v="1"/>
    <n v="1772"/>
    <x v="1"/>
    <s v="Male"/>
    <n v="94"/>
    <n v="3"/>
    <x v="1"/>
    <x v="2"/>
    <x v="3"/>
    <s v="Divorced"/>
    <n v="2289"/>
    <n v="20520"/>
    <n v="1"/>
    <s v="Y"/>
    <s v="No"/>
    <n v="20"/>
    <n v="4"/>
    <n v="2"/>
    <n v="80"/>
    <n v="2"/>
    <n v="5"/>
    <n v="2"/>
    <n v="3"/>
    <x v="8"/>
    <n v="3"/>
    <n v="0"/>
    <n v="4"/>
    <s v="36-45"/>
    <s v="Low"/>
    <s v="3-5"/>
    <s v="Junior"/>
    <s v="Excellent"/>
    <s v="Low"/>
    <x v="0"/>
  </r>
  <r>
    <n v="34"/>
    <x v="1"/>
    <s v="Non-Travel"/>
    <n v="1375"/>
    <x v="0"/>
    <n v="10"/>
    <n v="3"/>
    <s v="Life Sciences"/>
    <n v="1"/>
    <n v="1774"/>
    <x v="2"/>
    <s v="Male"/>
    <n v="87"/>
    <n v="3"/>
    <x v="0"/>
    <x v="0"/>
    <x v="2"/>
    <s v="Divorced"/>
    <n v="4001"/>
    <n v="12313"/>
    <n v="1"/>
    <s v="Y"/>
    <s v="Yes"/>
    <n v="14"/>
    <n v="3"/>
    <n v="3"/>
    <n v="80"/>
    <n v="1"/>
    <n v="15"/>
    <n v="3"/>
    <n v="3"/>
    <x v="15"/>
    <n v="14"/>
    <n v="0"/>
    <n v="7"/>
    <s v="26-35"/>
    <s v="Medium"/>
    <s v="11-15"/>
    <s v="Mid-Level"/>
    <s v="Standard"/>
    <s v="High"/>
    <x v="0"/>
  </r>
  <r>
    <n v="53"/>
    <x v="1"/>
    <s v="Non-Travel"/>
    <n v="661"/>
    <x v="1"/>
    <n v="1"/>
    <n v="4"/>
    <s v="Medical"/>
    <n v="1"/>
    <n v="1775"/>
    <x v="3"/>
    <s v="Female"/>
    <n v="60"/>
    <n v="2"/>
    <x v="3"/>
    <x v="3"/>
    <x v="2"/>
    <s v="Married"/>
    <n v="12965"/>
    <n v="22308"/>
    <n v="4"/>
    <s v="Y"/>
    <s v="Yes"/>
    <n v="20"/>
    <n v="4"/>
    <n v="4"/>
    <n v="80"/>
    <n v="3"/>
    <n v="27"/>
    <n v="2"/>
    <n v="2"/>
    <x v="11"/>
    <n v="2"/>
    <n v="0"/>
    <n v="2"/>
    <s v="46-55"/>
    <s v="Very High"/>
    <s v="3-5"/>
    <s v="Senior"/>
    <s v="Excellent"/>
    <s v="High"/>
    <x v="0"/>
  </r>
  <r>
    <n v="43"/>
    <x v="1"/>
    <s v="Travel_Rarely"/>
    <n v="244"/>
    <x v="2"/>
    <n v="2"/>
    <n v="3"/>
    <s v="Life Sciences"/>
    <n v="1"/>
    <n v="1778"/>
    <x v="0"/>
    <s v="Male"/>
    <n v="97"/>
    <n v="3"/>
    <x v="1"/>
    <x v="8"/>
    <x v="0"/>
    <s v="Single"/>
    <n v="3539"/>
    <n v="5033"/>
    <n v="0"/>
    <s v="Y"/>
    <s v="No"/>
    <n v="13"/>
    <n v="3"/>
    <n v="2"/>
    <n v="80"/>
    <n v="0"/>
    <n v="10"/>
    <n v="5"/>
    <n v="3"/>
    <x v="7"/>
    <n v="7"/>
    <n v="1"/>
    <n v="8"/>
    <s v="36-45"/>
    <s v="Medium"/>
    <s v="6-10"/>
    <s v="Mid-Level"/>
    <s v="Standard"/>
    <s v="High"/>
    <x v="0"/>
  </r>
  <r>
    <n v="34"/>
    <x v="1"/>
    <s v="Travel_Rarely"/>
    <n v="511"/>
    <x v="0"/>
    <n v="3"/>
    <n v="2"/>
    <s v="Life Sciences"/>
    <n v="1"/>
    <n v="1779"/>
    <x v="2"/>
    <s v="Female"/>
    <n v="32"/>
    <n v="1"/>
    <x v="0"/>
    <x v="0"/>
    <x v="0"/>
    <s v="Single"/>
    <n v="6029"/>
    <n v="25353"/>
    <n v="5"/>
    <s v="Y"/>
    <s v="No"/>
    <n v="12"/>
    <n v="3"/>
    <n v="1"/>
    <n v="80"/>
    <n v="0"/>
    <n v="6"/>
    <n v="3"/>
    <n v="3"/>
    <x v="4"/>
    <n v="2"/>
    <n v="2"/>
    <n v="2"/>
    <s v="26-35"/>
    <s v="High"/>
    <s v="0-2"/>
    <s v="Mid-Level"/>
    <s v="Standard"/>
    <s v="High"/>
    <x v="0"/>
  </r>
  <r>
    <n v="21"/>
    <x v="0"/>
    <s v="Travel_Rarely"/>
    <n v="337"/>
    <x v="0"/>
    <n v="7"/>
    <n v="1"/>
    <s v="Marketing"/>
    <n v="1"/>
    <n v="1780"/>
    <x v="0"/>
    <s v="Male"/>
    <n v="31"/>
    <n v="3"/>
    <x v="1"/>
    <x v="6"/>
    <x v="1"/>
    <s v="Single"/>
    <n v="2679"/>
    <n v="4567"/>
    <n v="1"/>
    <s v="Y"/>
    <s v="No"/>
    <n v="13"/>
    <n v="3"/>
    <n v="2"/>
    <n v="80"/>
    <n v="0"/>
    <n v="1"/>
    <n v="3"/>
    <n v="3"/>
    <x v="6"/>
    <n v="0"/>
    <n v="1"/>
    <n v="0"/>
    <s v="18-25"/>
    <s v="Low"/>
    <s v="0-2"/>
    <s v="Junior"/>
    <s v="Standard"/>
    <s v="Low"/>
    <x v="0"/>
  </r>
  <r>
    <n v="38"/>
    <x v="1"/>
    <s v="Travel_Rarely"/>
    <n v="1153"/>
    <x v="1"/>
    <n v="6"/>
    <n v="2"/>
    <s v="Other"/>
    <n v="1"/>
    <n v="1782"/>
    <x v="2"/>
    <s v="Female"/>
    <n v="40"/>
    <n v="2"/>
    <x v="1"/>
    <x v="2"/>
    <x v="2"/>
    <s v="Married"/>
    <n v="3702"/>
    <n v="16376"/>
    <n v="1"/>
    <s v="Y"/>
    <s v="No"/>
    <n v="11"/>
    <n v="3"/>
    <n v="2"/>
    <n v="80"/>
    <n v="1"/>
    <n v="5"/>
    <n v="3"/>
    <n v="3"/>
    <x v="8"/>
    <n v="4"/>
    <n v="0"/>
    <n v="4"/>
    <s v="36-45"/>
    <s v="Medium"/>
    <s v="3-5"/>
    <s v="Junior"/>
    <s v="Standard"/>
    <s v="High"/>
    <x v="0"/>
  </r>
  <r>
    <n v="22"/>
    <x v="0"/>
    <s v="Travel_Rarely"/>
    <n v="1294"/>
    <x v="1"/>
    <n v="8"/>
    <n v="1"/>
    <s v="Medical"/>
    <n v="1"/>
    <n v="1783"/>
    <x v="1"/>
    <s v="Female"/>
    <n v="79"/>
    <n v="3"/>
    <x v="1"/>
    <x v="2"/>
    <x v="3"/>
    <s v="Married"/>
    <n v="2398"/>
    <n v="15999"/>
    <n v="1"/>
    <s v="Y"/>
    <s v="Yes"/>
    <n v="17"/>
    <n v="3"/>
    <n v="3"/>
    <n v="80"/>
    <n v="0"/>
    <n v="1"/>
    <n v="6"/>
    <n v="3"/>
    <x v="6"/>
    <n v="0"/>
    <n v="0"/>
    <n v="0"/>
    <s v="18-25"/>
    <s v="Low"/>
    <s v="0-2"/>
    <s v="Junior"/>
    <s v="Standard"/>
    <s v="Low"/>
    <x v="1"/>
  </r>
  <r>
    <n v="31"/>
    <x v="1"/>
    <s v="Travel_Rarely"/>
    <n v="196"/>
    <x v="0"/>
    <n v="29"/>
    <n v="4"/>
    <s v="Marketing"/>
    <n v="1"/>
    <n v="1784"/>
    <x v="3"/>
    <s v="Female"/>
    <n v="91"/>
    <n v="2"/>
    <x v="0"/>
    <x v="0"/>
    <x v="0"/>
    <s v="Married"/>
    <n v="5468"/>
    <n v="13402"/>
    <n v="1"/>
    <s v="Y"/>
    <s v="No"/>
    <n v="14"/>
    <n v="3"/>
    <n v="1"/>
    <n v="80"/>
    <n v="2"/>
    <n v="13"/>
    <n v="3"/>
    <n v="3"/>
    <x v="12"/>
    <n v="7"/>
    <n v="5"/>
    <n v="7"/>
    <s v="26-35"/>
    <s v="Medium"/>
    <s v="11-15"/>
    <s v="Mid-Level"/>
    <s v="Standard"/>
    <s v="High"/>
    <x v="0"/>
  </r>
  <r>
    <n v="51"/>
    <x v="1"/>
    <s v="Travel_Rarely"/>
    <n v="942"/>
    <x v="1"/>
    <n v="3"/>
    <n v="3"/>
    <s v="Technical Degree"/>
    <n v="1"/>
    <n v="1786"/>
    <x v="3"/>
    <s v="Female"/>
    <n v="53"/>
    <n v="3"/>
    <x v="2"/>
    <x v="5"/>
    <x v="2"/>
    <s v="Married"/>
    <n v="13116"/>
    <n v="22984"/>
    <n v="2"/>
    <s v="Y"/>
    <s v="No"/>
    <n v="11"/>
    <n v="3"/>
    <n v="4"/>
    <n v="80"/>
    <n v="0"/>
    <n v="15"/>
    <n v="2"/>
    <n v="3"/>
    <x v="4"/>
    <n v="2"/>
    <n v="2"/>
    <n v="2"/>
    <s v="46-55"/>
    <s v="Very High"/>
    <s v="0-2"/>
    <s v="Mid-Level"/>
    <s v="Standard"/>
    <s v="High"/>
    <x v="0"/>
  </r>
  <r>
    <n v="37"/>
    <x v="1"/>
    <s v="Travel_Rarely"/>
    <n v="589"/>
    <x v="0"/>
    <n v="9"/>
    <n v="2"/>
    <s v="Marketing"/>
    <n v="1"/>
    <n v="1787"/>
    <x v="0"/>
    <s v="Male"/>
    <n v="46"/>
    <n v="2"/>
    <x v="0"/>
    <x v="0"/>
    <x v="1"/>
    <s v="Married"/>
    <n v="4189"/>
    <n v="8800"/>
    <n v="1"/>
    <s v="Y"/>
    <s v="No"/>
    <n v="14"/>
    <n v="3"/>
    <n v="1"/>
    <n v="80"/>
    <n v="2"/>
    <n v="5"/>
    <n v="2"/>
    <n v="3"/>
    <x v="8"/>
    <n v="2"/>
    <n v="0"/>
    <n v="3"/>
    <s v="36-45"/>
    <s v="Medium"/>
    <s v="3-5"/>
    <s v="Junior"/>
    <s v="Standard"/>
    <s v="Low"/>
    <x v="0"/>
  </r>
  <r>
    <n v="46"/>
    <x v="1"/>
    <s v="Travel_Rarely"/>
    <n v="734"/>
    <x v="1"/>
    <n v="2"/>
    <n v="4"/>
    <s v="Medical"/>
    <n v="1"/>
    <n v="1789"/>
    <x v="1"/>
    <s v="Male"/>
    <n v="46"/>
    <n v="3"/>
    <x v="4"/>
    <x v="7"/>
    <x v="0"/>
    <s v="Divorced"/>
    <n v="19328"/>
    <n v="14218"/>
    <n v="7"/>
    <s v="Y"/>
    <s v="Yes"/>
    <n v="17"/>
    <n v="3"/>
    <n v="3"/>
    <n v="80"/>
    <n v="1"/>
    <n v="24"/>
    <n v="3"/>
    <n v="3"/>
    <x v="4"/>
    <n v="1"/>
    <n v="2"/>
    <n v="2"/>
    <s v="46-55"/>
    <s v="Very High"/>
    <s v="0-2"/>
    <s v="Senior"/>
    <s v="Standard"/>
    <s v="High"/>
    <x v="0"/>
  </r>
  <r>
    <n v="36"/>
    <x v="1"/>
    <s v="Travel_Rarely"/>
    <n v="1383"/>
    <x v="1"/>
    <n v="10"/>
    <n v="3"/>
    <s v="Life Sciences"/>
    <n v="1"/>
    <n v="1790"/>
    <x v="2"/>
    <s v="Male"/>
    <n v="90"/>
    <n v="3"/>
    <x v="2"/>
    <x v="4"/>
    <x v="3"/>
    <s v="Married"/>
    <n v="8321"/>
    <n v="25949"/>
    <n v="7"/>
    <s v="Y"/>
    <s v="Yes"/>
    <n v="13"/>
    <n v="3"/>
    <n v="4"/>
    <n v="80"/>
    <n v="1"/>
    <n v="15"/>
    <n v="1"/>
    <n v="3"/>
    <x v="12"/>
    <n v="8"/>
    <n v="5"/>
    <n v="7"/>
    <s v="36-45"/>
    <s v="High"/>
    <s v="11-15"/>
    <s v="Mid-Level"/>
    <s v="Standard"/>
    <s v="Low"/>
    <x v="0"/>
  </r>
  <r>
    <n v="44"/>
    <x v="0"/>
    <s v="Travel_Frequently"/>
    <n v="429"/>
    <x v="1"/>
    <n v="1"/>
    <n v="2"/>
    <s v="Medical"/>
    <n v="1"/>
    <n v="1792"/>
    <x v="1"/>
    <s v="Male"/>
    <n v="99"/>
    <n v="3"/>
    <x v="1"/>
    <x v="1"/>
    <x v="1"/>
    <s v="Divorced"/>
    <n v="2342"/>
    <n v="11092"/>
    <n v="1"/>
    <s v="Y"/>
    <s v="Yes"/>
    <n v="12"/>
    <n v="3"/>
    <n v="3"/>
    <n v="80"/>
    <n v="3"/>
    <n v="6"/>
    <n v="2"/>
    <n v="2"/>
    <x v="8"/>
    <n v="3"/>
    <n v="2"/>
    <n v="3"/>
    <s v="36-45"/>
    <s v="Low"/>
    <s v="3-5"/>
    <s v="Mid-Level"/>
    <s v="Standard"/>
    <s v="Low"/>
    <x v="0"/>
  </r>
  <r>
    <n v="37"/>
    <x v="1"/>
    <s v="Travel_Rarely"/>
    <n v="1239"/>
    <x v="2"/>
    <n v="8"/>
    <n v="2"/>
    <s v="Other"/>
    <n v="1"/>
    <n v="1794"/>
    <x v="1"/>
    <s v="Male"/>
    <n v="89"/>
    <n v="3"/>
    <x v="0"/>
    <x v="8"/>
    <x v="1"/>
    <s v="Divorced"/>
    <n v="4071"/>
    <n v="12832"/>
    <n v="2"/>
    <s v="Y"/>
    <s v="No"/>
    <n v="13"/>
    <n v="3"/>
    <n v="3"/>
    <n v="80"/>
    <n v="0"/>
    <n v="19"/>
    <n v="4"/>
    <n v="2"/>
    <x v="1"/>
    <n v="0"/>
    <n v="4"/>
    <n v="7"/>
    <s v="36-45"/>
    <s v="Medium"/>
    <s v="6-10"/>
    <s v="Senior"/>
    <s v="Standard"/>
    <s v="Low"/>
    <x v="0"/>
  </r>
  <r>
    <n v="35"/>
    <x v="0"/>
    <s v="Travel_Rarely"/>
    <n v="303"/>
    <x v="0"/>
    <n v="27"/>
    <n v="3"/>
    <s v="Life Sciences"/>
    <n v="1"/>
    <n v="1797"/>
    <x v="1"/>
    <s v="Male"/>
    <n v="84"/>
    <n v="3"/>
    <x v="0"/>
    <x v="0"/>
    <x v="0"/>
    <s v="Single"/>
    <n v="5813"/>
    <n v="13492"/>
    <n v="1"/>
    <s v="Y"/>
    <s v="Yes"/>
    <n v="18"/>
    <n v="3"/>
    <n v="4"/>
    <n v="80"/>
    <n v="0"/>
    <n v="10"/>
    <n v="2"/>
    <n v="3"/>
    <x v="1"/>
    <n v="7"/>
    <n v="7"/>
    <n v="7"/>
    <s v="26-35"/>
    <s v="Medium"/>
    <s v="6-10"/>
    <s v="Mid-Level"/>
    <s v="Standard"/>
    <s v="High"/>
    <x v="0"/>
  </r>
  <r>
    <n v="33"/>
    <x v="1"/>
    <s v="Travel_Rarely"/>
    <n v="867"/>
    <x v="1"/>
    <n v="8"/>
    <n v="4"/>
    <s v="Life Sciences"/>
    <n v="1"/>
    <n v="1798"/>
    <x v="2"/>
    <s v="Male"/>
    <n v="90"/>
    <n v="4"/>
    <x v="1"/>
    <x v="1"/>
    <x v="3"/>
    <s v="Married"/>
    <n v="3143"/>
    <n v="6076"/>
    <n v="6"/>
    <s v="Y"/>
    <s v="No"/>
    <n v="19"/>
    <n v="3"/>
    <n v="2"/>
    <n v="80"/>
    <n v="1"/>
    <n v="14"/>
    <n v="1"/>
    <n v="3"/>
    <x v="1"/>
    <n v="8"/>
    <n v="7"/>
    <n v="6"/>
    <s v="26-35"/>
    <s v="Medium"/>
    <s v="6-10"/>
    <s v="Mid-Level"/>
    <s v="Standard"/>
    <s v="Low"/>
    <x v="0"/>
  </r>
  <r>
    <n v="28"/>
    <x v="1"/>
    <s v="Travel_Rarely"/>
    <n v="1181"/>
    <x v="1"/>
    <n v="1"/>
    <n v="3"/>
    <s v="Life Sciences"/>
    <n v="1"/>
    <n v="1799"/>
    <x v="1"/>
    <s v="Male"/>
    <n v="82"/>
    <n v="3"/>
    <x v="1"/>
    <x v="1"/>
    <x v="0"/>
    <s v="Married"/>
    <n v="2044"/>
    <n v="5531"/>
    <n v="1"/>
    <s v="Y"/>
    <s v="No"/>
    <n v="11"/>
    <n v="3"/>
    <n v="3"/>
    <n v="80"/>
    <n v="1"/>
    <n v="5"/>
    <n v="6"/>
    <n v="4"/>
    <x v="8"/>
    <n v="3"/>
    <n v="0"/>
    <n v="3"/>
    <s v="26-35"/>
    <s v="Low"/>
    <s v="3-5"/>
    <s v="Junior"/>
    <s v="Standard"/>
    <s v="High"/>
    <x v="0"/>
  </r>
  <r>
    <n v="39"/>
    <x v="1"/>
    <s v="Travel_Rarely"/>
    <n v="1253"/>
    <x v="1"/>
    <n v="10"/>
    <n v="1"/>
    <s v="Medical"/>
    <n v="1"/>
    <n v="1800"/>
    <x v="1"/>
    <s v="Male"/>
    <n v="65"/>
    <n v="3"/>
    <x v="2"/>
    <x v="7"/>
    <x v="2"/>
    <s v="Single"/>
    <n v="13464"/>
    <n v="7914"/>
    <n v="7"/>
    <s v="Y"/>
    <s v="No"/>
    <n v="21"/>
    <n v="4"/>
    <n v="3"/>
    <n v="80"/>
    <n v="0"/>
    <n v="9"/>
    <n v="3"/>
    <n v="3"/>
    <x v="9"/>
    <n v="3"/>
    <n v="2"/>
    <n v="2"/>
    <s v="36-45"/>
    <s v="Very High"/>
    <s v="3-5"/>
    <s v="Mid-Level"/>
    <s v="Excellent"/>
    <s v="High"/>
    <x v="0"/>
  </r>
  <r>
    <n v="46"/>
    <x v="1"/>
    <s v="Non-Travel"/>
    <n v="849"/>
    <x v="0"/>
    <n v="26"/>
    <n v="2"/>
    <s v="Life Sciences"/>
    <n v="1"/>
    <n v="1801"/>
    <x v="0"/>
    <s v="Male"/>
    <n v="98"/>
    <n v="2"/>
    <x v="0"/>
    <x v="0"/>
    <x v="1"/>
    <s v="Single"/>
    <n v="7991"/>
    <n v="25166"/>
    <n v="8"/>
    <s v="Y"/>
    <s v="No"/>
    <n v="15"/>
    <n v="3"/>
    <n v="3"/>
    <n v="80"/>
    <n v="0"/>
    <n v="6"/>
    <n v="3"/>
    <n v="3"/>
    <x v="4"/>
    <n v="2"/>
    <n v="2"/>
    <n v="2"/>
    <s v="46-55"/>
    <s v="High"/>
    <s v="0-2"/>
    <s v="Mid-Level"/>
    <s v="Standard"/>
    <s v="Low"/>
    <x v="0"/>
  </r>
  <r>
    <n v="40"/>
    <x v="1"/>
    <s v="Travel_Rarely"/>
    <n v="616"/>
    <x v="1"/>
    <n v="2"/>
    <n v="2"/>
    <s v="Life Sciences"/>
    <n v="1"/>
    <n v="1802"/>
    <x v="1"/>
    <s v="Female"/>
    <n v="99"/>
    <n v="3"/>
    <x v="1"/>
    <x v="2"/>
    <x v="3"/>
    <s v="Married"/>
    <n v="3377"/>
    <n v="25605"/>
    <n v="4"/>
    <s v="Y"/>
    <s v="No"/>
    <n v="17"/>
    <n v="3"/>
    <n v="4"/>
    <n v="80"/>
    <n v="1"/>
    <n v="7"/>
    <n v="5"/>
    <n v="2"/>
    <x v="9"/>
    <n v="3"/>
    <n v="0"/>
    <n v="2"/>
    <s v="36-45"/>
    <s v="Medium"/>
    <s v="3-5"/>
    <s v="Mid-Level"/>
    <s v="Standard"/>
    <s v="Low"/>
    <x v="0"/>
  </r>
  <r>
    <n v="42"/>
    <x v="1"/>
    <s v="Travel_Rarely"/>
    <n v="1128"/>
    <x v="1"/>
    <n v="13"/>
    <n v="3"/>
    <s v="Medical"/>
    <n v="1"/>
    <n v="1803"/>
    <x v="0"/>
    <s v="Male"/>
    <n v="95"/>
    <n v="4"/>
    <x v="0"/>
    <x v="4"/>
    <x v="3"/>
    <s v="Married"/>
    <n v="5538"/>
    <n v="5696"/>
    <n v="5"/>
    <s v="Y"/>
    <s v="No"/>
    <n v="18"/>
    <n v="3"/>
    <n v="3"/>
    <n v="80"/>
    <n v="2"/>
    <n v="10"/>
    <n v="2"/>
    <n v="2"/>
    <x v="2"/>
    <n v="0"/>
    <n v="0"/>
    <n v="0"/>
    <s v="36-45"/>
    <s v="Medium"/>
    <s v="0-2"/>
    <s v="Mid-Level"/>
    <s v="Standard"/>
    <s v="Low"/>
    <x v="0"/>
  </r>
  <r>
    <n v="35"/>
    <x v="1"/>
    <s v="Non-Travel"/>
    <n v="1180"/>
    <x v="1"/>
    <n v="2"/>
    <n v="2"/>
    <s v="Medical"/>
    <n v="1"/>
    <n v="1804"/>
    <x v="0"/>
    <s v="Male"/>
    <n v="90"/>
    <n v="3"/>
    <x v="0"/>
    <x v="3"/>
    <x v="0"/>
    <s v="Divorced"/>
    <n v="5762"/>
    <n v="24442"/>
    <n v="2"/>
    <s v="Y"/>
    <s v="No"/>
    <n v="14"/>
    <n v="3"/>
    <n v="3"/>
    <n v="80"/>
    <n v="1"/>
    <n v="15"/>
    <n v="6"/>
    <n v="3"/>
    <x v="5"/>
    <n v="7"/>
    <n v="1"/>
    <n v="7"/>
    <s v="26-35"/>
    <s v="Medium"/>
    <s v="6-10"/>
    <s v="Mid-Level"/>
    <s v="Standard"/>
    <s v="High"/>
    <x v="0"/>
  </r>
  <r>
    <n v="38"/>
    <x v="1"/>
    <s v="Non-Travel"/>
    <n v="1336"/>
    <x v="2"/>
    <n v="2"/>
    <n v="3"/>
    <s v="Human Resources"/>
    <n v="1"/>
    <n v="1805"/>
    <x v="3"/>
    <s v="Male"/>
    <n v="100"/>
    <n v="3"/>
    <x v="1"/>
    <x v="8"/>
    <x v="1"/>
    <s v="Divorced"/>
    <n v="2592"/>
    <n v="7129"/>
    <n v="5"/>
    <s v="Y"/>
    <s v="No"/>
    <n v="13"/>
    <n v="3"/>
    <n v="4"/>
    <n v="80"/>
    <n v="3"/>
    <n v="13"/>
    <n v="3"/>
    <n v="3"/>
    <x v="19"/>
    <n v="10"/>
    <n v="3"/>
    <n v="8"/>
    <s v="36-45"/>
    <s v="Low"/>
    <s v="11-15"/>
    <s v="Mid-Level"/>
    <s v="Standard"/>
    <s v="Low"/>
    <x v="0"/>
  </r>
  <r>
    <n v="34"/>
    <x v="0"/>
    <s v="Travel_Frequently"/>
    <n v="234"/>
    <x v="1"/>
    <n v="9"/>
    <n v="4"/>
    <s v="Life Sciences"/>
    <n v="1"/>
    <n v="1807"/>
    <x v="2"/>
    <s v="Male"/>
    <n v="93"/>
    <n v="3"/>
    <x v="0"/>
    <x v="2"/>
    <x v="3"/>
    <s v="Married"/>
    <n v="5346"/>
    <n v="6208"/>
    <n v="4"/>
    <s v="Y"/>
    <s v="No"/>
    <n v="17"/>
    <n v="3"/>
    <n v="3"/>
    <n v="80"/>
    <n v="1"/>
    <n v="11"/>
    <n v="3"/>
    <n v="2"/>
    <x v="5"/>
    <n v="1"/>
    <n v="0"/>
    <n v="7"/>
    <s v="26-35"/>
    <s v="Medium"/>
    <s v="6-10"/>
    <s v="Mid-Level"/>
    <s v="Standard"/>
    <s v="Low"/>
    <x v="0"/>
  </r>
  <r>
    <n v="37"/>
    <x v="0"/>
    <s v="Travel_Rarely"/>
    <n v="370"/>
    <x v="1"/>
    <n v="10"/>
    <n v="4"/>
    <s v="Medical"/>
    <n v="1"/>
    <n v="1809"/>
    <x v="2"/>
    <s v="Male"/>
    <n v="58"/>
    <n v="3"/>
    <x v="0"/>
    <x v="3"/>
    <x v="3"/>
    <s v="Single"/>
    <n v="4213"/>
    <n v="4992"/>
    <n v="1"/>
    <s v="Y"/>
    <s v="No"/>
    <n v="15"/>
    <n v="3"/>
    <n v="2"/>
    <n v="80"/>
    <n v="0"/>
    <n v="10"/>
    <n v="4"/>
    <n v="1"/>
    <x v="1"/>
    <n v="3"/>
    <n v="0"/>
    <n v="8"/>
    <s v="36-45"/>
    <s v="Medium"/>
    <s v="6-10"/>
    <s v="Mid-Level"/>
    <s v="Standard"/>
    <s v="Low"/>
    <x v="0"/>
  </r>
  <r>
    <n v="39"/>
    <x v="1"/>
    <s v="Travel_Frequently"/>
    <n v="766"/>
    <x v="0"/>
    <n v="20"/>
    <n v="3"/>
    <s v="Life Sciences"/>
    <n v="1"/>
    <n v="1812"/>
    <x v="1"/>
    <s v="Male"/>
    <n v="83"/>
    <n v="3"/>
    <x v="0"/>
    <x v="0"/>
    <x v="0"/>
    <s v="Divorced"/>
    <n v="4127"/>
    <n v="19188"/>
    <n v="2"/>
    <s v="Y"/>
    <s v="No"/>
    <n v="18"/>
    <n v="3"/>
    <n v="4"/>
    <n v="80"/>
    <n v="1"/>
    <n v="7"/>
    <n v="6"/>
    <n v="3"/>
    <x v="4"/>
    <n v="1"/>
    <n v="2"/>
    <n v="2"/>
    <s v="36-45"/>
    <s v="Medium"/>
    <s v="0-2"/>
    <s v="Mid-Level"/>
    <s v="Standard"/>
    <s v="High"/>
    <x v="0"/>
  </r>
  <r>
    <n v="43"/>
    <x v="1"/>
    <s v="Non-Travel"/>
    <n v="343"/>
    <x v="1"/>
    <n v="9"/>
    <n v="3"/>
    <s v="Life Sciences"/>
    <n v="1"/>
    <n v="1813"/>
    <x v="3"/>
    <s v="Male"/>
    <n v="52"/>
    <n v="3"/>
    <x v="1"/>
    <x v="1"/>
    <x v="2"/>
    <s v="Single"/>
    <n v="2438"/>
    <n v="24978"/>
    <n v="4"/>
    <s v="Y"/>
    <s v="No"/>
    <n v="13"/>
    <n v="3"/>
    <n v="3"/>
    <n v="80"/>
    <n v="0"/>
    <n v="7"/>
    <n v="2"/>
    <n v="2"/>
    <x v="11"/>
    <n v="2"/>
    <n v="1"/>
    <n v="2"/>
    <s v="36-45"/>
    <s v="Low"/>
    <s v="3-5"/>
    <s v="Mid-Level"/>
    <s v="Standard"/>
    <s v="High"/>
    <x v="0"/>
  </r>
  <r>
    <n v="41"/>
    <x v="1"/>
    <s v="Travel_Rarely"/>
    <n v="447"/>
    <x v="1"/>
    <n v="5"/>
    <n v="3"/>
    <s v="Life Sciences"/>
    <n v="1"/>
    <n v="1814"/>
    <x v="0"/>
    <s v="Male"/>
    <n v="85"/>
    <n v="4"/>
    <x v="0"/>
    <x v="4"/>
    <x v="1"/>
    <s v="Single"/>
    <n v="6870"/>
    <n v="15530"/>
    <n v="3"/>
    <s v="Y"/>
    <s v="No"/>
    <n v="12"/>
    <n v="3"/>
    <n v="1"/>
    <n v="80"/>
    <n v="0"/>
    <n v="11"/>
    <n v="3"/>
    <n v="1"/>
    <x v="11"/>
    <n v="2"/>
    <n v="1"/>
    <n v="2"/>
    <s v="36-45"/>
    <s v="High"/>
    <s v="3-5"/>
    <s v="Mid-Level"/>
    <s v="Standard"/>
    <s v="Low"/>
    <x v="0"/>
  </r>
  <r>
    <n v="41"/>
    <x v="1"/>
    <s v="Travel_Rarely"/>
    <n v="796"/>
    <x v="0"/>
    <n v="4"/>
    <n v="1"/>
    <s v="Marketing"/>
    <n v="1"/>
    <n v="1815"/>
    <x v="1"/>
    <s v="Female"/>
    <n v="81"/>
    <n v="3"/>
    <x v="2"/>
    <x v="0"/>
    <x v="2"/>
    <s v="Divorced"/>
    <n v="10447"/>
    <n v="26458"/>
    <n v="0"/>
    <s v="Y"/>
    <s v="Yes"/>
    <n v="13"/>
    <n v="3"/>
    <n v="4"/>
    <n v="80"/>
    <n v="1"/>
    <n v="23"/>
    <n v="3"/>
    <n v="4"/>
    <x v="14"/>
    <n v="14"/>
    <n v="13"/>
    <n v="5"/>
    <s v="36-45"/>
    <s v="Very High"/>
    <s v="16+"/>
    <s v="Senior"/>
    <s v="Standard"/>
    <s v="High"/>
    <x v="0"/>
  </r>
  <r>
    <n v="30"/>
    <x v="1"/>
    <s v="Travel_Rarely"/>
    <n v="1092"/>
    <x v="1"/>
    <n v="10"/>
    <n v="3"/>
    <s v="Medical"/>
    <n v="1"/>
    <n v="1816"/>
    <x v="3"/>
    <s v="Female"/>
    <n v="64"/>
    <n v="3"/>
    <x v="2"/>
    <x v="3"/>
    <x v="2"/>
    <s v="Single"/>
    <n v="9667"/>
    <n v="2739"/>
    <n v="9"/>
    <s v="Y"/>
    <s v="No"/>
    <n v="14"/>
    <n v="3"/>
    <n v="2"/>
    <n v="80"/>
    <n v="0"/>
    <n v="9"/>
    <n v="3"/>
    <n v="3"/>
    <x v="5"/>
    <n v="7"/>
    <n v="0"/>
    <n v="2"/>
    <s v="26-35"/>
    <s v="High"/>
    <s v="6-10"/>
    <s v="Mid-Level"/>
    <s v="Standard"/>
    <s v="High"/>
    <x v="0"/>
  </r>
  <r>
    <n v="26"/>
    <x v="0"/>
    <s v="Travel_Rarely"/>
    <n v="920"/>
    <x v="2"/>
    <n v="20"/>
    <n v="2"/>
    <s v="Medical"/>
    <n v="1"/>
    <n v="1818"/>
    <x v="2"/>
    <s v="Female"/>
    <n v="69"/>
    <n v="3"/>
    <x v="1"/>
    <x v="8"/>
    <x v="1"/>
    <s v="Married"/>
    <n v="2148"/>
    <n v="6889"/>
    <n v="0"/>
    <s v="Y"/>
    <s v="Yes"/>
    <n v="11"/>
    <n v="3"/>
    <n v="3"/>
    <n v="80"/>
    <n v="0"/>
    <n v="6"/>
    <n v="3"/>
    <n v="3"/>
    <x v="8"/>
    <n v="1"/>
    <n v="1"/>
    <n v="4"/>
    <s v="26-35"/>
    <s v="Low"/>
    <s v="3-5"/>
    <s v="Mid-Level"/>
    <s v="Standard"/>
    <s v="Low"/>
    <x v="0"/>
  </r>
  <r>
    <n v="46"/>
    <x v="0"/>
    <s v="Travel_Rarely"/>
    <n v="261"/>
    <x v="1"/>
    <n v="21"/>
    <n v="2"/>
    <s v="Medical"/>
    <n v="1"/>
    <n v="1821"/>
    <x v="2"/>
    <s v="Female"/>
    <n v="66"/>
    <n v="3"/>
    <x v="0"/>
    <x v="4"/>
    <x v="1"/>
    <s v="Married"/>
    <n v="8926"/>
    <n v="10842"/>
    <n v="4"/>
    <s v="Y"/>
    <s v="No"/>
    <n v="22"/>
    <n v="4"/>
    <n v="4"/>
    <n v="80"/>
    <n v="1"/>
    <n v="13"/>
    <n v="2"/>
    <n v="4"/>
    <x v="7"/>
    <n v="7"/>
    <n v="3"/>
    <n v="7"/>
    <s v="46-55"/>
    <s v="High"/>
    <s v="6-10"/>
    <s v="Mid-Level"/>
    <s v="Excellent"/>
    <s v="Low"/>
    <x v="0"/>
  </r>
  <r>
    <n v="40"/>
    <x v="1"/>
    <s v="Travel_Rarely"/>
    <n v="1194"/>
    <x v="1"/>
    <n v="1"/>
    <n v="3"/>
    <s v="Life Sciences"/>
    <n v="1"/>
    <n v="1822"/>
    <x v="1"/>
    <s v="Female"/>
    <n v="52"/>
    <n v="3"/>
    <x v="0"/>
    <x v="4"/>
    <x v="0"/>
    <s v="Divorced"/>
    <n v="6513"/>
    <n v="9060"/>
    <n v="4"/>
    <s v="Y"/>
    <s v="No"/>
    <n v="17"/>
    <n v="3"/>
    <n v="4"/>
    <n v="80"/>
    <n v="1"/>
    <n v="12"/>
    <n v="3"/>
    <n v="3"/>
    <x v="8"/>
    <n v="3"/>
    <n v="0"/>
    <n v="3"/>
    <s v="36-45"/>
    <s v="High"/>
    <s v="3-5"/>
    <s v="Mid-Level"/>
    <s v="Standard"/>
    <s v="High"/>
    <x v="0"/>
  </r>
  <r>
    <n v="34"/>
    <x v="1"/>
    <s v="Travel_Rarely"/>
    <n v="810"/>
    <x v="0"/>
    <n v="8"/>
    <n v="2"/>
    <s v="Technical Degree"/>
    <n v="1"/>
    <n v="1823"/>
    <x v="0"/>
    <s v="Male"/>
    <n v="92"/>
    <n v="4"/>
    <x v="0"/>
    <x v="0"/>
    <x v="2"/>
    <s v="Married"/>
    <n v="6799"/>
    <n v="22128"/>
    <n v="1"/>
    <s v="Y"/>
    <s v="No"/>
    <n v="21"/>
    <n v="4"/>
    <n v="3"/>
    <n v="80"/>
    <n v="2"/>
    <n v="10"/>
    <n v="5"/>
    <n v="3"/>
    <x v="1"/>
    <n v="8"/>
    <n v="4"/>
    <n v="8"/>
    <s v="26-35"/>
    <s v="High"/>
    <s v="6-10"/>
    <s v="Mid-Level"/>
    <s v="Excellent"/>
    <s v="High"/>
    <x v="0"/>
  </r>
  <r>
    <n v="58"/>
    <x v="1"/>
    <s v="Non-Travel"/>
    <n v="350"/>
    <x v="0"/>
    <n v="2"/>
    <n v="3"/>
    <s v="Medical"/>
    <n v="1"/>
    <n v="1824"/>
    <x v="0"/>
    <s v="Male"/>
    <n v="52"/>
    <n v="3"/>
    <x v="3"/>
    <x v="5"/>
    <x v="1"/>
    <s v="Divorced"/>
    <n v="16291"/>
    <n v="22577"/>
    <n v="4"/>
    <s v="Y"/>
    <s v="No"/>
    <n v="22"/>
    <n v="4"/>
    <n v="4"/>
    <n v="80"/>
    <n v="1"/>
    <n v="37"/>
    <n v="0"/>
    <n v="2"/>
    <x v="22"/>
    <n v="9"/>
    <n v="14"/>
    <n v="14"/>
    <s v="56+"/>
    <s v="Very High"/>
    <s v="16+"/>
    <s v="Senior"/>
    <s v="Excellent"/>
    <s v="Low"/>
    <x v="0"/>
  </r>
  <r>
    <n v="35"/>
    <x v="1"/>
    <s v="Travel_Rarely"/>
    <n v="185"/>
    <x v="1"/>
    <n v="23"/>
    <n v="4"/>
    <s v="Medical"/>
    <n v="1"/>
    <n v="1826"/>
    <x v="0"/>
    <s v="Male"/>
    <n v="91"/>
    <n v="1"/>
    <x v="1"/>
    <x v="2"/>
    <x v="2"/>
    <s v="Married"/>
    <n v="2705"/>
    <n v="9696"/>
    <n v="0"/>
    <s v="Y"/>
    <s v="No"/>
    <n v="16"/>
    <n v="3"/>
    <n v="2"/>
    <n v="80"/>
    <n v="1"/>
    <n v="6"/>
    <n v="2"/>
    <n v="4"/>
    <x v="8"/>
    <n v="4"/>
    <n v="0"/>
    <n v="3"/>
    <s v="26-35"/>
    <s v="Low"/>
    <s v="3-5"/>
    <s v="Mid-Level"/>
    <s v="Standard"/>
    <s v="High"/>
    <x v="0"/>
  </r>
  <r>
    <n v="47"/>
    <x v="1"/>
    <s v="Travel_Rarely"/>
    <n v="1001"/>
    <x v="1"/>
    <n v="4"/>
    <n v="3"/>
    <s v="Life Sciences"/>
    <n v="1"/>
    <n v="1827"/>
    <x v="1"/>
    <s v="Female"/>
    <n v="92"/>
    <n v="2"/>
    <x v="2"/>
    <x v="3"/>
    <x v="1"/>
    <s v="Divorced"/>
    <n v="10333"/>
    <n v="19271"/>
    <n v="8"/>
    <s v="Y"/>
    <s v="Yes"/>
    <n v="12"/>
    <n v="3"/>
    <n v="3"/>
    <n v="80"/>
    <n v="1"/>
    <n v="28"/>
    <n v="4"/>
    <n v="3"/>
    <x v="14"/>
    <n v="11"/>
    <n v="14"/>
    <n v="10"/>
    <s v="46-55"/>
    <s v="Very High"/>
    <s v="16+"/>
    <s v="Senior"/>
    <s v="Standard"/>
    <s v="Low"/>
    <x v="0"/>
  </r>
  <r>
    <n v="40"/>
    <x v="1"/>
    <s v="Travel_Rarely"/>
    <n v="750"/>
    <x v="1"/>
    <n v="12"/>
    <n v="3"/>
    <s v="Life Sciences"/>
    <n v="1"/>
    <n v="1829"/>
    <x v="0"/>
    <s v="Female"/>
    <n v="47"/>
    <n v="3"/>
    <x v="0"/>
    <x v="4"/>
    <x v="3"/>
    <s v="Divorced"/>
    <n v="4448"/>
    <n v="10748"/>
    <n v="2"/>
    <s v="Y"/>
    <s v="No"/>
    <n v="12"/>
    <n v="3"/>
    <n v="2"/>
    <n v="80"/>
    <n v="1"/>
    <n v="15"/>
    <n v="3"/>
    <n v="3"/>
    <x v="5"/>
    <n v="4"/>
    <n v="7"/>
    <n v="7"/>
    <s v="36-45"/>
    <s v="Medium"/>
    <s v="6-10"/>
    <s v="Mid-Level"/>
    <s v="Standard"/>
    <s v="Low"/>
    <x v="0"/>
  </r>
  <r>
    <n v="54"/>
    <x v="1"/>
    <s v="Travel_Rarely"/>
    <n v="431"/>
    <x v="1"/>
    <n v="7"/>
    <n v="4"/>
    <s v="Medical"/>
    <n v="1"/>
    <n v="1830"/>
    <x v="2"/>
    <s v="Female"/>
    <n v="68"/>
    <n v="3"/>
    <x v="0"/>
    <x v="1"/>
    <x v="0"/>
    <s v="Married"/>
    <n v="6854"/>
    <n v="15696"/>
    <n v="4"/>
    <s v="Y"/>
    <s v="No"/>
    <n v="15"/>
    <n v="3"/>
    <n v="2"/>
    <n v="80"/>
    <n v="1"/>
    <n v="14"/>
    <n v="2"/>
    <n v="2"/>
    <x v="5"/>
    <n v="1"/>
    <n v="1"/>
    <n v="7"/>
    <s v="46-55"/>
    <s v="High"/>
    <s v="6-10"/>
    <s v="Mid-Level"/>
    <s v="Standard"/>
    <s v="High"/>
    <x v="0"/>
  </r>
  <r>
    <n v="31"/>
    <x v="1"/>
    <s v="Travel_Frequently"/>
    <n v="1125"/>
    <x v="0"/>
    <n v="7"/>
    <n v="4"/>
    <s v="Marketing"/>
    <n v="1"/>
    <n v="1833"/>
    <x v="3"/>
    <s v="Female"/>
    <n v="68"/>
    <n v="3"/>
    <x v="2"/>
    <x v="0"/>
    <x v="3"/>
    <s v="Married"/>
    <n v="9637"/>
    <n v="8277"/>
    <n v="2"/>
    <s v="Y"/>
    <s v="No"/>
    <n v="14"/>
    <n v="3"/>
    <n v="4"/>
    <n v="80"/>
    <n v="2"/>
    <n v="9"/>
    <n v="3"/>
    <n v="3"/>
    <x v="11"/>
    <n v="2"/>
    <n v="2"/>
    <n v="2"/>
    <s v="26-35"/>
    <s v="High"/>
    <s v="3-5"/>
    <s v="Mid-Level"/>
    <s v="Standard"/>
    <s v="Low"/>
    <x v="0"/>
  </r>
  <r>
    <n v="28"/>
    <x v="1"/>
    <s v="Travel_Rarely"/>
    <n v="1217"/>
    <x v="1"/>
    <n v="1"/>
    <n v="3"/>
    <s v="Medical"/>
    <n v="1"/>
    <n v="1834"/>
    <x v="1"/>
    <s v="Female"/>
    <n v="67"/>
    <n v="3"/>
    <x v="1"/>
    <x v="1"/>
    <x v="3"/>
    <s v="Married"/>
    <n v="3591"/>
    <n v="12719"/>
    <n v="1"/>
    <s v="Y"/>
    <s v="No"/>
    <n v="25"/>
    <n v="4"/>
    <n v="3"/>
    <n v="80"/>
    <n v="1"/>
    <n v="3"/>
    <n v="3"/>
    <n v="3"/>
    <x v="11"/>
    <n v="2"/>
    <n v="1"/>
    <n v="2"/>
    <s v="26-35"/>
    <s v="Medium"/>
    <s v="3-5"/>
    <s v="Junior"/>
    <s v="Excellent"/>
    <s v="Low"/>
    <x v="0"/>
  </r>
  <r>
    <n v="38"/>
    <x v="1"/>
    <s v="Travel_Rarely"/>
    <n v="723"/>
    <x v="0"/>
    <n v="2"/>
    <n v="4"/>
    <s v="Marketing"/>
    <n v="1"/>
    <n v="1835"/>
    <x v="0"/>
    <s v="Female"/>
    <n v="77"/>
    <n v="1"/>
    <x v="0"/>
    <x v="6"/>
    <x v="0"/>
    <s v="Married"/>
    <n v="5405"/>
    <n v="4244"/>
    <n v="2"/>
    <s v="Y"/>
    <s v="Yes"/>
    <n v="20"/>
    <n v="4"/>
    <n v="1"/>
    <n v="80"/>
    <n v="2"/>
    <n v="20"/>
    <n v="4"/>
    <n v="2"/>
    <x v="9"/>
    <n v="2"/>
    <n v="0"/>
    <n v="3"/>
    <s v="36-45"/>
    <s v="Medium"/>
    <s v="3-5"/>
    <s v="Senior"/>
    <s v="Excellent"/>
    <s v="High"/>
    <x v="0"/>
  </r>
  <r>
    <n v="26"/>
    <x v="1"/>
    <s v="Travel_Rarely"/>
    <n v="572"/>
    <x v="0"/>
    <n v="10"/>
    <n v="3"/>
    <s v="Medical"/>
    <n v="1"/>
    <n v="1836"/>
    <x v="1"/>
    <s v="Male"/>
    <n v="46"/>
    <n v="3"/>
    <x v="0"/>
    <x v="0"/>
    <x v="0"/>
    <s v="Single"/>
    <n v="4684"/>
    <n v="9125"/>
    <n v="1"/>
    <s v="Y"/>
    <s v="No"/>
    <n v="13"/>
    <n v="3"/>
    <n v="1"/>
    <n v="80"/>
    <n v="0"/>
    <n v="5"/>
    <n v="4"/>
    <n v="3"/>
    <x v="8"/>
    <n v="3"/>
    <n v="1"/>
    <n v="2"/>
    <s v="26-35"/>
    <s v="Medium"/>
    <s v="3-5"/>
    <s v="Junior"/>
    <s v="Standard"/>
    <s v="High"/>
    <x v="0"/>
  </r>
  <r>
    <n v="58"/>
    <x v="1"/>
    <s v="Travel_Frequently"/>
    <n v="1216"/>
    <x v="1"/>
    <n v="15"/>
    <n v="4"/>
    <s v="Life Sciences"/>
    <n v="1"/>
    <n v="1837"/>
    <x v="3"/>
    <s v="Male"/>
    <n v="87"/>
    <n v="3"/>
    <x v="3"/>
    <x v="7"/>
    <x v="2"/>
    <s v="Married"/>
    <n v="15787"/>
    <n v="21624"/>
    <n v="2"/>
    <s v="Y"/>
    <s v="Yes"/>
    <n v="14"/>
    <n v="3"/>
    <n v="2"/>
    <n v="80"/>
    <n v="0"/>
    <n v="23"/>
    <n v="3"/>
    <n v="3"/>
    <x v="4"/>
    <n v="2"/>
    <n v="2"/>
    <n v="2"/>
    <s v="56+"/>
    <s v="Very High"/>
    <s v="0-2"/>
    <s v="Senior"/>
    <s v="Standard"/>
    <s v="High"/>
    <x v="0"/>
  </r>
  <r>
    <n v="18"/>
    <x v="1"/>
    <s v="Non-Travel"/>
    <n v="1431"/>
    <x v="1"/>
    <n v="14"/>
    <n v="3"/>
    <s v="Medical"/>
    <n v="1"/>
    <n v="1839"/>
    <x v="0"/>
    <s v="Female"/>
    <n v="33"/>
    <n v="3"/>
    <x v="1"/>
    <x v="1"/>
    <x v="2"/>
    <s v="Single"/>
    <n v="1514"/>
    <n v="8018"/>
    <n v="1"/>
    <s v="Y"/>
    <s v="No"/>
    <n v="16"/>
    <n v="3"/>
    <n v="3"/>
    <n v="80"/>
    <n v="0"/>
    <n v="0"/>
    <n v="4"/>
    <n v="1"/>
    <x v="2"/>
    <n v="0"/>
    <n v="0"/>
    <n v="0"/>
    <s v="18-25"/>
    <s v="Low"/>
    <s v="0-2"/>
    <s v="Junior"/>
    <s v="Standard"/>
    <s v="High"/>
    <x v="0"/>
  </r>
  <r>
    <n v="31"/>
    <x v="0"/>
    <s v="Travel_Rarely"/>
    <n v="359"/>
    <x v="2"/>
    <n v="18"/>
    <n v="5"/>
    <s v="Human Resources"/>
    <n v="1"/>
    <n v="1842"/>
    <x v="2"/>
    <s v="Male"/>
    <n v="89"/>
    <n v="4"/>
    <x v="1"/>
    <x v="8"/>
    <x v="3"/>
    <s v="Married"/>
    <n v="2956"/>
    <n v="21495"/>
    <n v="0"/>
    <s v="Y"/>
    <s v="No"/>
    <n v="17"/>
    <n v="3"/>
    <n v="3"/>
    <n v="80"/>
    <n v="0"/>
    <n v="2"/>
    <n v="4"/>
    <n v="3"/>
    <x v="6"/>
    <n v="0"/>
    <n v="0"/>
    <n v="0"/>
    <s v="26-35"/>
    <s v="Low"/>
    <s v="0-2"/>
    <s v="Junior"/>
    <s v="Standard"/>
    <s v="Low"/>
    <x v="0"/>
  </r>
  <r>
    <n v="29"/>
    <x v="0"/>
    <s v="Travel_Rarely"/>
    <n v="350"/>
    <x v="2"/>
    <n v="13"/>
    <n v="3"/>
    <s v="Human Resources"/>
    <n v="1"/>
    <n v="1844"/>
    <x v="3"/>
    <s v="Male"/>
    <n v="56"/>
    <n v="2"/>
    <x v="1"/>
    <x v="8"/>
    <x v="3"/>
    <s v="Divorced"/>
    <n v="2335"/>
    <n v="3157"/>
    <n v="4"/>
    <s v="Y"/>
    <s v="Yes"/>
    <n v="15"/>
    <n v="3"/>
    <n v="4"/>
    <n v="80"/>
    <n v="3"/>
    <n v="4"/>
    <n v="3"/>
    <n v="3"/>
    <x v="4"/>
    <n v="2"/>
    <n v="2"/>
    <n v="0"/>
    <s v="26-35"/>
    <s v="Low"/>
    <s v="0-2"/>
    <s v="Junior"/>
    <s v="Standard"/>
    <s v="Low"/>
    <x v="1"/>
  </r>
  <r>
    <n v="45"/>
    <x v="1"/>
    <s v="Non-Travel"/>
    <n v="589"/>
    <x v="0"/>
    <n v="2"/>
    <n v="4"/>
    <s v="Life Sciences"/>
    <n v="1"/>
    <n v="1845"/>
    <x v="1"/>
    <s v="Female"/>
    <n v="67"/>
    <n v="3"/>
    <x v="0"/>
    <x v="0"/>
    <x v="2"/>
    <s v="Married"/>
    <n v="5154"/>
    <n v="19665"/>
    <n v="4"/>
    <s v="Y"/>
    <s v="No"/>
    <n v="22"/>
    <n v="4"/>
    <n v="2"/>
    <n v="80"/>
    <n v="2"/>
    <n v="10"/>
    <n v="3"/>
    <n v="4"/>
    <x v="3"/>
    <n v="7"/>
    <n v="5"/>
    <n v="7"/>
    <s v="36-45"/>
    <s v="Medium"/>
    <s v="6-10"/>
    <s v="Mid-Level"/>
    <s v="Excellent"/>
    <s v="High"/>
    <x v="0"/>
  </r>
  <r>
    <n v="36"/>
    <x v="1"/>
    <s v="Travel_Rarely"/>
    <n v="430"/>
    <x v="1"/>
    <n v="2"/>
    <n v="4"/>
    <s v="Other"/>
    <n v="1"/>
    <n v="1847"/>
    <x v="2"/>
    <s v="Female"/>
    <n v="73"/>
    <n v="3"/>
    <x v="0"/>
    <x v="1"/>
    <x v="1"/>
    <s v="Married"/>
    <n v="6962"/>
    <n v="19573"/>
    <n v="4"/>
    <s v="Y"/>
    <s v="Yes"/>
    <n v="22"/>
    <n v="4"/>
    <n v="4"/>
    <n v="80"/>
    <n v="1"/>
    <n v="15"/>
    <n v="2"/>
    <n v="3"/>
    <x v="6"/>
    <n v="0"/>
    <n v="0"/>
    <n v="0"/>
    <s v="36-45"/>
    <s v="High"/>
    <s v="0-2"/>
    <s v="Mid-Level"/>
    <s v="Excellent"/>
    <s v="Low"/>
    <x v="1"/>
  </r>
  <r>
    <n v="43"/>
    <x v="1"/>
    <s v="Travel_Frequently"/>
    <n v="1422"/>
    <x v="0"/>
    <n v="2"/>
    <n v="4"/>
    <s v="Life Sciences"/>
    <n v="1"/>
    <n v="1849"/>
    <x v="3"/>
    <s v="Male"/>
    <n v="92"/>
    <n v="3"/>
    <x v="0"/>
    <x v="0"/>
    <x v="0"/>
    <s v="Married"/>
    <n v="5675"/>
    <n v="19246"/>
    <n v="1"/>
    <s v="Y"/>
    <s v="No"/>
    <n v="20"/>
    <n v="4"/>
    <n v="3"/>
    <n v="80"/>
    <n v="1"/>
    <n v="7"/>
    <n v="5"/>
    <n v="3"/>
    <x v="5"/>
    <n v="7"/>
    <n v="7"/>
    <n v="7"/>
    <s v="36-45"/>
    <s v="Medium"/>
    <s v="6-10"/>
    <s v="Mid-Level"/>
    <s v="Excellent"/>
    <s v="High"/>
    <x v="0"/>
  </r>
  <r>
    <n v="27"/>
    <x v="1"/>
    <s v="Travel_Frequently"/>
    <n v="1297"/>
    <x v="1"/>
    <n v="5"/>
    <n v="2"/>
    <s v="Life Sciences"/>
    <n v="1"/>
    <n v="1850"/>
    <x v="2"/>
    <s v="Female"/>
    <n v="53"/>
    <n v="3"/>
    <x v="1"/>
    <x v="2"/>
    <x v="0"/>
    <s v="Single"/>
    <n v="2379"/>
    <n v="19826"/>
    <n v="0"/>
    <s v="Y"/>
    <s v="Yes"/>
    <n v="14"/>
    <n v="3"/>
    <n v="3"/>
    <n v="80"/>
    <n v="0"/>
    <n v="6"/>
    <n v="3"/>
    <n v="2"/>
    <x v="8"/>
    <n v="4"/>
    <n v="0"/>
    <n v="2"/>
    <s v="26-35"/>
    <s v="Low"/>
    <s v="3-5"/>
    <s v="Mid-Level"/>
    <s v="Standard"/>
    <s v="High"/>
    <x v="0"/>
  </r>
  <r>
    <n v="29"/>
    <x v="1"/>
    <s v="Travel_Frequently"/>
    <n v="574"/>
    <x v="1"/>
    <n v="20"/>
    <n v="1"/>
    <s v="Medical"/>
    <n v="1"/>
    <n v="1852"/>
    <x v="2"/>
    <s v="Male"/>
    <n v="40"/>
    <n v="3"/>
    <x v="1"/>
    <x v="2"/>
    <x v="0"/>
    <s v="Married"/>
    <n v="3812"/>
    <n v="7003"/>
    <n v="1"/>
    <s v="Y"/>
    <s v="No"/>
    <n v="13"/>
    <n v="3"/>
    <n v="2"/>
    <n v="80"/>
    <n v="0"/>
    <n v="11"/>
    <n v="3"/>
    <n v="4"/>
    <x v="19"/>
    <n v="8"/>
    <n v="3"/>
    <n v="10"/>
    <s v="26-35"/>
    <s v="Medium"/>
    <s v="11-15"/>
    <s v="Mid-Level"/>
    <s v="Standard"/>
    <s v="High"/>
    <x v="0"/>
  </r>
  <r>
    <n v="32"/>
    <x v="1"/>
    <s v="Travel_Frequently"/>
    <n v="1318"/>
    <x v="0"/>
    <n v="10"/>
    <n v="4"/>
    <s v="Marketing"/>
    <n v="1"/>
    <n v="1853"/>
    <x v="2"/>
    <s v="Male"/>
    <n v="79"/>
    <n v="3"/>
    <x v="0"/>
    <x v="0"/>
    <x v="0"/>
    <s v="Single"/>
    <n v="4648"/>
    <n v="26075"/>
    <n v="8"/>
    <s v="Y"/>
    <s v="No"/>
    <n v="13"/>
    <n v="3"/>
    <n v="3"/>
    <n v="80"/>
    <n v="0"/>
    <n v="4"/>
    <n v="2"/>
    <n v="4"/>
    <x v="2"/>
    <n v="0"/>
    <n v="0"/>
    <n v="0"/>
    <s v="26-35"/>
    <s v="Medium"/>
    <s v="0-2"/>
    <s v="Junior"/>
    <s v="Standard"/>
    <s v="High"/>
    <x v="0"/>
  </r>
  <r>
    <n v="42"/>
    <x v="1"/>
    <s v="Non-Travel"/>
    <n v="355"/>
    <x v="1"/>
    <n v="10"/>
    <n v="4"/>
    <s v="Technical Degree"/>
    <n v="1"/>
    <n v="1854"/>
    <x v="1"/>
    <s v="Male"/>
    <n v="38"/>
    <n v="3"/>
    <x v="1"/>
    <x v="1"/>
    <x v="2"/>
    <s v="Married"/>
    <n v="2936"/>
    <n v="6161"/>
    <n v="3"/>
    <s v="Y"/>
    <s v="No"/>
    <n v="22"/>
    <n v="4"/>
    <n v="2"/>
    <n v="80"/>
    <n v="2"/>
    <n v="10"/>
    <n v="1"/>
    <n v="2"/>
    <x v="0"/>
    <n v="3"/>
    <n v="3"/>
    <n v="3"/>
    <s v="36-45"/>
    <s v="Low"/>
    <s v="6-10"/>
    <s v="Mid-Level"/>
    <s v="Excellent"/>
    <s v="High"/>
    <x v="0"/>
  </r>
  <r>
    <n v="47"/>
    <x v="1"/>
    <s v="Travel_Rarely"/>
    <n v="207"/>
    <x v="1"/>
    <n v="9"/>
    <n v="4"/>
    <s v="Life Sciences"/>
    <n v="1"/>
    <n v="1856"/>
    <x v="0"/>
    <s v="Female"/>
    <n v="64"/>
    <n v="3"/>
    <x v="1"/>
    <x v="2"/>
    <x v="2"/>
    <s v="Single"/>
    <n v="2105"/>
    <n v="5411"/>
    <n v="4"/>
    <s v="Y"/>
    <s v="No"/>
    <n v="12"/>
    <n v="3"/>
    <n v="3"/>
    <n v="80"/>
    <n v="0"/>
    <n v="7"/>
    <n v="2"/>
    <n v="3"/>
    <x v="4"/>
    <n v="2"/>
    <n v="2"/>
    <n v="0"/>
    <s v="46-55"/>
    <s v="Low"/>
    <s v="0-2"/>
    <s v="Mid-Level"/>
    <s v="Standard"/>
    <s v="High"/>
    <x v="0"/>
  </r>
  <r>
    <n v="46"/>
    <x v="1"/>
    <s v="Travel_Rarely"/>
    <n v="706"/>
    <x v="1"/>
    <n v="2"/>
    <n v="2"/>
    <s v="Life Sciences"/>
    <n v="1"/>
    <n v="1857"/>
    <x v="2"/>
    <s v="Male"/>
    <n v="82"/>
    <n v="3"/>
    <x v="2"/>
    <x v="3"/>
    <x v="0"/>
    <s v="Divorced"/>
    <n v="8578"/>
    <n v="19989"/>
    <n v="3"/>
    <s v="Y"/>
    <s v="No"/>
    <n v="14"/>
    <n v="3"/>
    <n v="3"/>
    <n v="80"/>
    <n v="1"/>
    <n v="12"/>
    <n v="4"/>
    <n v="2"/>
    <x v="7"/>
    <n v="8"/>
    <n v="4"/>
    <n v="7"/>
    <s v="46-55"/>
    <s v="High"/>
    <s v="6-10"/>
    <s v="Mid-Level"/>
    <s v="Standard"/>
    <s v="High"/>
    <x v="0"/>
  </r>
  <r>
    <n v="28"/>
    <x v="1"/>
    <s v="Non-Travel"/>
    <n v="280"/>
    <x v="2"/>
    <n v="1"/>
    <n v="2"/>
    <s v="Life Sciences"/>
    <n v="1"/>
    <n v="1858"/>
    <x v="1"/>
    <s v="Male"/>
    <n v="43"/>
    <n v="3"/>
    <x v="1"/>
    <x v="8"/>
    <x v="0"/>
    <s v="Divorced"/>
    <n v="2706"/>
    <n v="10494"/>
    <n v="1"/>
    <s v="Y"/>
    <s v="No"/>
    <n v="15"/>
    <n v="3"/>
    <n v="2"/>
    <n v="80"/>
    <n v="1"/>
    <n v="3"/>
    <n v="2"/>
    <n v="3"/>
    <x v="11"/>
    <n v="2"/>
    <n v="2"/>
    <n v="2"/>
    <s v="26-35"/>
    <s v="Low"/>
    <s v="3-5"/>
    <s v="Junior"/>
    <s v="Standard"/>
    <s v="High"/>
    <x v="0"/>
  </r>
  <r>
    <n v="29"/>
    <x v="1"/>
    <s v="Travel_Rarely"/>
    <n v="726"/>
    <x v="1"/>
    <n v="29"/>
    <n v="1"/>
    <s v="Life Sciences"/>
    <n v="1"/>
    <n v="1859"/>
    <x v="2"/>
    <s v="Male"/>
    <n v="93"/>
    <n v="1"/>
    <x v="0"/>
    <x v="4"/>
    <x v="2"/>
    <s v="Divorced"/>
    <n v="6384"/>
    <n v="21143"/>
    <n v="8"/>
    <s v="Y"/>
    <s v="No"/>
    <n v="17"/>
    <n v="3"/>
    <n v="4"/>
    <n v="80"/>
    <n v="2"/>
    <n v="11"/>
    <n v="3"/>
    <n v="3"/>
    <x v="5"/>
    <n v="0"/>
    <n v="1"/>
    <n v="6"/>
    <s v="26-35"/>
    <s v="High"/>
    <s v="6-10"/>
    <s v="Mid-Level"/>
    <s v="Standard"/>
    <s v="High"/>
    <x v="0"/>
  </r>
  <r>
    <n v="42"/>
    <x v="1"/>
    <s v="Travel_Rarely"/>
    <n v="1142"/>
    <x v="1"/>
    <n v="8"/>
    <n v="3"/>
    <s v="Life Sciences"/>
    <n v="1"/>
    <n v="1860"/>
    <x v="2"/>
    <s v="Male"/>
    <n v="81"/>
    <n v="3"/>
    <x v="1"/>
    <x v="2"/>
    <x v="2"/>
    <s v="Single"/>
    <n v="3968"/>
    <n v="13624"/>
    <n v="4"/>
    <s v="Y"/>
    <s v="No"/>
    <n v="13"/>
    <n v="3"/>
    <n v="4"/>
    <n v="80"/>
    <n v="0"/>
    <n v="8"/>
    <n v="3"/>
    <n v="3"/>
    <x v="2"/>
    <n v="0"/>
    <n v="0"/>
    <n v="0"/>
    <s v="36-45"/>
    <s v="Medium"/>
    <s v="0-2"/>
    <s v="Mid-Level"/>
    <s v="Standard"/>
    <s v="High"/>
    <x v="0"/>
  </r>
  <r>
    <n v="32"/>
    <x v="0"/>
    <s v="Travel_Rarely"/>
    <n v="414"/>
    <x v="0"/>
    <n v="2"/>
    <n v="4"/>
    <s v="Marketing"/>
    <n v="1"/>
    <n v="1862"/>
    <x v="1"/>
    <s v="Male"/>
    <n v="82"/>
    <n v="2"/>
    <x v="0"/>
    <x v="0"/>
    <x v="1"/>
    <s v="Single"/>
    <n v="9907"/>
    <n v="26186"/>
    <n v="7"/>
    <s v="Y"/>
    <s v="Yes"/>
    <n v="12"/>
    <n v="3"/>
    <n v="3"/>
    <n v="80"/>
    <n v="0"/>
    <n v="7"/>
    <n v="3"/>
    <n v="2"/>
    <x v="4"/>
    <n v="2"/>
    <n v="2"/>
    <n v="2"/>
    <s v="26-35"/>
    <s v="High"/>
    <s v="0-2"/>
    <s v="Mid-Level"/>
    <s v="Standard"/>
    <s v="Low"/>
    <x v="1"/>
  </r>
  <r>
    <n v="46"/>
    <x v="1"/>
    <s v="Travel_Rarely"/>
    <n v="1319"/>
    <x v="0"/>
    <n v="3"/>
    <n v="3"/>
    <s v="Technical Degree"/>
    <n v="1"/>
    <n v="1863"/>
    <x v="3"/>
    <s v="Female"/>
    <n v="45"/>
    <n v="4"/>
    <x v="3"/>
    <x v="0"/>
    <x v="3"/>
    <s v="Divorced"/>
    <n v="13225"/>
    <n v="7739"/>
    <n v="2"/>
    <s v="Y"/>
    <s v="No"/>
    <n v="12"/>
    <n v="3"/>
    <n v="4"/>
    <n v="80"/>
    <n v="1"/>
    <n v="25"/>
    <n v="5"/>
    <n v="3"/>
    <x v="27"/>
    <n v="17"/>
    <n v="2"/>
    <n v="8"/>
    <s v="46-55"/>
    <s v="Very High"/>
    <s v="16+"/>
    <s v="Senior"/>
    <s v="Standard"/>
    <s v="Low"/>
    <x v="0"/>
  </r>
  <r>
    <n v="27"/>
    <x v="1"/>
    <s v="Travel_Rarely"/>
    <n v="728"/>
    <x v="0"/>
    <n v="23"/>
    <n v="1"/>
    <s v="Medical"/>
    <n v="1"/>
    <n v="1864"/>
    <x v="0"/>
    <s v="Female"/>
    <n v="36"/>
    <n v="2"/>
    <x v="0"/>
    <x v="6"/>
    <x v="2"/>
    <s v="Married"/>
    <n v="3540"/>
    <n v="7018"/>
    <n v="1"/>
    <s v="Y"/>
    <s v="No"/>
    <n v="21"/>
    <n v="4"/>
    <n v="4"/>
    <n v="80"/>
    <n v="1"/>
    <n v="9"/>
    <n v="5"/>
    <n v="3"/>
    <x v="7"/>
    <n v="8"/>
    <n v="5"/>
    <n v="8"/>
    <s v="26-35"/>
    <s v="Medium"/>
    <s v="6-10"/>
    <s v="Mid-Level"/>
    <s v="Excellent"/>
    <s v="High"/>
    <x v="0"/>
  </r>
  <r>
    <n v="29"/>
    <x v="1"/>
    <s v="Travel_Rarely"/>
    <n v="352"/>
    <x v="2"/>
    <n v="6"/>
    <n v="1"/>
    <s v="Medical"/>
    <n v="1"/>
    <n v="1865"/>
    <x v="2"/>
    <s v="Male"/>
    <n v="87"/>
    <n v="2"/>
    <x v="1"/>
    <x v="8"/>
    <x v="1"/>
    <s v="Married"/>
    <n v="2804"/>
    <n v="15434"/>
    <n v="1"/>
    <s v="Y"/>
    <s v="No"/>
    <n v="11"/>
    <n v="3"/>
    <n v="4"/>
    <n v="80"/>
    <n v="0"/>
    <n v="1"/>
    <n v="3"/>
    <n v="3"/>
    <x v="6"/>
    <n v="0"/>
    <n v="0"/>
    <n v="0"/>
    <s v="26-35"/>
    <s v="Low"/>
    <s v="0-2"/>
    <s v="Junior"/>
    <s v="Standard"/>
    <s v="Low"/>
    <x v="0"/>
  </r>
  <r>
    <n v="43"/>
    <x v="1"/>
    <s v="Travel_Rarely"/>
    <n v="823"/>
    <x v="1"/>
    <n v="6"/>
    <n v="3"/>
    <s v="Medical"/>
    <n v="1"/>
    <n v="1866"/>
    <x v="3"/>
    <s v="Female"/>
    <n v="81"/>
    <n v="2"/>
    <x v="4"/>
    <x v="5"/>
    <x v="2"/>
    <s v="Married"/>
    <n v="19392"/>
    <n v="22539"/>
    <n v="7"/>
    <s v="Y"/>
    <s v="No"/>
    <n v="13"/>
    <n v="3"/>
    <n v="4"/>
    <n v="80"/>
    <n v="0"/>
    <n v="21"/>
    <n v="2"/>
    <n v="3"/>
    <x v="22"/>
    <n v="12"/>
    <n v="6"/>
    <n v="14"/>
    <s v="36-45"/>
    <s v="Very High"/>
    <s v="16+"/>
    <s v="Senior"/>
    <s v="Standard"/>
    <s v="High"/>
    <x v="0"/>
  </r>
  <r>
    <n v="48"/>
    <x v="1"/>
    <s v="Travel_Rarely"/>
    <n v="1224"/>
    <x v="1"/>
    <n v="10"/>
    <n v="3"/>
    <s v="Life Sciences"/>
    <n v="1"/>
    <n v="1867"/>
    <x v="2"/>
    <s v="Male"/>
    <n v="91"/>
    <n v="2"/>
    <x v="4"/>
    <x v="7"/>
    <x v="1"/>
    <s v="Married"/>
    <n v="19665"/>
    <n v="13583"/>
    <n v="4"/>
    <s v="Y"/>
    <s v="No"/>
    <n v="12"/>
    <n v="3"/>
    <n v="4"/>
    <n v="80"/>
    <n v="0"/>
    <n v="29"/>
    <n v="3"/>
    <n v="3"/>
    <x v="14"/>
    <n v="10"/>
    <n v="12"/>
    <n v="9"/>
    <s v="46-55"/>
    <s v="Very High"/>
    <s v="16+"/>
    <s v="Senior"/>
    <s v="Standard"/>
    <s v="Low"/>
    <x v="0"/>
  </r>
  <r>
    <n v="29"/>
    <x v="0"/>
    <s v="Travel_Frequently"/>
    <n v="459"/>
    <x v="1"/>
    <n v="24"/>
    <n v="2"/>
    <s v="Life Sciences"/>
    <n v="1"/>
    <n v="1868"/>
    <x v="2"/>
    <s v="Male"/>
    <n v="73"/>
    <n v="2"/>
    <x v="1"/>
    <x v="1"/>
    <x v="0"/>
    <s v="Single"/>
    <n v="2439"/>
    <n v="14753"/>
    <n v="1"/>
    <s v="Y"/>
    <s v="Yes"/>
    <n v="24"/>
    <n v="4"/>
    <n v="2"/>
    <n v="80"/>
    <n v="0"/>
    <n v="1"/>
    <n v="3"/>
    <n v="2"/>
    <x v="6"/>
    <n v="0"/>
    <n v="1"/>
    <n v="0"/>
    <s v="26-35"/>
    <s v="Low"/>
    <s v="0-2"/>
    <s v="Junior"/>
    <s v="Excellent"/>
    <s v="High"/>
    <x v="0"/>
  </r>
  <r>
    <n v="46"/>
    <x v="0"/>
    <s v="Travel_Rarely"/>
    <n v="1254"/>
    <x v="0"/>
    <n v="10"/>
    <n v="3"/>
    <s v="Life Sciences"/>
    <n v="1"/>
    <n v="1869"/>
    <x v="1"/>
    <s v="Female"/>
    <n v="64"/>
    <n v="3"/>
    <x v="2"/>
    <x v="0"/>
    <x v="1"/>
    <s v="Married"/>
    <n v="7314"/>
    <n v="14011"/>
    <n v="5"/>
    <s v="Y"/>
    <s v="No"/>
    <n v="21"/>
    <n v="4"/>
    <n v="3"/>
    <n v="80"/>
    <n v="3"/>
    <n v="14"/>
    <n v="2"/>
    <n v="3"/>
    <x v="3"/>
    <n v="7"/>
    <n v="0"/>
    <n v="7"/>
    <s v="46-55"/>
    <s v="High"/>
    <s v="6-10"/>
    <s v="Mid-Level"/>
    <s v="Excellent"/>
    <s v="Low"/>
    <x v="0"/>
  </r>
  <r>
    <n v="27"/>
    <x v="1"/>
    <s v="Travel_Frequently"/>
    <n v="1131"/>
    <x v="1"/>
    <n v="15"/>
    <n v="3"/>
    <s v="Life Sciences"/>
    <n v="1"/>
    <n v="1870"/>
    <x v="2"/>
    <s v="Female"/>
    <n v="77"/>
    <n v="2"/>
    <x v="1"/>
    <x v="1"/>
    <x v="3"/>
    <s v="Married"/>
    <n v="4774"/>
    <n v="23844"/>
    <n v="0"/>
    <s v="Y"/>
    <s v="No"/>
    <n v="19"/>
    <n v="3"/>
    <n v="4"/>
    <n v="80"/>
    <n v="1"/>
    <n v="8"/>
    <n v="2"/>
    <n v="2"/>
    <x v="5"/>
    <n v="6"/>
    <n v="7"/>
    <n v="3"/>
    <s v="26-35"/>
    <s v="Medium"/>
    <s v="6-10"/>
    <s v="Mid-Level"/>
    <s v="Standard"/>
    <s v="Low"/>
    <x v="0"/>
  </r>
  <r>
    <n v="39"/>
    <x v="1"/>
    <s v="Travel_Rarely"/>
    <n v="835"/>
    <x v="1"/>
    <n v="19"/>
    <n v="4"/>
    <s v="Other"/>
    <n v="1"/>
    <n v="1871"/>
    <x v="2"/>
    <s v="Male"/>
    <n v="41"/>
    <n v="3"/>
    <x v="0"/>
    <x v="1"/>
    <x v="0"/>
    <s v="Divorced"/>
    <n v="3902"/>
    <n v="5141"/>
    <n v="8"/>
    <s v="Y"/>
    <s v="No"/>
    <n v="14"/>
    <n v="3"/>
    <n v="2"/>
    <n v="80"/>
    <n v="3"/>
    <n v="7"/>
    <n v="2"/>
    <n v="3"/>
    <x v="4"/>
    <n v="2"/>
    <n v="2"/>
    <n v="2"/>
    <s v="36-45"/>
    <s v="Medium"/>
    <s v="0-2"/>
    <s v="Mid-Level"/>
    <s v="Standard"/>
    <s v="High"/>
    <x v="0"/>
  </r>
  <r>
    <n v="55"/>
    <x v="1"/>
    <s v="Travel_Rarely"/>
    <n v="836"/>
    <x v="1"/>
    <n v="2"/>
    <n v="4"/>
    <s v="Technical Degree"/>
    <n v="1"/>
    <n v="1873"/>
    <x v="0"/>
    <s v="Male"/>
    <n v="98"/>
    <n v="2"/>
    <x v="1"/>
    <x v="1"/>
    <x v="0"/>
    <s v="Married"/>
    <n v="2662"/>
    <n v="7975"/>
    <n v="8"/>
    <s v="Y"/>
    <s v="No"/>
    <n v="20"/>
    <n v="4"/>
    <n v="2"/>
    <n v="80"/>
    <n v="1"/>
    <n v="19"/>
    <n v="2"/>
    <n v="4"/>
    <x v="8"/>
    <n v="2"/>
    <n v="0"/>
    <n v="4"/>
    <s v="46-55"/>
    <s v="Low"/>
    <s v="3-5"/>
    <s v="Senior"/>
    <s v="Excellent"/>
    <s v="High"/>
    <x v="0"/>
  </r>
  <r>
    <n v="28"/>
    <x v="1"/>
    <s v="Travel_Rarely"/>
    <n v="1172"/>
    <x v="0"/>
    <n v="3"/>
    <n v="3"/>
    <s v="Medical"/>
    <n v="1"/>
    <n v="1875"/>
    <x v="0"/>
    <s v="Female"/>
    <n v="78"/>
    <n v="3"/>
    <x v="1"/>
    <x v="6"/>
    <x v="1"/>
    <s v="Married"/>
    <n v="2856"/>
    <n v="3692"/>
    <n v="1"/>
    <s v="Y"/>
    <s v="No"/>
    <n v="19"/>
    <n v="3"/>
    <n v="4"/>
    <n v="80"/>
    <n v="1"/>
    <n v="1"/>
    <n v="3"/>
    <n v="3"/>
    <x v="6"/>
    <n v="0"/>
    <n v="0"/>
    <n v="0"/>
    <s v="26-35"/>
    <s v="Low"/>
    <s v="0-2"/>
    <s v="Junior"/>
    <s v="Standard"/>
    <s v="Low"/>
    <x v="0"/>
  </r>
  <r>
    <n v="30"/>
    <x v="0"/>
    <s v="Travel_Rarely"/>
    <n v="945"/>
    <x v="0"/>
    <n v="9"/>
    <n v="3"/>
    <s v="Medical"/>
    <n v="1"/>
    <n v="1876"/>
    <x v="0"/>
    <s v="Male"/>
    <n v="89"/>
    <n v="3"/>
    <x v="1"/>
    <x v="6"/>
    <x v="0"/>
    <s v="Single"/>
    <n v="1081"/>
    <n v="16019"/>
    <n v="1"/>
    <s v="Y"/>
    <s v="No"/>
    <n v="13"/>
    <n v="3"/>
    <n v="3"/>
    <n v="80"/>
    <n v="0"/>
    <n v="1"/>
    <n v="3"/>
    <n v="2"/>
    <x v="6"/>
    <n v="0"/>
    <n v="0"/>
    <n v="0"/>
    <s v="26-35"/>
    <s v="Low"/>
    <s v="0-2"/>
    <s v="Junior"/>
    <s v="Standard"/>
    <s v="High"/>
    <x v="0"/>
  </r>
  <r>
    <n v="22"/>
    <x v="0"/>
    <s v="Travel_Rarely"/>
    <n v="391"/>
    <x v="1"/>
    <n v="7"/>
    <n v="1"/>
    <s v="Life Sciences"/>
    <n v="1"/>
    <n v="1878"/>
    <x v="2"/>
    <s v="Male"/>
    <n v="75"/>
    <n v="3"/>
    <x v="1"/>
    <x v="1"/>
    <x v="1"/>
    <s v="Single"/>
    <n v="2472"/>
    <n v="26092"/>
    <n v="1"/>
    <s v="Y"/>
    <s v="Yes"/>
    <n v="23"/>
    <n v="4"/>
    <n v="1"/>
    <n v="80"/>
    <n v="0"/>
    <n v="1"/>
    <n v="2"/>
    <n v="3"/>
    <x v="6"/>
    <n v="0"/>
    <n v="0"/>
    <n v="0"/>
    <s v="18-25"/>
    <s v="Low"/>
    <s v="0-2"/>
    <s v="Junior"/>
    <s v="Excellent"/>
    <s v="Low"/>
    <x v="1"/>
  </r>
  <r>
    <n v="36"/>
    <x v="1"/>
    <s v="Travel_Rarely"/>
    <n v="1266"/>
    <x v="0"/>
    <n v="10"/>
    <n v="4"/>
    <s v="Technical Degree"/>
    <n v="1"/>
    <n v="1880"/>
    <x v="0"/>
    <s v="Female"/>
    <n v="63"/>
    <n v="2"/>
    <x v="0"/>
    <x v="0"/>
    <x v="2"/>
    <s v="Married"/>
    <n v="5673"/>
    <n v="6060"/>
    <n v="1"/>
    <s v="Y"/>
    <s v="Yes"/>
    <n v="13"/>
    <n v="3"/>
    <n v="1"/>
    <n v="80"/>
    <n v="1"/>
    <n v="10"/>
    <n v="4"/>
    <n v="3"/>
    <x v="1"/>
    <n v="9"/>
    <n v="1"/>
    <n v="7"/>
    <s v="36-45"/>
    <s v="Medium"/>
    <s v="6-10"/>
    <s v="Mid-Level"/>
    <s v="Standard"/>
    <s v="High"/>
    <x v="0"/>
  </r>
  <r>
    <n v="31"/>
    <x v="1"/>
    <s v="Travel_Rarely"/>
    <n v="311"/>
    <x v="1"/>
    <n v="20"/>
    <n v="3"/>
    <s v="Life Sciences"/>
    <n v="1"/>
    <n v="1881"/>
    <x v="0"/>
    <s v="Male"/>
    <n v="89"/>
    <n v="3"/>
    <x v="0"/>
    <x v="2"/>
    <x v="2"/>
    <s v="Divorced"/>
    <n v="4197"/>
    <n v="18624"/>
    <n v="1"/>
    <s v="Y"/>
    <s v="No"/>
    <n v="11"/>
    <n v="3"/>
    <n v="1"/>
    <n v="80"/>
    <n v="1"/>
    <n v="10"/>
    <n v="2"/>
    <n v="3"/>
    <x v="1"/>
    <n v="8"/>
    <n v="0"/>
    <n v="2"/>
    <s v="26-35"/>
    <s v="Medium"/>
    <s v="6-10"/>
    <s v="Mid-Level"/>
    <s v="Standard"/>
    <s v="High"/>
    <x v="0"/>
  </r>
  <r>
    <n v="34"/>
    <x v="1"/>
    <s v="Travel_Rarely"/>
    <n v="1480"/>
    <x v="0"/>
    <n v="4"/>
    <n v="3"/>
    <s v="Life Sciences"/>
    <n v="1"/>
    <n v="1882"/>
    <x v="1"/>
    <s v="Male"/>
    <n v="64"/>
    <n v="3"/>
    <x v="2"/>
    <x v="0"/>
    <x v="0"/>
    <s v="Married"/>
    <n v="9713"/>
    <n v="24444"/>
    <n v="2"/>
    <s v="Y"/>
    <s v="Yes"/>
    <n v="13"/>
    <n v="3"/>
    <n v="4"/>
    <n v="80"/>
    <n v="3"/>
    <n v="9"/>
    <n v="3"/>
    <n v="3"/>
    <x v="8"/>
    <n v="3"/>
    <n v="1"/>
    <n v="0"/>
    <s v="26-35"/>
    <s v="High"/>
    <s v="3-5"/>
    <s v="Mid-Level"/>
    <s v="Standard"/>
    <s v="High"/>
    <x v="0"/>
  </r>
  <r>
    <n v="29"/>
    <x v="1"/>
    <s v="Travel_Rarely"/>
    <n v="592"/>
    <x v="1"/>
    <n v="7"/>
    <n v="3"/>
    <s v="Life Sciences"/>
    <n v="1"/>
    <n v="1883"/>
    <x v="2"/>
    <s v="Male"/>
    <n v="59"/>
    <n v="3"/>
    <x v="1"/>
    <x v="2"/>
    <x v="3"/>
    <s v="Single"/>
    <n v="2062"/>
    <n v="19384"/>
    <n v="3"/>
    <s v="Y"/>
    <s v="No"/>
    <n v="14"/>
    <n v="3"/>
    <n v="2"/>
    <n v="80"/>
    <n v="0"/>
    <n v="11"/>
    <n v="2"/>
    <n v="3"/>
    <x v="11"/>
    <n v="2"/>
    <n v="1"/>
    <n v="2"/>
    <s v="26-35"/>
    <s v="Low"/>
    <s v="3-5"/>
    <s v="Mid-Level"/>
    <s v="Standard"/>
    <s v="Low"/>
    <x v="0"/>
  </r>
  <r>
    <n v="37"/>
    <x v="1"/>
    <s v="Travel_Rarely"/>
    <n v="783"/>
    <x v="1"/>
    <n v="7"/>
    <n v="4"/>
    <s v="Medical"/>
    <n v="1"/>
    <n v="1885"/>
    <x v="2"/>
    <s v="Male"/>
    <n v="78"/>
    <n v="3"/>
    <x v="0"/>
    <x v="1"/>
    <x v="3"/>
    <s v="Married"/>
    <n v="4284"/>
    <n v="13588"/>
    <n v="5"/>
    <s v="Y"/>
    <s v="Yes"/>
    <n v="22"/>
    <n v="4"/>
    <n v="3"/>
    <n v="80"/>
    <n v="1"/>
    <n v="16"/>
    <n v="2"/>
    <n v="3"/>
    <x v="8"/>
    <n v="3"/>
    <n v="0"/>
    <n v="4"/>
    <s v="36-45"/>
    <s v="Medium"/>
    <s v="3-5"/>
    <s v="Senior"/>
    <s v="Excellent"/>
    <s v="Low"/>
    <x v="0"/>
  </r>
  <r>
    <n v="35"/>
    <x v="1"/>
    <s v="Travel_Rarely"/>
    <n v="219"/>
    <x v="1"/>
    <n v="16"/>
    <n v="2"/>
    <s v="Other"/>
    <n v="1"/>
    <n v="1886"/>
    <x v="2"/>
    <s v="Female"/>
    <n v="44"/>
    <n v="2"/>
    <x v="0"/>
    <x v="3"/>
    <x v="1"/>
    <s v="Married"/>
    <n v="4788"/>
    <n v="25388"/>
    <n v="0"/>
    <s v="Y"/>
    <s v="Yes"/>
    <n v="11"/>
    <n v="3"/>
    <n v="4"/>
    <n v="80"/>
    <n v="0"/>
    <n v="4"/>
    <n v="2"/>
    <n v="3"/>
    <x v="11"/>
    <n v="2"/>
    <n v="0"/>
    <n v="2"/>
    <s v="26-35"/>
    <s v="Medium"/>
    <s v="3-5"/>
    <s v="Junior"/>
    <s v="Standard"/>
    <s v="Low"/>
    <x v="0"/>
  </r>
  <r>
    <n v="45"/>
    <x v="1"/>
    <s v="Travel_Rarely"/>
    <n v="556"/>
    <x v="1"/>
    <n v="25"/>
    <n v="2"/>
    <s v="Life Sciences"/>
    <n v="1"/>
    <n v="1888"/>
    <x v="0"/>
    <s v="Female"/>
    <n v="93"/>
    <n v="2"/>
    <x v="0"/>
    <x v="3"/>
    <x v="0"/>
    <s v="Married"/>
    <n v="5906"/>
    <n v="23888"/>
    <n v="0"/>
    <s v="Y"/>
    <s v="No"/>
    <n v="13"/>
    <n v="3"/>
    <n v="4"/>
    <n v="80"/>
    <n v="2"/>
    <n v="10"/>
    <n v="2"/>
    <n v="2"/>
    <x v="7"/>
    <n v="8"/>
    <n v="3"/>
    <n v="8"/>
    <s v="36-45"/>
    <s v="Medium"/>
    <s v="6-10"/>
    <s v="Mid-Level"/>
    <s v="Standard"/>
    <s v="High"/>
    <x v="0"/>
  </r>
  <r>
    <n v="36"/>
    <x v="1"/>
    <s v="Travel_Frequently"/>
    <n v="1213"/>
    <x v="2"/>
    <n v="2"/>
    <n v="1"/>
    <s v="Human Resources"/>
    <n v="1"/>
    <n v="1890"/>
    <x v="0"/>
    <s v="Male"/>
    <n v="94"/>
    <n v="2"/>
    <x v="0"/>
    <x v="8"/>
    <x v="0"/>
    <s v="Single"/>
    <n v="3886"/>
    <n v="4223"/>
    <n v="1"/>
    <s v="Y"/>
    <s v="No"/>
    <n v="21"/>
    <n v="4"/>
    <n v="4"/>
    <n v="80"/>
    <n v="0"/>
    <n v="10"/>
    <n v="2"/>
    <n v="2"/>
    <x v="1"/>
    <n v="1"/>
    <n v="0"/>
    <n v="8"/>
    <s v="36-45"/>
    <s v="Medium"/>
    <s v="6-10"/>
    <s v="Mid-Level"/>
    <s v="Excellent"/>
    <s v="High"/>
    <x v="0"/>
  </r>
  <r>
    <n v="40"/>
    <x v="1"/>
    <s v="Travel_Rarely"/>
    <n v="1137"/>
    <x v="1"/>
    <n v="1"/>
    <n v="4"/>
    <s v="Life Sciences"/>
    <n v="1"/>
    <n v="1892"/>
    <x v="3"/>
    <s v="Male"/>
    <n v="98"/>
    <n v="3"/>
    <x v="3"/>
    <x v="5"/>
    <x v="3"/>
    <s v="Divorced"/>
    <n v="16823"/>
    <n v="18991"/>
    <n v="2"/>
    <s v="Y"/>
    <s v="No"/>
    <n v="11"/>
    <n v="3"/>
    <n v="1"/>
    <n v="80"/>
    <n v="1"/>
    <n v="22"/>
    <n v="3"/>
    <n v="3"/>
    <x v="27"/>
    <n v="7"/>
    <n v="11"/>
    <n v="16"/>
    <s v="36-45"/>
    <s v="Very High"/>
    <s v="16+"/>
    <s v="Senior"/>
    <s v="Standard"/>
    <s v="Low"/>
    <x v="0"/>
  </r>
  <r>
    <n v="26"/>
    <x v="1"/>
    <s v="Travel_Rarely"/>
    <n v="482"/>
    <x v="1"/>
    <n v="1"/>
    <n v="2"/>
    <s v="Life Sciences"/>
    <n v="1"/>
    <n v="1893"/>
    <x v="0"/>
    <s v="Female"/>
    <n v="90"/>
    <n v="2"/>
    <x v="1"/>
    <x v="1"/>
    <x v="2"/>
    <s v="Married"/>
    <n v="2933"/>
    <n v="14908"/>
    <n v="1"/>
    <s v="Y"/>
    <s v="Yes"/>
    <n v="13"/>
    <n v="3"/>
    <n v="3"/>
    <n v="80"/>
    <n v="1"/>
    <n v="1"/>
    <n v="3"/>
    <n v="2"/>
    <x v="6"/>
    <n v="0"/>
    <n v="1"/>
    <n v="0"/>
    <s v="26-35"/>
    <s v="Low"/>
    <s v="0-2"/>
    <s v="Junior"/>
    <s v="Standard"/>
    <s v="High"/>
    <x v="0"/>
  </r>
  <r>
    <n v="27"/>
    <x v="1"/>
    <s v="Travel_Rarely"/>
    <n v="511"/>
    <x v="0"/>
    <n v="2"/>
    <n v="2"/>
    <s v="Medical"/>
    <n v="1"/>
    <n v="1898"/>
    <x v="3"/>
    <s v="Female"/>
    <n v="89"/>
    <n v="4"/>
    <x v="0"/>
    <x v="0"/>
    <x v="2"/>
    <s v="Single"/>
    <n v="6500"/>
    <n v="26997"/>
    <n v="0"/>
    <s v="Y"/>
    <s v="No"/>
    <n v="14"/>
    <n v="3"/>
    <n v="2"/>
    <n v="80"/>
    <n v="0"/>
    <n v="9"/>
    <n v="5"/>
    <n v="2"/>
    <x v="3"/>
    <n v="7"/>
    <n v="0"/>
    <n v="7"/>
    <s v="26-35"/>
    <s v="High"/>
    <s v="6-10"/>
    <s v="Mid-Level"/>
    <s v="Standard"/>
    <s v="High"/>
    <x v="0"/>
  </r>
  <r>
    <n v="48"/>
    <x v="1"/>
    <s v="Travel_Frequently"/>
    <n v="117"/>
    <x v="1"/>
    <n v="22"/>
    <n v="3"/>
    <s v="Medical"/>
    <n v="1"/>
    <n v="1900"/>
    <x v="2"/>
    <s v="Female"/>
    <n v="58"/>
    <n v="3"/>
    <x v="3"/>
    <x v="5"/>
    <x v="0"/>
    <s v="Divorced"/>
    <n v="17174"/>
    <n v="2437"/>
    <n v="3"/>
    <s v="Y"/>
    <s v="No"/>
    <n v="11"/>
    <n v="3"/>
    <n v="2"/>
    <n v="80"/>
    <n v="1"/>
    <n v="24"/>
    <n v="3"/>
    <n v="3"/>
    <x v="14"/>
    <n v="17"/>
    <n v="4"/>
    <n v="7"/>
    <s v="46-55"/>
    <s v="Very High"/>
    <s v="16+"/>
    <s v="Senior"/>
    <s v="Standard"/>
    <s v="High"/>
    <x v="0"/>
  </r>
  <r>
    <n v="44"/>
    <x v="1"/>
    <s v="Travel_Rarely"/>
    <n v="170"/>
    <x v="1"/>
    <n v="1"/>
    <n v="4"/>
    <s v="Life Sciences"/>
    <n v="1"/>
    <n v="1903"/>
    <x v="0"/>
    <s v="Male"/>
    <n v="78"/>
    <n v="4"/>
    <x v="0"/>
    <x v="4"/>
    <x v="3"/>
    <s v="Married"/>
    <n v="5033"/>
    <n v="9364"/>
    <n v="2"/>
    <s v="Y"/>
    <s v="No"/>
    <n v="15"/>
    <n v="3"/>
    <n v="4"/>
    <n v="80"/>
    <n v="1"/>
    <n v="10"/>
    <n v="5"/>
    <n v="3"/>
    <x v="4"/>
    <n v="0"/>
    <n v="2"/>
    <n v="2"/>
    <s v="36-45"/>
    <s v="Medium"/>
    <s v="0-2"/>
    <s v="Mid-Level"/>
    <s v="Standard"/>
    <s v="Low"/>
    <x v="0"/>
  </r>
  <r>
    <n v="34"/>
    <x v="0"/>
    <s v="Non-Travel"/>
    <n v="967"/>
    <x v="1"/>
    <n v="16"/>
    <n v="4"/>
    <s v="Technical Degree"/>
    <n v="1"/>
    <n v="1905"/>
    <x v="2"/>
    <s v="Male"/>
    <n v="85"/>
    <n v="1"/>
    <x v="1"/>
    <x v="1"/>
    <x v="3"/>
    <s v="Married"/>
    <n v="2307"/>
    <n v="14460"/>
    <n v="1"/>
    <s v="Y"/>
    <s v="Yes"/>
    <n v="23"/>
    <n v="4"/>
    <n v="2"/>
    <n v="80"/>
    <n v="1"/>
    <n v="5"/>
    <n v="2"/>
    <n v="3"/>
    <x v="8"/>
    <n v="2"/>
    <n v="3"/>
    <n v="0"/>
    <s v="26-35"/>
    <s v="Low"/>
    <s v="3-5"/>
    <s v="Junior"/>
    <s v="Excellent"/>
    <s v="Low"/>
    <x v="0"/>
  </r>
  <r>
    <n v="56"/>
    <x v="0"/>
    <s v="Travel_Rarely"/>
    <n v="1162"/>
    <x v="1"/>
    <n v="24"/>
    <n v="2"/>
    <s v="Life Sciences"/>
    <n v="1"/>
    <n v="1907"/>
    <x v="3"/>
    <s v="Male"/>
    <n v="97"/>
    <n v="3"/>
    <x v="1"/>
    <x v="2"/>
    <x v="0"/>
    <s v="Single"/>
    <n v="2587"/>
    <n v="10261"/>
    <n v="1"/>
    <s v="Y"/>
    <s v="No"/>
    <n v="16"/>
    <n v="3"/>
    <n v="4"/>
    <n v="80"/>
    <n v="0"/>
    <n v="5"/>
    <n v="3"/>
    <n v="3"/>
    <x v="9"/>
    <n v="2"/>
    <n v="1"/>
    <n v="0"/>
    <s v="56+"/>
    <s v="Low"/>
    <s v="3-5"/>
    <s v="Junior"/>
    <s v="Standard"/>
    <s v="High"/>
    <x v="0"/>
  </r>
  <r>
    <n v="36"/>
    <x v="1"/>
    <s v="Travel_Rarely"/>
    <n v="335"/>
    <x v="0"/>
    <n v="17"/>
    <n v="2"/>
    <s v="Marketing"/>
    <n v="1"/>
    <n v="1908"/>
    <x v="1"/>
    <s v="Male"/>
    <n v="33"/>
    <n v="2"/>
    <x v="0"/>
    <x v="0"/>
    <x v="1"/>
    <s v="Married"/>
    <n v="5507"/>
    <n v="16822"/>
    <n v="2"/>
    <s v="Y"/>
    <s v="No"/>
    <n v="16"/>
    <n v="3"/>
    <n v="3"/>
    <n v="80"/>
    <n v="2"/>
    <n v="12"/>
    <n v="1"/>
    <n v="1"/>
    <x v="9"/>
    <n v="2"/>
    <n v="1"/>
    <n v="3"/>
    <s v="36-45"/>
    <s v="Medium"/>
    <s v="3-5"/>
    <s v="Mid-Level"/>
    <s v="Standard"/>
    <s v="Low"/>
    <x v="0"/>
  </r>
  <r>
    <n v="41"/>
    <x v="1"/>
    <s v="Travel_Rarely"/>
    <n v="337"/>
    <x v="0"/>
    <n v="8"/>
    <n v="3"/>
    <s v="Marketing"/>
    <n v="1"/>
    <n v="1909"/>
    <x v="1"/>
    <s v="Female"/>
    <n v="54"/>
    <n v="3"/>
    <x v="0"/>
    <x v="0"/>
    <x v="1"/>
    <s v="Married"/>
    <n v="4393"/>
    <n v="26841"/>
    <n v="5"/>
    <s v="Y"/>
    <s v="No"/>
    <n v="21"/>
    <n v="4"/>
    <n v="3"/>
    <n v="80"/>
    <n v="1"/>
    <n v="14"/>
    <n v="3"/>
    <n v="3"/>
    <x v="8"/>
    <n v="4"/>
    <n v="1"/>
    <n v="4"/>
    <s v="36-45"/>
    <s v="Medium"/>
    <s v="3-5"/>
    <s v="Mid-Level"/>
    <s v="Excellent"/>
    <s v="Low"/>
    <x v="0"/>
  </r>
  <r>
    <n v="42"/>
    <x v="1"/>
    <s v="Travel_Rarely"/>
    <n v="1396"/>
    <x v="1"/>
    <n v="6"/>
    <n v="3"/>
    <s v="Medical"/>
    <n v="1"/>
    <n v="1911"/>
    <x v="1"/>
    <s v="Male"/>
    <n v="83"/>
    <n v="3"/>
    <x v="2"/>
    <x v="7"/>
    <x v="3"/>
    <s v="Married"/>
    <n v="13348"/>
    <n v="14842"/>
    <n v="9"/>
    <s v="Y"/>
    <s v="No"/>
    <n v="13"/>
    <n v="3"/>
    <n v="2"/>
    <n v="80"/>
    <n v="1"/>
    <n v="18"/>
    <n v="3"/>
    <n v="4"/>
    <x v="20"/>
    <n v="7"/>
    <n v="5"/>
    <n v="7"/>
    <s v="36-45"/>
    <s v="Very High"/>
    <s v="11-15"/>
    <s v="Senior"/>
    <s v="Standard"/>
    <s v="Low"/>
    <x v="0"/>
  </r>
  <r>
    <n v="31"/>
    <x v="1"/>
    <s v="Travel_Rarely"/>
    <n v="1079"/>
    <x v="0"/>
    <n v="10"/>
    <n v="2"/>
    <s v="Medical"/>
    <n v="1"/>
    <n v="1912"/>
    <x v="1"/>
    <s v="Female"/>
    <n v="86"/>
    <n v="3"/>
    <x v="0"/>
    <x v="0"/>
    <x v="0"/>
    <s v="Divorced"/>
    <n v="6583"/>
    <n v="20115"/>
    <n v="2"/>
    <s v="Y"/>
    <s v="Yes"/>
    <n v="11"/>
    <n v="3"/>
    <n v="4"/>
    <n v="80"/>
    <n v="1"/>
    <n v="8"/>
    <n v="2"/>
    <n v="3"/>
    <x v="8"/>
    <n v="2"/>
    <n v="1"/>
    <n v="4"/>
    <s v="26-35"/>
    <s v="High"/>
    <s v="3-5"/>
    <s v="Mid-Level"/>
    <s v="Standard"/>
    <s v="High"/>
    <x v="0"/>
  </r>
  <r>
    <n v="34"/>
    <x v="1"/>
    <s v="Travel_Rarely"/>
    <n v="735"/>
    <x v="0"/>
    <n v="3"/>
    <n v="1"/>
    <s v="Medical"/>
    <n v="1"/>
    <n v="1915"/>
    <x v="2"/>
    <s v="Female"/>
    <n v="75"/>
    <n v="2"/>
    <x v="0"/>
    <x v="0"/>
    <x v="0"/>
    <s v="Married"/>
    <n v="8103"/>
    <n v="16495"/>
    <n v="3"/>
    <s v="Y"/>
    <s v="Yes"/>
    <n v="12"/>
    <n v="3"/>
    <n v="3"/>
    <n v="80"/>
    <n v="0"/>
    <n v="9"/>
    <n v="3"/>
    <n v="2"/>
    <x v="9"/>
    <n v="2"/>
    <n v="0"/>
    <n v="1"/>
    <s v="26-35"/>
    <s v="High"/>
    <s v="3-5"/>
    <s v="Mid-Level"/>
    <s v="Standard"/>
    <s v="High"/>
    <x v="0"/>
  </r>
  <r>
    <n v="31"/>
    <x v="1"/>
    <s v="Travel_Rarely"/>
    <n v="471"/>
    <x v="1"/>
    <n v="4"/>
    <n v="3"/>
    <s v="Medical"/>
    <n v="1"/>
    <n v="1916"/>
    <x v="3"/>
    <s v="Female"/>
    <n v="62"/>
    <n v="4"/>
    <x v="1"/>
    <x v="2"/>
    <x v="2"/>
    <s v="Divorced"/>
    <n v="3978"/>
    <n v="16031"/>
    <n v="8"/>
    <s v="Y"/>
    <s v="No"/>
    <n v="12"/>
    <n v="3"/>
    <n v="2"/>
    <n v="80"/>
    <n v="1"/>
    <n v="4"/>
    <n v="0"/>
    <n v="2"/>
    <x v="4"/>
    <n v="2"/>
    <n v="2"/>
    <n v="2"/>
    <s v="26-35"/>
    <s v="Medium"/>
    <s v="0-2"/>
    <s v="Junior"/>
    <s v="Standard"/>
    <s v="High"/>
    <x v="0"/>
  </r>
  <r>
    <n v="26"/>
    <x v="1"/>
    <s v="Travel_Frequently"/>
    <n v="1096"/>
    <x v="1"/>
    <n v="6"/>
    <n v="3"/>
    <s v="Other"/>
    <n v="1"/>
    <n v="1918"/>
    <x v="1"/>
    <s v="Male"/>
    <n v="61"/>
    <n v="4"/>
    <x v="1"/>
    <x v="2"/>
    <x v="0"/>
    <s v="Married"/>
    <n v="2544"/>
    <n v="7102"/>
    <n v="0"/>
    <s v="Y"/>
    <s v="No"/>
    <n v="18"/>
    <n v="3"/>
    <n v="1"/>
    <n v="80"/>
    <n v="1"/>
    <n v="8"/>
    <n v="3"/>
    <n v="3"/>
    <x v="5"/>
    <n v="7"/>
    <n v="7"/>
    <n v="7"/>
    <s v="26-35"/>
    <s v="Low"/>
    <s v="6-10"/>
    <s v="Mid-Level"/>
    <s v="Standard"/>
    <s v="High"/>
    <x v="0"/>
  </r>
  <r>
    <n v="45"/>
    <x v="1"/>
    <s v="Travel_Frequently"/>
    <n v="1297"/>
    <x v="1"/>
    <n v="1"/>
    <n v="4"/>
    <s v="Medical"/>
    <n v="1"/>
    <n v="1922"/>
    <x v="0"/>
    <s v="Male"/>
    <n v="44"/>
    <n v="3"/>
    <x v="0"/>
    <x v="4"/>
    <x v="2"/>
    <s v="Single"/>
    <n v="5399"/>
    <n v="14511"/>
    <n v="4"/>
    <s v="Y"/>
    <s v="No"/>
    <n v="12"/>
    <n v="3"/>
    <n v="3"/>
    <n v="80"/>
    <n v="0"/>
    <n v="12"/>
    <n v="3"/>
    <n v="3"/>
    <x v="9"/>
    <n v="2"/>
    <n v="0"/>
    <n v="3"/>
    <s v="36-45"/>
    <s v="Medium"/>
    <s v="3-5"/>
    <s v="Mid-Level"/>
    <s v="Standard"/>
    <s v="High"/>
    <x v="0"/>
  </r>
  <r>
    <n v="33"/>
    <x v="1"/>
    <s v="Travel_Rarely"/>
    <n v="217"/>
    <x v="0"/>
    <n v="10"/>
    <n v="4"/>
    <s v="Marketing"/>
    <n v="1"/>
    <n v="1924"/>
    <x v="0"/>
    <s v="Male"/>
    <n v="43"/>
    <n v="3"/>
    <x v="0"/>
    <x v="0"/>
    <x v="2"/>
    <s v="Single"/>
    <n v="5487"/>
    <n v="10410"/>
    <n v="1"/>
    <s v="Y"/>
    <s v="No"/>
    <n v="14"/>
    <n v="3"/>
    <n v="2"/>
    <n v="80"/>
    <n v="0"/>
    <n v="10"/>
    <n v="2"/>
    <n v="2"/>
    <x v="1"/>
    <n v="4"/>
    <n v="0"/>
    <n v="9"/>
    <s v="26-35"/>
    <s v="Medium"/>
    <s v="6-10"/>
    <s v="Mid-Level"/>
    <s v="Standard"/>
    <s v="High"/>
    <x v="0"/>
  </r>
  <r>
    <n v="28"/>
    <x v="1"/>
    <s v="Travel_Frequently"/>
    <n v="783"/>
    <x v="0"/>
    <n v="1"/>
    <n v="2"/>
    <s v="Life Sciences"/>
    <n v="1"/>
    <n v="1927"/>
    <x v="1"/>
    <s v="Male"/>
    <n v="42"/>
    <n v="2"/>
    <x v="0"/>
    <x v="0"/>
    <x v="0"/>
    <s v="Married"/>
    <n v="6834"/>
    <n v="19255"/>
    <n v="1"/>
    <s v="Y"/>
    <s v="Yes"/>
    <n v="12"/>
    <n v="3"/>
    <n v="3"/>
    <n v="80"/>
    <n v="1"/>
    <n v="7"/>
    <n v="2"/>
    <n v="3"/>
    <x v="5"/>
    <n v="7"/>
    <n v="0"/>
    <n v="7"/>
    <s v="26-35"/>
    <s v="High"/>
    <s v="6-10"/>
    <s v="Mid-Level"/>
    <s v="Standard"/>
    <s v="High"/>
    <x v="0"/>
  </r>
  <r>
    <n v="29"/>
    <x v="0"/>
    <s v="Travel_Frequently"/>
    <n v="746"/>
    <x v="0"/>
    <n v="24"/>
    <n v="3"/>
    <s v="Technical Degree"/>
    <n v="1"/>
    <n v="1928"/>
    <x v="1"/>
    <s v="Male"/>
    <n v="45"/>
    <n v="4"/>
    <x v="1"/>
    <x v="6"/>
    <x v="3"/>
    <s v="Single"/>
    <n v="1091"/>
    <n v="10642"/>
    <n v="1"/>
    <s v="Y"/>
    <s v="No"/>
    <n v="17"/>
    <n v="3"/>
    <n v="4"/>
    <n v="80"/>
    <n v="0"/>
    <n v="1"/>
    <n v="3"/>
    <n v="3"/>
    <x v="6"/>
    <n v="0"/>
    <n v="0"/>
    <n v="0"/>
    <s v="26-35"/>
    <s v="Low"/>
    <s v="0-2"/>
    <s v="Junior"/>
    <s v="Standard"/>
    <s v="Low"/>
    <x v="0"/>
  </r>
  <r>
    <n v="39"/>
    <x v="1"/>
    <s v="Non-Travel"/>
    <n v="1251"/>
    <x v="0"/>
    <n v="21"/>
    <n v="4"/>
    <s v="Life Sciences"/>
    <n v="1"/>
    <n v="1929"/>
    <x v="3"/>
    <s v="Female"/>
    <n v="32"/>
    <n v="1"/>
    <x v="0"/>
    <x v="0"/>
    <x v="2"/>
    <s v="Married"/>
    <n v="5736"/>
    <n v="3987"/>
    <n v="6"/>
    <s v="Y"/>
    <s v="No"/>
    <n v="19"/>
    <n v="3"/>
    <n v="3"/>
    <n v="80"/>
    <n v="1"/>
    <n v="10"/>
    <n v="1"/>
    <n v="3"/>
    <x v="11"/>
    <n v="2"/>
    <n v="1"/>
    <n v="2"/>
    <s v="36-45"/>
    <s v="Medium"/>
    <s v="3-5"/>
    <s v="Mid-Level"/>
    <s v="Standard"/>
    <s v="High"/>
    <x v="0"/>
  </r>
  <r>
    <n v="27"/>
    <x v="1"/>
    <s v="Travel_Rarely"/>
    <n v="1354"/>
    <x v="1"/>
    <n v="2"/>
    <n v="4"/>
    <s v="Technical Degree"/>
    <n v="1"/>
    <n v="1931"/>
    <x v="0"/>
    <s v="Male"/>
    <n v="41"/>
    <n v="3"/>
    <x v="1"/>
    <x v="1"/>
    <x v="1"/>
    <s v="Married"/>
    <n v="2226"/>
    <n v="6073"/>
    <n v="1"/>
    <s v="Y"/>
    <s v="No"/>
    <n v="11"/>
    <n v="3"/>
    <n v="3"/>
    <n v="80"/>
    <n v="1"/>
    <n v="6"/>
    <n v="3"/>
    <n v="2"/>
    <x v="8"/>
    <n v="3"/>
    <n v="1"/>
    <n v="2"/>
    <s v="26-35"/>
    <s v="Low"/>
    <s v="3-5"/>
    <s v="Mid-Level"/>
    <s v="Standard"/>
    <s v="Low"/>
    <x v="0"/>
  </r>
  <r>
    <n v="34"/>
    <x v="1"/>
    <s v="Travel_Frequently"/>
    <n v="735"/>
    <x v="1"/>
    <n v="22"/>
    <n v="4"/>
    <s v="Other"/>
    <n v="1"/>
    <n v="1932"/>
    <x v="1"/>
    <s v="Male"/>
    <n v="86"/>
    <n v="2"/>
    <x v="0"/>
    <x v="1"/>
    <x v="0"/>
    <s v="Married"/>
    <n v="5747"/>
    <n v="26496"/>
    <n v="1"/>
    <s v="Y"/>
    <s v="Yes"/>
    <n v="15"/>
    <n v="3"/>
    <n v="2"/>
    <n v="80"/>
    <n v="0"/>
    <n v="16"/>
    <n v="3"/>
    <n v="3"/>
    <x v="15"/>
    <n v="10"/>
    <n v="6"/>
    <n v="11"/>
    <s v="26-35"/>
    <s v="Medium"/>
    <s v="11-15"/>
    <s v="Senior"/>
    <s v="Standard"/>
    <s v="High"/>
    <x v="0"/>
  </r>
  <r>
    <n v="28"/>
    <x v="0"/>
    <s v="Travel_Rarely"/>
    <n v="1475"/>
    <x v="0"/>
    <n v="13"/>
    <n v="2"/>
    <s v="Marketing"/>
    <n v="1"/>
    <n v="1933"/>
    <x v="2"/>
    <s v="Female"/>
    <n v="84"/>
    <n v="3"/>
    <x v="0"/>
    <x v="0"/>
    <x v="2"/>
    <s v="Single"/>
    <n v="9854"/>
    <n v="23352"/>
    <n v="3"/>
    <s v="Y"/>
    <s v="Yes"/>
    <n v="11"/>
    <n v="3"/>
    <n v="4"/>
    <n v="80"/>
    <n v="0"/>
    <n v="6"/>
    <n v="0"/>
    <n v="3"/>
    <x v="4"/>
    <n v="0"/>
    <n v="2"/>
    <n v="2"/>
    <s v="26-35"/>
    <s v="High"/>
    <s v="0-2"/>
    <s v="Mid-Level"/>
    <s v="Standard"/>
    <s v="High"/>
    <x v="0"/>
  </r>
  <r>
    <n v="47"/>
    <x v="1"/>
    <s v="Non-Travel"/>
    <n v="1169"/>
    <x v="1"/>
    <n v="14"/>
    <n v="4"/>
    <s v="Technical Degree"/>
    <n v="1"/>
    <n v="1934"/>
    <x v="1"/>
    <s v="Male"/>
    <n v="64"/>
    <n v="3"/>
    <x v="0"/>
    <x v="1"/>
    <x v="1"/>
    <s v="Married"/>
    <n v="5467"/>
    <n v="2125"/>
    <n v="8"/>
    <s v="Y"/>
    <s v="No"/>
    <n v="18"/>
    <n v="3"/>
    <n v="3"/>
    <n v="80"/>
    <n v="1"/>
    <n v="16"/>
    <n v="4"/>
    <n v="4"/>
    <x v="3"/>
    <n v="7"/>
    <n v="1"/>
    <n v="7"/>
    <s v="46-55"/>
    <s v="Medium"/>
    <s v="6-10"/>
    <s v="Senior"/>
    <s v="Standard"/>
    <s v="Low"/>
    <x v="0"/>
  </r>
  <r>
    <n v="56"/>
    <x v="1"/>
    <s v="Travel_Rarely"/>
    <n v="1443"/>
    <x v="0"/>
    <n v="11"/>
    <n v="5"/>
    <s v="Marketing"/>
    <n v="1"/>
    <n v="1935"/>
    <x v="2"/>
    <s v="Female"/>
    <n v="89"/>
    <n v="2"/>
    <x v="0"/>
    <x v="0"/>
    <x v="3"/>
    <s v="Married"/>
    <n v="5380"/>
    <n v="20328"/>
    <n v="4"/>
    <s v="Y"/>
    <s v="No"/>
    <n v="16"/>
    <n v="3"/>
    <n v="3"/>
    <n v="80"/>
    <n v="1"/>
    <n v="6"/>
    <n v="3"/>
    <n v="3"/>
    <x v="2"/>
    <n v="0"/>
    <n v="0"/>
    <n v="0"/>
    <s v="56+"/>
    <s v="Medium"/>
    <s v="0-2"/>
    <s v="Mid-Level"/>
    <s v="Standard"/>
    <s v="Low"/>
    <x v="0"/>
  </r>
  <r>
    <n v="39"/>
    <x v="1"/>
    <s v="Travel_Rarely"/>
    <n v="867"/>
    <x v="1"/>
    <n v="9"/>
    <n v="2"/>
    <s v="Medical"/>
    <n v="1"/>
    <n v="1936"/>
    <x v="3"/>
    <s v="Male"/>
    <n v="87"/>
    <n v="3"/>
    <x v="0"/>
    <x v="3"/>
    <x v="3"/>
    <s v="Married"/>
    <n v="5151"/>
    <n v="12315"/>
    <n v="1"/>
    <s v="Y"/>
    <s v="No"/>
    <n v="25"/>
    <n v="4"/>
    <n v="4"/>
    <n v="80"/>
    <n v="1"/>
    <n v="10"/>
    <n v="3"/>
    <n v="3"/>
    <x v="1"/>
    <n v="0"/>
    <n v="7"/>
    <n v="9"/>
    <s v="36-45"/>
    <s v="Medium"/>
    <s v="6-10"/>
    <s v="Mid-Level"/>
    <s v="Excellent"/>
    <s v="Low"/>
    <x v="0"/>
  </r>
  <r>
    <n v="38"/>
    <x v="1"/>
    <s v="Travel_Frequently"/>
    <n v="1394"/>
    <x v="1"/>
    <n v="8"/>
    <n v="3"/>
    <s v="Medical"/>
    <n v="1"/>
    <n v="1937"/>
    <x v="2"/>
    <s v="Female"/>
    <n v="58"/>
    <n v="2"/>
    <x v="0"/>
    <x v="1"/>
    <x v="1"/>
    <s v="Divorced"/>
    <n v="2133"/>
    <n v="18115"/>
    <n v="1"/>
    <s v="Y"/>
    <s v="Yes"/>
    <n v="16"/>
    <n v="3"/>
    <n v="3"/>
    <n v="80"/>
    <n v="1"/>
    <n v="20"/>
    <n v="3"/>
    <n v="3"/>
    <x v="23"/>
    <n v="11"/>
    <n v="0"/>
    <n v="7"/>
    <s v="36-45"/>
    <s v="Low"/>
    <s v="16+"/>
    <s v="Senior"/>
    <s v="Standard"/>
    <s v="Low"/>
    <x v="0"/>
  </r>
  <r>
    <n v="58"/>
    <x v="1"/>
    <s v="Travel_Rarely"/>
    <n v="605"/>
    <x v="0"/>
    <n v="21"/>
    <n v="3"/>
    <s v="Life Sciences"/>
    <n v="1"/>
    <n v="1938"/>
    <x v="2"/>
    <s v="Female"/>
    <n v="72"/>
    <n v="3"/>
    <x v="3"/>
    <x v="5"/>
    <x v="0"/>
    <s v="Married"/>
    <n v="17875"/>
    <n v="11761"/>
    <n v="4"/>
    <s v="Y"/>
    <s v="Yes"/>
    <n v="13"/>
    <n v="3"/>
    <n v="3"/>
    <n v="80"/>
    <n v="1"/>
    <n v="29"/>
    <n v="2"/>
    <n v="2"/>
    <x v="6"/>
    <n v="0"/>
    <n v="0"/>
    <n v="0"/>
    <s v="56+"/>
    <s v="Very High"/>
    <s v="0-2"/>
    <s v="Senior"/>
    <s v="Standard"/>
    <s v="High"/>
    <x v="0"/>
  </r>
  <r>
    <n v="32"/>
    <x v="0"/>
    <s v="Travel_Frequently"/>
    <n v="238"/>
    <x v="1"/>
    <n v="5"/>
    <n v="2"/>
    <s v="Life Sciences"/>
    <n v="1"/>
    <n v="1939"/>
    <x v="3"/>
    <s v="Female"/>
    <n v="47"/>
    <n v="4"/>
    <x v="1"/>
    <x v="1"/>
    <x v="2"/>
    <s v="Single"/>
    <n v="2432"/>
    <n v="15318"/>
    <n v="3"/>
    <s v="Y"/>
    <s v="Yes"/>
    <n v="14"/>
    <n v="3"/>
    <n v="1"/>
    <n v="80"/>
    <n v="0"/>
    <n v="8"/>
    <n v="2"/>
    <n v="3"/>
    <x v="9"/>
    <n v="1"/>
    <n v="0"/>
    <n v="3"/>
    <s v="26-35"/>
    <s v="Low"/>
    <s v="3-5"/>
    <s v="Mid-Level"/>
    <s v="Standard"/>
    <s v="High"/>
    <x v="0"/>
  </r>
  <r>
    <n v="38"/>
    <x v="1"/>
    <s v="Travel_Rarely"/>
    <n v="1206"/>
    <x v="1"/>
    <n v="9"/>
    <n v="2"/>
    <s v="Life Sciences"/>
    <n v="1"/>
    <n v="1940"/>
    <x v="0"/>
    <s v="Male"/>
    <n v="71"/>
    <n v="3"/>
    <x v="1"/>
    <x v="1"/>
    <x v="0"/>
    <s v="Divorced"/>
    <n v="4771"/>
    <n v="14293"/>
    <n v="2"/>
    <s v="Y"/>
    <s v="No"/>
    <n v="19"/>
    <n v="3"/>
    <n v="4"/>
    <n v="80"/>
    <n v="2"/>
    <n v="10"/>
    <n v="0"/>
    <n v="4"/>
    <x v="8"/>
    <n v="2"/>
    <n v="0"/>
    <n v="3"/>
    <s v="36-45"/>
    <s v="Medium"/>
    <s v="3-5"/>
    <s v="Mid-Level"/>
    <s v="Standard"/>
    <s v="High"/>
    <x v="0"/>
  </r>
  <r>
    <n v="49"/>
    <x v="1"/>
    <s v="Travel_Frequently"/>
    <n v="1064"/>
    <x v="1"/>
    <n v="2"/>
    <n v="1"/>
    <s v="Life Sciences"/>
    <n v="1"/>
    <n v="1941"/>
    <x v="0"/>
    <s v="Male"/>
    <n v="42"/>
    <n v="3"/>
    <x v="4"/>
    <x v="7"/>
    <x v="0"/>
    <s v="Married"/>
    <n v="19161"/>
    <n v="13738"/>
    <n v="3"/>
    <s v="Y"/>
    <s v="No"/>
    <n v="15"/>
    <n v="3"/>
    <n v="4"/>
    <n v="80"/>
    <n v="0"/>
    <n v="28"/>
    <n v="3"/>
    <n v="3"/>
    <x v="8"/>
    <n v="4"/>
    <n v="4"/>
    <n v="3"/>
    <s v="46-55"/>
    <s v="Very High"/>
    <s v="3-5"/>
    <s v="Senior"/>
    <s v="Standard"/>
    <s v="High"/>
    <x v="0"/>
  </r>
  <r>
    <n v="42"/>
    <x v="1"/>
    <s v="Travel_Rarely"/>
    <n v="419"/>
    <x v="0"/>
    <n v="12"/>
    <n v="4"/>
    <s v="Marketing"/>
    <n v="1"/>
    <n v="1943"/>
    <x v="0"/>
    <s v="Male"/>
    <n v="77"/>
    <n v="3"/>
    <x v="0"/>
    <x v="0"/>
    <x v="0"/>
    <s v="Divorced"/>
    <n v="5087"/>
    <n v="2900"/>
    <n v="3"/>
    <s v="Y"/>
    <s v="Yes"/>
    <n v="12"/>
    <n v="3"/>
    <n v="3"/>
    <n v="80"/>
    <n v="2"/>
    <n v="14"/>
    <n v="4"/>
    <n v="3"/>
    <x v="2"/>
    <n v="0"/>
    <n v="0"/>
    <n v="0"/>
    <s v="36-45"/>
    <s v="Medium"/>
    <s v="0-2"/>
    <s v="Mid-Level"/>
    <s v="Standard"/>
    <s v="High"/>
    <x v="0"/>
  </r>
  <r>
    <n v="27"/>
    <x v="0"/>
    <s v="Travel_Frequently"/>
    <n v="1337"/>
    <x v="2"/>
    <n v="22"/>
    <n v="3"/>
    <s v="Human Resources"/>
    <n v="1"/>
    <n v="1944"/>
    <x v="3"/>
    <s v="Female"/>
    <n v="58"/>
    <n v="2"/>
    <x v="1"/>
    <x v="8"/>
    <x v="1"/>
    <s v="Married"/>
    <n v="2863"/>
    <n v="19555"/>
    <n v="1"/>
    <s v="Y"/>
    <s v="No"/>
    <n v="12"/>
    <n v="3"/>
    <n v="1"/>
    <n v="80"/>
    <n v="0"/>
    <n v="1"/>
    <n v="2"/>
    <n v="3"/>
    <x v="6"/>
    <n v="0"/>
    <n v="0"/>
    <n v="0"/>
    <s v="26-35"/>
    <s v="Low"/>
    <s v="0-2"/>
    <s v="Junior"/>
    <s v="Standard"/>
    <s v="Low"/>
    <x v="0"/>
  </r>
  <r>
    <n v="35"/>
    <x v="1"/>
    <s v="Travel_Rarely"/>
    <n v="682"/>
    <x v="0"/>
    <n v="18"/>
    <n v="4"/>
    <s v="Medical"/>
    <n v="1"/>
    <n v="1945"/>
    <x v="0"/>
    <s v="Male"/>
    <n v="71"/>
    <n v="3"/>
    <x v="0"/>
    <x v="0"/>
    <x v="3"/>
    <s v="Married"/>
    <n v="5561"/>
    <n v="15975"/>
    <n v="0"/>
    <s v="Y"/>
    <s v="No"/>
    <n v="16"/>
    <n v="3"/>
    <n v="4"/>
    <n v="80"/>
    <n v="1"/>
    <n v="6"/>
    <n v="2"/>
    <n v="1"/>
    <x v="8"/>
    <n v="3"/>
    <n v="0"/>
    <n v="4"/>
    <s v="26-35"/>
    <s v="Medium"/>
    <s v="3-5"/>
    <s v="Mid-Level"/>
    <s v="Standard"/>
    <s v="Low"/>
    <x v="0"/>
  </r>
  <r>
    <n v="28"/>
    <x v="1"/>
    <s v="Non-Travel"/>
    <n v="1103"/>
    <x v="1"/>
    <n v="16"/>
    <n v="3"/>
    <s v="Medical"/>
    <n v="1"/>
    <n v="1947"/>
    <x v="1"/>
    <s v="Male"/>
    <n v="49"/>
    <n v="3"/>
    <x v="1"/>
    <x v="1"/>
    <x v="2"/>
    <s v="Single"/>
    <n v="2144"/>
    <n v="2122"/>
    <n v="1"/>
    <s v="Y"/>
    <s v="No"/>
    <n v="14"/>
    <n v="3"/>
    <n v="3"/>
    <n v="80"/>
    <n v="0"/>
    <n v="5"/>
    <n v="3"/>
    <n v="2"/>
    <x v="8"/>
    <n v="3"/>
    <n v="1"/>
    <n v="4"/>
    <s v="26-35"/>
    <s v="Low"/>
    <s v="3-5"/>
    <s v="Junior"/>
    <s v="Standard"/>
    <s v="High"/>
    <x v="0"/>
  </r>
  <r>
    <n v="31"/>
    <x v="1"/>
    <s v="Non-Travel"/>
    <n v="976"/>
    <x v="1"/>
    <n v="3"/>
    <n v="2"/>
    <s v="Medical"/>
    <n v="1"/>
    <n v="1948"/>
    <x v="1"/>
    <s v="Male"/>
    <n v="48"/>
    <n v="3"/>
    <x v="1"/>
    <x v="1"/>
    <x v="3"/>
    <s v="Divorced"/>
    <n v="3065"/>
    <n v="3995"/>
    <n v="1"/>
    <s v="Y"/>
    <s v="Yes"/>
    <n v="13"/>
    <n v="3"/>
    <n v="4"/>
    <n v="80"/>
    <n v="1"/>
    <n v="4"/>
    <n v="3"/>
    <n v="4"/>
    <x v="9"/>
    <n v="2"/>
    <n v="2"/>
    <n v="3"/>
    <s v="26-35"/>
    <s v="Medium"/>
    <s v="3-5"/>
    <s v="Junior"/>
    <s v="Standard"/>
    <s v="Low"/>
    <x v="0"/>
  </r>
  <r>
    <n v="36"/>
    <x v="1"/>
    <s v="Non-Travel"/>
    <n v="1351"/>
    <x v="1"/>
    <n v="9"/>
    <n v="4"/>
    <s v="Life Sciences"/>
    <n v="1"/>
    <n v="1949"/>
    <x v="3"/>
    <s v="Male"/>
    <n v="66"/>
    <n v="4"/>
    <x v="1"/>
    <x v="2"/>
    <x v="1"/>
    <s v="Married"/>
    <n v="2810"/>
    <n v="9238"/>
    <n v="1"/>
    <s v="Y"/>
    <s v="No"/>
    <n v="22"/>
    <n v="4"/>
    <n v="2"/>
    <n v="80"/>
    <n v="0"/>
    <n v="5"/>
    <n v="3"/>
    <n v="3"/>
    <x v="8"/>
    <n v="4"/>
    <n v="0"/>
    <n v="2"/>
    <s v="36-45"/>
    <s v="Low"/>
    <s v="3-5"/>
    <s v="Junior"/>
    <s v="Excellent"/>
    <s v="Low"/>
    <x v="0"/>
  </r>
  <r>
    <n v="34"/>
    <x v="1"/>
    <s v="Travel_Rarely"/>
    <n v="937"/>
    <x v="0"/>
    <n v="1"/>
    <n v="3"/>
    <s v="Marketing"/>
    <n v="1"/>
    <n v="1950"/>
    <x v="3"/>
    <s v="Male"/>
    <n v="32"/>
    <n v="3"/>
    <x v="2"/>
    <x v="0"/>
    <x v="0"/>
    <s v="Single"/>
    <n v="9888"/>
    <n v="6770"/>
    <n v="1"/>
    <s v="Y"/>
    <s v="No"/>
    <n v="21"/>
    <n v="4"/>
    <n v="1"/>
    <n v="80"/>
    <n v="0"/>
    <n v="14"/>
    <n v="3"/>
    <n v="2"/>
    <x v="13"/>
    <n v="8"/>
    <n v="2"/>
    <n v="1"/>
    <s v="26-35"/>
    <s v="High"/>
    <s v="11-15"/>
    <s v="Mid-Level"/>
    <s v="Excellent"/>
    <s v="High"/>
    <x v="0"/>
  </r>
  <r>
    <n v="34"/>
    <x v="1"/>
    <s v="Travel_Rarely"/>
    <n v="1239"/>
    <x v="0"/>
    <n v="13"/>
    <n v="4"/>
    <s v="Medical"/>
    <n v="1"/>
    <n v="1951"/>
    <x v="2"/>
    <s v="Male"/>
    <n v="39"/>
    <n v="3"/>
    <x v="2"/>
    <x v="0"/>
    <x v="2"/>
    <s v="Divorced"/>
    <n v="8628"/>
    <n v="22914"/>
    <n v="1"/>
    <s v="Y"/>
    <s v="No"/>
    <n v="18"/>
    <n v="3"/>
    <n v="3"/>
    <n v="80"/>
    <n v="1"/>
    <n v="9"/>
    <n v="2"/>
    <n v="2"/>
    <x v="3"/>
    <n v="7"/>
    <n v="1"/>
    <n v="1"/>
    <s v="26-35"/>
    <s v="High"/>
    <s v="6-10"/>
    <s v="Mid-Level"/>
    <s v="Standard"/>
    <s v="High"/>
    <x v="0"/>
  </r>
  <r>
    <n v="26"/>
    <x v="1"/>
    <s v="Travel_Rarely"/>
    <n v="157"/>
    <x v="1"/>
    <n v="1"/>
    <n v="3"/>
    <s v="Medical"/>
    <n v="1"/>
    <n v="1952"/>
    <x v="1"/>
    <s v="Male"/>
    <n v="95"/>
    <n v="3"/>
    <x v="1"/>
    <x v="2"/>
    <x v="3"/>
    <s v="Single"/>
    <n v="2867"/>
    <n v="20006"/>
    <n v="0"/>
    <s v="Y"/>
    <s v="No"/>
    <n v="13"/>
    <n v="3"/>
    <n v="4"/>
    <n v="80"/>
    <n v="0"/>
    <n v="8"/>
    <n v="6"/>
    <n v="2"/>
    <x v="5"/>
    <n v="7"/>
    <n v="7"/>
    <n v="6"/>
    <s v="26-35"/>
    <s v="Low"/>
    <s v="6-10"/>
    <s v="Mid-Level"/>
    <s v="Standard"/>
    <s v="Low"/>
    <x v="0"/>
  </r>
  <r>
    <n v="29"/>
    <x v="1"/>
    <s v="Travel_Rarely"/>
    <n v="136"/>
    <x v="1"/>
    <n v="1"/>
    <n v="3"/>
    <s v="Life Sciences"/>
    <n v="1"/>
    <n v="1954"/>
    <x v="3"/>
    <s v="Male"/>
    <n v="89"/>
    <n v="3"/>
    <x v="0"/>
    <x v="4"/>
    <x v="3"/>
    <s v="Married"/>
    <n v="5373"/>
    <n v="6225"/>
    <n v="0"/>
    <s v="Y"/>
    <s v="No"/>
    <n v="12"/>
    <n v="3"/>
    <n v="1"/>
    <n v="80"/>
    <n v="1"/>
    <n v="6"/>
    <n v="5"/>
    <n v="2"/>
    <x v="8"/>
    <n v="3"/>
    <n v="0"/>
    <n v="2"/>
    <s v="26-35"/>
    <s v="Medium"/>
    <s v="3-5"/>
    <s v="Mid-Level"/>
    <s v="Standard"/>
    <s v="Low"/>
    <x v="0"/>
  </r>
  <r>
    <n v="32"/>
    <x v="1"/>
    <s v="Non-Travel"/>
    <n v="1146"/>
    <x v="1"/>
    <n v="15"/>
    <n v="4"/>
    <s v="Medical"/>
    <n v="1"/>
    <n v="1955"/>
    <x v="1"/>
    <s v="Female"/>
    <n v="34"/>
    <n v="3"/>
    <x v="0"/>
    <x v="4"/>
    <x v="0"/>
    <s v="Divorced"/>
    <n v="6667"/>
    <n v="16542"/>
    <n v="5"/>
    <s v="Y"/>
    <s v="No"/>
    <n v="18"/>
    <n v="3"/>
    <n v="2"/>
    <n v="80"/>
    <n v="1"/>
    <n v="9"/>
    <n v="6"/>
    <n v="3"/>
    <x v="8"/>
    <n v="1"/>
    <n v="1"/>
    <n v="2"/>
    <s v="26-35"/>
    <s v="High"/>
    <s v="3-5"/>
    <s v="Mid-Level"/>
    <s v="Standard"/>
    <s v="High"/>
    <x v="0"/>
  </r>
  <r>
    <n v="31"/>
    <x v="1"/>
    <s v="Travel_Frequently"/>
    <n v="1125"/>
    <x v="1"/>
    <n v="1"/>
    <n v="3"/>
    <s v="Life Sciences"/>
    <n v="1"/>
    <n v="1956"/>
    <x v="2"/>
    <s v="Male"/>
    <n v="48"/>
    <n v="1"/>
    <x v="0"/>
    <x v="1"/>
    <x v="3"/>
    <s v="Married"/>
    <n v="5003"/>
    <n v="5771"/>
    <n v="1"/>
    <s v="Y"/>
    <s v="No"/>
    <n v="21"/>
    <n v="4"/>
    <n v="2"/>
    <n v="80"/>
    <n v="0"/>
    <n v="10"/>
    <n v="6"/>
    <n v="3"/>
    <x v="1"/>
    <n v="8"/>
    <n v="8"/>
    <n v="7"/>
    <s v="26-35"/>
    <s v="Medium"/>
    <s v="6-10"/>
    <s v="Mid-Level"/>
    <s v="Excellent"/>
    <s v="Low"/>
    <x v="0"/>
  </r>
  <r>
    <n v="28"/>
    <x v="0"/>
    <s v="Travel_Rarely"/>
    <n v="1404"/>
    <x v="1"/>
    <n v="17"/>
    <n v="3"/>
    <s v="Technical Degree"/>
    <n v="1"/>
    <n v="1960"/>
    <x v="1"/>
    <s v="Male"/>
    <n v="32"/>
    <n v="2"/>
    <x v="1"/>
    <x v="2"/>
    <x v="0"/>
    <s v="Divorced"/>
    <n v="2367"/>
    <n v="18779"/>
    <n v="5"/>
    <s v="Y"/>
    <s v="No"/>
    <n v="12"/>
    <n v="3"/>
    <n v="1"/>
    <n v="80"/>
    <n v="1"/>
    <n v="6"/>
    <n v="2"/>
    <n v="2"/>
    <x v="9"/>
    <n v="1"/>
    <n v="0"/>
    <n v="3"/>
    <s v="26-35"/>
    <s v="Low"/>
    <s v="3-5"/>
    <s v="Mid-Level"/>
    <s v="Standard"/>
    <s v="High"/>
    <x v="0"/>
  </r>
  <r>
    <n v="38"/>
    <x v="1"/>
    <s v="Travel_Rarely"/>
    <n v="1404"/>
    <x v="0"/>
    <n v="1"/>
    <n v="3"/>
    <s v="Life Sciences"/>
    <n v="1"/>
    <n v="1961"/>
    <x v="3"/>
    <s v="Male"/>
    <n v="59"/>
    <n v="2"/>
    <x v="1"/>
    <x v="6"/>
    <x v="3"/>
    <s v="Single"/>
    <n v="2858"/>
    <n v="11473"/>
    <n v="4"/>
    <s v="Y"/>
    <s v="No"/>
    <n v="14"/>
    <n v="3"/>
    <n v="1"/>
    <n v="80"/>
    <n v="0"/>
    <n v="20"/>
    <n v="3"/>
    <n v="2"/>
    <x v="6"/>
    <n v="0"/>
    <n v="0"/>
    <n v="0"/>
    <s v="36-45"/>
    <s v="Low"/>
    <s v="0-2"/>
    <s v="Senior"/>
    <s v="Standard"/>
    <s v="Low"/>
    <x v="0"/>
  </r>
  <r>
    <n v="35"/>
    <x v="1"/>
    <s v="Travel_Rarely"/>
    <n v="1224"/>
    <x v="0"/>
    <n v="7"/>
    <n v="4"/>
    <s v="Life Sciences"/>
    <n v="1"/>
    <n v="1962"/>
    <x v="1"/>
    <s v="Female"/>
    <n v="55"/>
    <n v="3"/>
    <x v="0"/>
    <x v="0"/>
    <x v="0"/>
    <s v="Married"/>
    <n v="5204"/>
    <n v="13586"/>
    <n v="1"/>
    <s v="Y"/>
    <s v="Yes"/>
    <n v="11"/>
    <n v="3"/>
    <n v="4"/>
    <n v="80"/>
    <n v="0"/>
    <n v="10"/>
    <n v="2"/>
    <n v="3"/>
    <x v="1"/>
    <n v="8"/>
    <n v="0"/>
    <n v="9"/>
    <s v="26-35"/>
    <s v="Medium"/>
    <s v="6-10"/>
    <s v="Mid-Level"/>
    <s v="Standard"/>
    <s v="High"/>
    <x v="0"/>
  </r>
  <r>
    <n v="27"/>
    <x v="1"/>
    <s v="Travel_Rarely"/>
    <n v="954"/>
    <x v="0"/>
    <n v="9"/>
    <n v="3"/>
    <s v="Marketing"/>
    <n v="1"/>
    <n v="1965"/>
    <x v="2"/>
    <s v="Male"/>
    <n v="44"/>
    <n v="3"/>
    <x v="0"/>
    <x v="0"/>
    <x v="0"/>
    <s v="Single"/>
    <n v="4105"/>
    <n v="5099"/>
    <n v="1"/>
    <s v="Y"/>
    <s v="No"/>
    <n v="14"/>
    <n v="3"/>
    <n v="1"/>
    <n v="80"/>
    <n v="0"/>
    <n v="7"/>
    <n v="5"/>
    <n v="3"/>
    <x v="5"/>
    <n v="7"/>
    <n v="0"/>
    <n v="7"/>
    <s v="26-35"/>
    <s v="Medium"/>
    <s v="6-10"/>
    <s v="Mid-Level"/>
    <s v="Standard"/>
    <s v="High"/>
    <x v="0"/>
  </r>
  <r>
    <n v="32"/>
    <x v="1"/>
    <s v="Travel_Rarely"/>
    <n v="1373"/>
    <x v="1"/>
    <n v="5"/>
    <n v="4"/>
    <s v="Life Sciences"/>
    <n v="1"/>
    <n v="1966"/>
    <x v="2"/>
    <s v="Male"/>
    <n v="56"/>
    <n v="2"/>
    <x v="0"/>
    <x v="3"/>
    <x v="0"/>
    <s v="Single"/>
    <n v="9679"/>
    <n v="10138"/>
    <n v="8"/>
    <s v="Y"/>
    <s v="No"/>
    <n v="24"/>
    <n v="4"/>
    <n v="2"/>
    <n v="80"/>
    <n v="0"/>
    <n v="8"/>
    <n v="1"/>
    <n v="3"/>
    <x v="6"/>
    <n v="0"/>
    <n v="0"/>
    <n v="0"/>
    <s v="26-35"/>
    <s v="High"/>
    <s v="0-2"/>
    <s v="Mid-Level"/>
    <s v="Excellent"/>
    <s v="High"/>
    <x v="0"/>
  </r>
  <r>
    <n v="31"/>
    <x v="0"/>
    <s v="Travel_Frequently"/>
    <n v="754"/>
    <x v="0"/>
    <n v="26"/>
    <n v="4"/>
    <s v="Marketing"/>
    <n v="1"/>
    <n v="1967"/>
    <x v="3"/>
    <s v="Male"/>
    <n v="63"/>
    <n v="3"/>
    <x v="0"/>
    <x v="0"/>
    <x v="0"/>
    <s v="Married"/>
    <n v="5617"/>
    <n v="21075"/>
    <n v="1"/>
    <s v="Y"/>
    <s v="Yes"/>
    <n v="11"/>
    <n v="3"/>
    <n v="3"/>
    <n v="80"/>
    <n v="0"/>
    <n v="10"/>
    <n v="4"/>
    <n v="3"/>
    <x v="1"/>
    <n v="7"/>
    <n v="0"/>
    <n v="8"/>
    <s v="26-35"/>
    <s v="Medium"/>
    <s v="6-10"/>
    <s v="Mid-Level"/>
    <s v="Standard"/>
    <s v="High"/>
    <x v="0"/>
  </r>
  <r>
    <n v="53"/>
    <x v="0"/>
    <s v="Travel_Rarely"/>
    <n v="1168"/>
    <x v="0"/>
    <n v="24"/>
    <n v="4"/>
    <s v="Life Sciences"/>
    <n v="1"/>
    <n v="1968"/>
    <x v="3"/>
    <s v="Male"/>
    <n v="66"/>
    <n v="3"/>
    <x v="2"/>
    <x v="0"/>
    <x v="3"/>
    <s v="Single"/>
    <n v="10448"/>
    <n v="5843"/>
    <n v="6"/>
    <s v="Y"/>
    <s v="Yes"/>
    <n v="13"/>
    <n v="3"/>
    <n v="2"/>
    <n v="80"/>
    <n v="0"/>
    <n v="15"/>
    <n v="2"/>
    <n v="2"/>
    <x v="4"/>
    <n v="2"/>
    <n v="2"/>
    <n v="2"/>
    <s v="46-55"/>
    <s v="Very High"/>
    <s v="0-2"/>
    <s v="Mid-Level"/>
    <s v="Standard"/>
    <s v="Low"/>
    <x v="1"/>
  </r>
  <r>
    <n v="54"/>
    <x v="1"/>
    <s v="Travel_Rarely"/>
    <n v="155"/>
    <x v="1"/>
    <n v="9"/>
    <n v="2"/>
    <s v="Life Sciences"/>
    <n v="1"/>
    <n v="1969"/>
    <x v="3"/>
    <s v="Female"/>
    <n v="67"/>
    <n v="3"/>
    <x v="0"/>
    <x v="1"/>
    <x v="2"/>
    <s v="Married"/>
    <n v="2897"/>
    <n v="22474"/>
    <n v="3"/>
    <s v="Y"/>
    <s v="No"/>
    <n v="11"/>
    <n v="3"/>
    <n v="3"/>
    <n v="80"/>
    <n v="2"/>
    <n v="9"/>
    <n v="6"/>
    <n v="2"/>
    <x v="9"/>
    <n v="3"/>
    <n v="2"/>
    <n v="3"/>
    <s v="46-55"/>
    <s v="Low"/>
    <s v="3-5"/>
    <s v="Mid-Level"/>
    <s v="Standard"/>
    <s v="High"/>
    <x v="0"/>
  </r>
  <r>
    <n v="33"/>
    <x v="1"/>
    <s v="Travel_Frequently"/>
    <n v="1303"/>
    <x v="1"/>
    <n v="7"/>
    <n v="2"/>
    <s v="Life Sciences"/>
    <n v="1"/>
    <n v="1970"/>
    <x v="2"/>
    <s v="Male"/>
    <n v="36"/>
    <n v="3"/>
    <x v="0"/>
    <x v="4"/>
    <x v="2"/>
    <s v="Divorced"/>
    <n v="5968"/>
    <n v="18079"/>
    <n v="1"/>
    <s v="Y"/>
    <s v="No"/>
    <n v="20"/>
    <n v="4"/>
    <n v="3"/>
    <n v="80"/>
    <n v="3"/>
    <n v="9"/>
    <n v="2"/>
    <n v="3"/>
    <x v="7"/>
    <n v="7"/>
    <n v="2"/>
    <n v="8"/>
    <s v="26-35"/>
    <s v="Medium"/>
    <s v="6-10"/>
    <s v="Mid-Level"/>
    <s v="Excellent"/>
    <s v="High"/>
    <x v="0"/>
  </r>
  <r>
    <n v="43"/>
    <x v="1"/>
    <s v="Travel_Rarely"/>
    <n v="574"/>
    <x v="1"/>
    <n v="11"/>
    <n v="3"/>
    <s v="Life Sciences"/>
    <n v="1"/>
    <n v="1971"/>
    <x v="3"/>
    <s v="Male"/>
    <n v="30"/>
    <n v="3"/>
    <x v="2"/>
    <x v="4"/>
    <x v="2"/>
    <s v="Married"/>
    <n v="7510"/>
    <n v="16873"/>
    <n v="1"/>
    <s v="Y"/>
    <s v="No"/>
    <n v="17"/>
    <n v="3"/>
    <n v="2"/>
    <n v="80"/>
    <n v="1"/>
    <n v="10"/>
    <n v="1"/>
    <n v="3"/>
    <x v="1"/>
    <n v="9"/>
    <n v="0"/>
    <n v="9"/>
    <s v="36-45"/>
    <s v="High"/>
    <s v="6-10"/>
    <s v="Mid-Level"/>
    <s v="Standard"/>
    <s v="High"/>
    <x v="0"/>
  </r>
  <r>
    <n v="38"/>
    <x v="1"/>
    <s v="Travel_Frequently"/>
    <n v="1444"/>
    <x v="2"/>
    <n v="1"/>
    <n v="4"/>
    <s v="Other"/>
    <n v="1"/>
    <n v="1972"/>
    <x v="2"/>
    <s v="Male"/>
    <n v="88"/>
    <n v="3"/>
    <x v="1"/>
    <x v="8"/>
    <x v="1"/>
    <s v="Married"/>
    <n v="2991"/>
    <n v="5224"/>
    <n v="0"/>
    <s v="Y"/>
    <s v="Yes"/>
    <n v="11"/>
    <n v="3"/>
    <n v="2"/>
    <n v="80"/>
    <n v="1"/>
    <n v="7"/>
    <n v="2"/>
    <n v="3"/>
    <x v="0"/>
    <n v="2"/>
    <n v="1"/>
    <n v="2"/>
    <s v="36-45"/>
    <s v="Low"/>
    <s v="6-10"/>
    <s v="Mid-Level"/>
    <s v="Standard"/>
    <s v="Low"/>
    <x v="0"/>
  </r>
  <r>
    <n v="55"/>
    <x v="1"/>
    <s v="Travel_Rarely"/>
    <n v="189"/>
    <x v="2"/>
    <n v="26"/>
    <n v="4"/>
    <s v="Human Resources"/>
    <n v="1"/>
    <n v="1973"/>
    <x v="1"/>
    <s v="Male"/>
    <n v="71"/>
    <n v="4"/>
    <x v="4"/>
    <x v="5"/>
    <x v="1"/>
    <s v="Married"/>
    <n v="19636"/>
    <n v="25811"/>
    <n v="4"/>
    <s v="Y"/>
    <s v="Yes"/>
    <n v="18"/>
    <n v="3"/>
    <n v="1"/>
    <n v="80"/>
    <n v="1"/>
    <n v="35"/>
    <n v="0"/>
    <n v="3"/>
    <x v="1"/>
    <n v="9"/>
    <n v="1"/>
    <n v="4"/>
    <s v="46-55"/>
    <s v="Very High"/>
    <s v="6-10"/>
    <s v="Senior"/>
    <s v="Standard"/>
    <s v="Low"/>
    <x v="0"/>
  </r>
  <r>
    <n v="31"/>
    <x v="1"/>
    <s v="Travel_Rarely"/>
    <n v="1276"/>
    <x v="1"/>
    <n v="2"/>
    <n v="1"/>
    <s v="Medical"/>
    <n v="1"/>
    <n v="1974"/>
    <x v="2"/>
    <s v="Female"/>
    <n v="59"/>
    <n v="1"/>
    <x v="1"/>
    <x v="2"/>
    <x v="0"/>
    <s v="Divorced"/>
    <n v="1129"/>
    <n v="17536"/>
    <n v="1"/>
    <s v="Y"/>
    <s v="Yes"/>
    <n v="11"/>
    <n v="3"/>
    <n v="3"/>
    <n v="80"/>
    <n v="3"/>
    <n v="1"/>
    <n v="4"/>
    <n v="3"/>
    <x v="6"/>
    <n v="0"/>
    <n v="0"/>
    <n v="0"/>
    <s v="26-35"/>
    <s v="Low"/>
    <s v="0-2"/>
    <s v="Junior"/>
    <s v="Standard"/>
    <s v="High"/>
    <x v="0"/>
  </r>
  <r>
    <n v="39"/>
    <x v="1"/>
    <s v="Travel_Rarely"/>
    <n v="119"/>
    <x v="0"/>
    <n v="15"/>
    <n v="4"/>
    <s v="Marketing"/>
    <n v="1"/>
    <n v="1975"/>
    <x v="0"/>
    <s v="Male"/>
    <n v="77"/>
    <n v="3"/>
    <x v="3"/>
    <x v="0"/>
    <x v="3"/>
    <s v="Single"/>
    <n v="13341"/>
    <n v="25098"/>
    <n v="0"/>
    <s v="Y"/>
    <s v="No"/>
    <n v="12"/>
    <n v="3"/>
    <n v="1"/>
    <n v="80"/>
    <n v="0"/>
    <n v="21"/>
    <n v="3"/>
    <n v="3"/>
    <x v="23"/>
    <n v="8"/>
    <n v="11"/>
    <n v="10"/>
    <s v="36-45"/>
    <s v="Very High"/>
    <s v="16+"/>
    <s v="Senior"/>
    <s v="Standard"/>
    <s v="Low"/>
    <x v="0"/>
  </r>
  <r>
    <n v="42"/>
    <x v="1"/>
    <s v="Non-Travel"/>
    <n v="335"/>
    <x v="1"/>
    <n v="23"/>
    <n v="2"/>
    <s v="Life Sciences"/>
    <n v="1"/>
    <n v="1976"/>
    <x v="2"/>
    <s v="Male"/>
    <n v="37"/>
    <n v="2"/>
    <x v="0"/>
    <x v="1"/>
    <x v="2"/>
    <s v="Single"/>
    <n v="4332"/>
    <n v="14811"/>
    <n v="1"/>
    <s v="Y"/>
    <s v="No"/>
    <n v="12"/>
    <n v="3"/>
    <n v="4"/>
    <n v="80"/>
    <n v="0"/>
    <n v="20"/>
    <n v="2"/>
    <n v="3"/>
    <x v="23"/>
    <n v="9"/>
    <n v="3"/>
    <n v="7"/>
    <s v="36-45"/>
    <s v="Medium"/>
    <s v="16+"/>
    <s v="Senior"/>
    <s v="Standard"/>
    <s v="High"/>
    <x v="0"/>
  </r>
  <r>
    <n v="31"/>
    <x v="1"/>
    <s v="Non-Travel"/>
    <n v="697"/>
    <x v="1"/>
    <n v="10"/>
    <n v="3"/>
    <s v="Medical"/>
    <n v="1"/>
    <n v="1979"/>
    <x v="1"/>
    <s v="Female"/>
    <n v="40"/>
    <n v="3"/>
    <x v="2"/>
    <x v="7"/>
    <x v="2"/>
    <s v="Married"/>
    <n v="11031"/>
    <n v="26862"/>
    <n v="4"/>
    <s v="Y"/>
    <s v="No"/>
    <n v="20"/>
    <n v="4"/>
    <n v="3"/>
    <n v="80"/>
    <n v="1"/>
    <n v="13"/>
    <n v="2"/>
    <n v="4"/>
    <x v="19"/>
    <n v="7"/>
    <n v="4"/>
    <n v="8"/>
    <s v="26-35"/>
    <s v="Very High"/>
    <s v="11-15"/>
    <s v="Mid-Level"/>
    <s v="Excellent"/>
    <s v="High"/>
    <x v="0"/>
  </r>
  <r>
    <n v="54"/>
    <x v="1"/>
    <s v="Travel_Rarely"/>
    <n v="157"/>
    <x v="1"/>
    <n v="10"/>
    <n v="3"/>
    <s v="Medical"/>
    <n v="1"/>
    <n v="1980"/>
    <x v="1"/>
    <s v="Female"/>
    <n v="77"/>
    <n v="3"/>
    <x v="0"/>
    <x v="3"/>
    <x v="3"/>
    <s v="Single"/>
    <n v="4440"/>
    <n v="25198"/>
    <n v="6"/>
    <s v="Y"/>
    <s v="Yes"/>
    <n v="19"/>
    <n v="3"/>
    <n v="4"/>
    <n v="80"/>
    <n v="0"/>
    <n v="9"/>
    <n v="3"/>
    <n v="3"/>
    <x v="8"/>
    <n v="2"/>
    <n v="1"/>
    <n v="4"/>
    <s v="46-55"/>
    <s v="Medium"/>
    <s v="3-5"/>
    <s v="Mid-Level"/>
    <s v="Standard"/>
    <s v="Low"/>
    <x v="0"/>
  </r>
  <r>
    <n v="24"/>
    <x v="1"/>
    <s v="Travel_Rarely"/>
    <n v="771"/>
    <x v="1"/>
    <n v="1"/>
    <n v="2"/>
    <s v="Life Sciences"/>
    <n v="1"/>
    <n v="1981"/>
    <x v="0"/>
    <s v="Male"/>
    <n v="45"/>
    <n v="2"/>
    <x v="0"/>
    <x v="4"/>
    <x v="2"/>
    <s v="Single"/>
    <n v="4617"/>
    <n v="14120"/>
    <n v="1"/>
    <s v="Y"/>
    <s v="No"/>
    <n v="12"/>
    <n v="3"/>
    <n v="2"/>
    <n v="80"/>
    <n v="0"/>
    <n v="4"/>
    <n v="2"/>
    <n v="2"/>
    <x v="9"/>
    <n v="3"/>
    <n v="1"/>
    <n v="2"/>
    <s v="18-25"/>
    <s v="Medium"/>
    <s v="3-5"/>
    <s v="Junior"/>
    <s v="Standard"/>
    <s v="High"/>
    <x v="0"/>
  </r>
  <r>
    <n v="23"/>
    <x v="1"/>
    <s v="Travel_Rarely"/>
    <n v="571"/>
    <x v="1"/>
    <n v="12"/>
    <n v="2"/>
    <s v="Other"/>
    <n v="1"/>
    <n v="1982"/>
    <x v="2"/>
    <s v="Male"/>
    <n v="78"/>
    <n v="3"/>
    <x v="1"/>
    <x v="2"/>
    <x v="0"/>
    <s v="Single"/>
    <n v="2647"/>
    <n v="13672"/>
    <n v="1"/>
    <s v="Y"/>
    <s v="No"/>
    <n v="13"/>
    <n v="3"/>
    <n v="3"/>
    <n v="80"/>
    <n v="0"/>
    <n v="5"/>
    <n v="6"/>
    <n v="4"/>
    <x v="8"/>
    <n v="2"/>
    <n v="1"/>
    <n v="4"/>
    <s v="18-25"/>
    <s v="Low"/>
    <s v="3-5"/>
    <s v="Junior"/>
    <s v="Standard"/>
    <s v="High"/>
    <x v="0"/>
  </r>
  <r>
    <n v="40"/>
    <x v="1"/>
    <s v="Travel_Frequently"/>
    <n v="692"/>
    <x v="1"/>
    <n v="11"/>
    <n v="3"/>
    <s v="Technical Degree"/>
    <n v="1"/>
    <n v="1985"/>
    <x v="2"/>
    <s v="Female"/>
    <n v="73"/>
    <n v="3"/>
    <x v="0"/>
    <x v="2"/>
    <x v="2"/>
    <s v="Married"/>
    <n v="6323"/>
    <n v="26849"/>
    <n v="1"/>
    <s v="Y"/>
    <s v="No"/>
    <n v="11"/>
    <n v="3"/>
    <n v="1"/>
    <n v="80"/>
    <n v="1"/>
    <n v="10"/>
    <n v="2"/>
    <n v="4"/>
    <x v="1"/>
    <n v="9"/>
    <n v="9"/>
    <n v="4"/>
    <s v="36-45"/>
    <s v="High"/>
    <s v="6-10"/>
    <s v="Mid-Level"/>
    <s v="Standard"/>
    <s v="High"/>
    <x v="0"/>
  </r>
  <r>
    <n v="40"/>
    <x v="1"/>
    <s v="Travel_Rarely"/>
    <n v="444"/>
    <x v="0"/>
    <n v="2"/>
    <n v="2"/>
    <s v="Marketing"/>
    <n v="1"/>
    <n v="1986"/>
    <x v="0"/>
    <s v="Female"/>
    <n v="92"/>
    <n v="3"/>
    <x v="0"/>
    <x v="0"/>
    <x v="1"/>
    <s v="Married"/>
    <n v="5677"/>
    <n v="4258"/>
    <n v="3"/>
    <s v="Y"/>
    <s v="No"/>
    <n v="14"/>
    <n v="3"/>
    <n v="3"/>
    <n v="80"/>
    <n v="1"/>
    <n v="15"/>
    <n v="4"/>
    <n v="3"/>
    <x v="19"/>
    <n v="8"/>
    <n v="5"/>
    <n v="10"/>
    <s v="36-45"/>
    <s v="Medium"/>
    <s v="11-15"/>
    <s v="Mid-Level"/>
    <s v="Standard"/>
    <s v="Low"/>
    <x v="0"/>
  </r>
  <r>
    <n v="25"/>
    <x v="1"/>
    <s v="Travel_Rarely"/>
    <n v="309"/>
    <x v="2"/>
    <n v="2"/>
    <n v="3"/>
    <s v="Human Resources"/>
    <n v="1"/>
    <n v="1987"/>
    <x v="1"/>
    <s v="Female"/>
    <n v="82"/>
    <n v="3"/>
    <x v="1"/>
    <x v="8"/>
    <x v="1"/>
    <s v="Married"/>
    <n v="2187"/>
    <n v="19655"/>
    <n v="4"/>
    <s v="Y"/>
    <s v="No"/>
    <n v="14"/>
    <n v="3"/>
    <n v="3"/>
    <n v="80"/>
    <n v="0"/>
    <n v="6"/>
    <n v="3"/>
    <n v="3"/>
    <x v="4"/>
    <n v="0"/>
    <n v="1"/>
    <n v="2"/>
    <s v="18-25"/>
    <s v="Low"/>
    <s v="0-2"/>
    <s v="Mid-Level"/>
    <s v="Standard"/>
    <s v="Low"/>
    <x v="0"/>
  </r>
  <r>
    <n v="30"/>
    <x v="1"/>
    <s v="Travel_Rarely"/>
    <n v="911"/>
    <x v="1"/>
    <n v="1"/>
    <n v="2"/>
    <s v="Medical"/>
    <n v="1"/>
    <n v="1989"/>
    <x v="2"/>
    <s v="Male"/>
    <n v="76"/>
    <n v="3"/>
    <x v="1"/>
    <x v="2"/>
    <x v="1"/>
    <s v="Married"/>
    <n v="3748"/>
    <n v="4077"/>
    <n v="1"/>
    <s v="Y"/>
    <s v="No"/>
    <n v="13"/>
    <n v="3"/>
    <n v="3"/>
    <n v="80"/>
    <n v="0"/>
    <n v="12"/>
    <n v="6"/>
    <n v="2"/>
    <x v="12"/>
    <n v="8"/>
    <n v="1"/>
    <n v="7"/>
    <s v="26-35"/>
    <s v="Medium"/>
    <s v="11-15"/>
    <s v="Mid-Level"/>
    <s v="Standard"/>
    <s v="Low"/>
    <x v="0"/>
  </r>
  <r>
    <n v="25"/>
    <x v="1"/>
    <s v="Travel_Rarely"/>
    <n v="977"/>
    <x v="1"/>
    <n v="2"/>
    <n v="1"/>
    <s v="Other"/>
    <n v="1"/>
    <n v="1992"/>
    <x v="2"/>
    <s v="Male"/>
    <n v="57"/>
    <n v="3"/>
    <x v="1"/>
    <x v="2"/>
    <x v="2"/>
    <s v="Divorced"/>
    <n v="3977"/>
    <n v="7298"/>
    <n v="6"/>
    <s v="Y"/>
    <s v="Yes"/>
    <n v="19"/>
    <n v="3"/>
    <n v="3"/>
    <n v="80"/>
    <n v="1"/>
    <n v="7"/>
    <n v="2"/>
    <n v="2"/>
    <x v="4"/>
    <n v="2"/>
    <n v="0"/>
    <n v="2"/>
    <s v="18-25"/>
    <s v="Medium"/>
    <s v="0-2"/>
    <s v="Mid-Level"/>
    <s v="Standard"/>
    <s v="High"/>
    <x v="0"/>
  </r>
  <r>
    <n v="47"/>
    <x v="1"/>
    <s v="Travel_Rarely"/>
    <n v="1180"/>
    <x v="1"/>
    <n v="25"/>
    <n v="3"/>
    <s v="Medical"/>
    <n v="1"/>
    <n v="1993"/>
    <x v="3"/>
    <s v="Male"/>
    <n v="84"/>
    <n v="3"/>
    <x v="2"/>
    <x v="4"/>
    <x v="2"/>
    <s v="Single"/>
    <n v="8633"/>
    <n v="13084"/>
    <n v="2"/>
    <s v="Y"/>
    <s v="No"/>
    <n v="23"/>
    <n v="4"/>
    <n v="2"/>
    <n v="80"/>
    <n v="0"/>
    <n v="25"/>
    <n v="3"/>
    <n v="3"/>
    <x v="18"/>
    <n v="14"/>
    <n v="12"/>
    <n v="11"/>
    <s v="46-55"/>
    <s v="High"/>
    <s v="16+"/>
    <s v="Senior"/>
    <s v="Excellent"/>
    <s v="High"/>
    <x v="0"/>
  </r>
  <r>
    <n v="33"/>
    <x v="1"/>
    <s v="Non-Travel"/>
    <n v="1313"/>
    <x v="1"/>
    <n v="1"/>
    <n v="2"/>
    <s v="Medical"/>
    <n v="1"/>
    <n v="1994"/>
    <x v="0"/>
    <s v="Male"/>
    <n v="59"/>
    <n v="2"/>
    <x v="1"/>
    <x v="2"/>
    <x v="2"/>
    <s v="Divorced"/>
    <n v="2008"/>
    <n v="20439"/>
    <n v="1"/>
    <s v="Y"/>
    <s v="No"/>
    <n v="12"/>
    <n v="3"/>
    <n v="3"/>
    <n v="80"/>
    <n v="3"/>
    <n v="1"/>
    <n v="2"/>
    <n v="2"/>
    <x v="6"/>
    <n v="1"/>
    <n v="0"/>
    <n v="0"/>
    <s v="26-35"/>
    <s v="Low"/>
    <s v="0-2"/>
    <s v="Junior"/>
    <s v="Standard"/>
    <s v="High"/>
    <x v="0"/>
  </r>
  <r>
    <n v="38"/>
    <x v="1"/>
    <s v="Travel_Rarely"/>
    <n v="1321"/>
    <x v="0"/>
    <n v="1"/>
    <n v="4"/>
    <s v="Life Sciences"/>
    <n v="1"/>
    <n v="1995"/>
    <x v="2"/>
    <s v="Male"/>
    <n v="86"/>
    <n v="3"/>
    <x v="0"/>
    <x v="0"/>
    <x v="1"/>
    <s v="Married"/>
    <n v="4440"/>
    <n v="7636"/>
    <n v="0"/>
    <s v="Y"/>
    <s v="No"/>
    <n v="15"/>
    <n v="3"/>
    <n v="1"/>
    <n v="80"/>
    <n v="2"/>
    <n v="16"/>
    <n v="3"/>
    <n v="3"/>
    <x v="15"/>
    <n v="13"/>
    <n v="5"/>
    <n v="8"/>
    <s v="36-45"/>
    <s v="Medium"/>
    <s v="11-15"/>
    <s v="Senior"/>
    <s v="Standard"/>
    <s v="Low"/>
    <x v="0"/>
  </r>
  <r>
    <n v="31"/>
    <x v="1"/>
    <s v="Travel_Rarely"/>
    <n v="1154"/>
    <x v="0"/>
    <n v="2"/>
    <n v="2"/>
    <s v="Life Sciences"/>
    <n v="1"/>
    <n v="1996"/>
    <x v="3"/>
    <s v="Male"/>
    <n v="54"/>
    <n v="3"/>
    <x v="1"/>
    <x v="6"/>
    <x v="2"/>
    <s v="Married"/>
    <n v="3067"/>
    <n v="6393"/>
    <n v="0"/>
    <s v="Y"/>
    <s v="No"/>
    <n v="19"/>
    <n v="3"/>
    <n v="3"/>
    <n v="80"/>
    <n v="1"/>
    <n v="3"/>
    <n v="1"/>
    <n v="3"/>
    <x v="4"/>
    <n v="2"/>
    <n v="1"/>
    <n v="2"/>
    <s v="26-35"/>
    <s v="Medium"/>
    <s v="0-2"/>
    <s v="Junior"/>
    <s v="Standard"/>
    <s v="High"/>
    <x v="0"/>
  </r>
  <r>
    <n v="38"/>
    <x v="1"/>
    <s v="Travel_Frequently"/>
    <n v="508"/>
    <x v="1"/>
    <n v="6"/>
    <n v="4"/>
    <s v="Life Sciences"/>
    <n v="1"/>
    <n v="1997"/>
    <x v="3"/>
    <s v="Male"/>
    <n v="72"/>
    <n v="2"/>
    <x v="0"/>
    <x v="3"/>
    <x v="2"/>
    <s v="Married"/>
    <n v="5321"/>
    <n v="14284"/>
    <n v="2"/>
    <s v="Y"/>
    <s v="No"/>
    <n v="11"/>
    <n v="3"/>
    <n v="4"/>
    <n v="80"/>
    <n v="1"/>
    <n v="10"/>
    <n v="1"/>
    <n v="3"/>
    <x v="3"/>
    <n v="3"/>
    <n v="7"/>
    <n v="7"/>
    <s v="36-45"/>
    <s v="Medium"/>
    <s v="6-10"/>
    <s v="Mid-Level"/>
    <s v="Standard"/>
    <s v="High"/>
    <x v="0"/>
  </r>
  <r>
    <n v="42"/>
    <x v="1"/>
    <s v="Travel_Rarely"/>
    <n v="557"/>
    <x v="1"/>
    <n v="18"/>
    <n v="4"/>
    <s v="Life Sciences"/>
    <n v="1"/>
    <n v="1998"/>
    <x v="2"/>
    <s v="Male"/>
    <n v="35"/>
    <n v="3"/>
    <x v="0"/>
    <x v="1"/>
    <x v="3"/>
    <s v="Divorced"/>
    <n v="5410"/>
    <n v="11189"/>
    <n v="6"/>
    <s v="Y"/>
    <s v="Yes"/>
    <n v="17"/>
    <n v="3"/>
    <n v="3"/>
    <n v="80"/>
    <n v="1"/>
    <n v="9"/>
    <n v="3"/>
    <n v="2"/>
    <x v="9"/>
    <n v="3"/>
    <n v="1"/>
    <n v="2"/>
    <s v="36-45"/>
    <s v="Medium"/>
    <s v="3-5"/>
    <s v="Mid-Level"/>
    <s v="Standard"/>
    <s v="Low"/>
    <x v="0"/>
  </r>
  <r>
    <n v="41"/>
    <x v="1"/>
    <s v="Travel_Rarely"/>
    <n v="642"/>
    <x v="1"/>
    <n v="1"/>
    <n v="3"/>
    <s v="Life Sciences"/>
    <n v="1"/>
    <n v="1999"/>
    <x v="2"/>
    <s v="Male"/>
    <n v="76"/>
    <n v="3"/>
    <x v="1"/>
    <x v="1"/>
    <x v="0"/>
    <s v="Married"/>
    <n v="2782"/>
    <n v="21412"/>
    <n v="3"/>
    <s v="Y"/>
    <s v="No"/>
    <n v="22"/>
    <n v="4"/>
    <n v="1"/>
    <n v="80"/>
    <n v="1"/>
    <n v="12"/>
    <n v="3"/>
    <n v="3"/>
    <x v="8"/>
    <n v="3"/>
    <n v="1"/>
    <n v="0"/>
    <s v="36-45"/>
    <s v="Low"/>
    <s v="3-5"/>
    <s v="Mid-Level"/>
    <s v="Excellent"/>
    <s v="High"/>
    <x v="0"/>
  </r>
  <r>
    <n v="47"/>
    <x v="1"/>
    <s v="Non-Travel"/>
    <n v="1162"/>
    <x v="1"/>
    <n v="1"/>
    <n v="1"/>
    <s v="Medical"/>
    <n v="1"/>
    <n v="2000"/>
    <x v="1"/>
    <s v="Female"/>
    <n v="98"/>
    <n v="3"/>
    <x v="2"/>
    <x v="7"/>
    <x v="1"/>
    <s v="Married"/>
    <n v="11957"/>
    <n v="17231"/>
    <n v="0"/>
    <s v="Y"/>
    <s v="No"/>
    <n v="18"/>
    <n v="3"/>
    <n v="1"/>
    <n v="80"/>
    <n v="2"/>
    <n v="14"/>
    <n v="3"/>
    <n v="1"/>
    <x v="20"/>
    <n v="8"/>
    <n v="5"/>
    <n v="12"/>
    <s v="46-55"/>
    <s v="Very High"/>
    <s v="11-15"/>
    <s v="Mid-Level"/>
    <s v="Standard"/>
    <s v="Low"/>
    <x v="0"/>
  </r>
  <r>
    <n v="35"/>
    <x v="1"/>
    <s v="Travel_Rarely"/>
    <n v="1490"/>
    <x v="1"/>
    <n v="11"/>
    <n v="4"/>
    <s v="Medical"/>
    <n v="1"/>
    <n v="2003"/>
    <x v="2"/>
    <s v="Male"/>
    <n v="43"/>
    <n v="3"/>
    <x v="1"/>
    <x v="2"/>
    <x v="2"/>
    <s v="Married"/>
    <n v="2660"/>
    <n v="20232"/>
    <n v="7"/>
    <s v="Y"/>
    <s v="Yes"/>
    <n v="11"/>
    <n v="3"/>
    <n v="3"/>
    <n v="80"/>
    <n v="1"/>
    <n v="5"/>
    <n v="3"/>
    <n v="3"/>
    <x v="4"/>
    <n v="2"/>
    <n v="2"/>
    <n v="2"/>
    <s v="26-35"/>
    <s v="Low"/>
    <s v="0-2"/>
    <s v="Junior"/>
    <s v="Standard"/>
    <s v="High"/>
    <x v="0"/>
  </r>
  <r>
    <n v="22"/>
    <x v="1"/>
    <s v="Travel_Rarely"/>
    <n v="581"/>
    <x v="1"/>
    <n v="1"/>
    <n v="2"/>
    <s v="Life Sciences"/>
    <n v="1"/>
    <n v="2007"/>
    <x v="2"/>
    <s v="Male"/>
    <n v="63"/>
    <n v="3"/>
    <x v="1"/>
    <x v="1"/>
    <x v="2"/>
    <s v="Single"/>
    <n v="3375"/>
    <n v="17624"/>
    <n v="0"/>
    <s v="Y"/>
    <s v="No"/>
    <n v="12"/>
    <n v="3"/>
    <n v="4"/>
    <n v="80"/>
    <n v="0"/>
    <n v="4"/>
    <n v="2"/>
    <n v="4"/>
    <x v="11"/>
    <n v="2"/>
    <n v="1"/>
    <n v="2"/>
    <s v="18-25"/>
    <s v="Medium"/>
    <s v="3-5"/>
    <s v="Junior"/>
    <s v="Standard"/>
    <s v="High"/>
    <x v="0"/>
  </r>
  <r>
    <n v="35"/>
    <x v="1"/>
    <s v="Travel_Rarely"/>
    <n v="1395"/>
    <x v="1"/>
    <n v="9"/>
    <n v="4"/>
    <s v="Medical"/>
    <n v="1"/>
    <n v="2008"/>
    <x v="0"/>
    <s v="Male"/>
    <n v="48"/>
    <n v="3"/>
    <x v="0"/>
    <x v="1"/>
    <x v="2"/>
    <s v="Single"/>
    <n v="5098"/>
    <n v="18698"/>
    <n v="1"/>
    <s v="Y"/>
    <s v="No"/>
    <n v="19"/>
    <n v="3"/>
    <n v="2"/>
    <n v="80"/>
    <n v="0"/>
    <n v="10"/>
    <n v="5"/>
    <n v="3"/>
    <x v="1"/>
    <n v="7"/>
    <n v="0"/>
    <n v="8"/>
    <s v="26-35"/>
    <s v="Medium"/>
    <s v="6-10"/>
    <s v="Mid-Level"/>
    <s v="Standard"/>
    <s v="High"/>
    <x v="0"/>
  </r>
  <r>
    <n v="33"/>
    <x v="1"/>
    <s v="Travel_Rarely"/>
    <n v="501"/>
    <x v="1"/>
    <n v="15"/>
    <n v="2"/>
    <s v="Medical"/>
    <n v="1"/>
    <n v="2009"/>
    <x v="0"/>
    <s v="Female"/>
    <n v="95"/>
    <n v="3"/>
    <x v="0"/>
    <x v="4"/>
    <x v="0"/>
    <s v="Married"/>
    <n v="4878"/>
    <n v="21653"/>
    <n v="0"/>
    <s v="Y"/>
    <s v="Yes"/>
    <n v="13"/>
    <n v="3"/>
    <n v="1"/>
    <n v="80"/>
    <n v="1"/>
    <n v="10"/>
    <n v="6"/>
    <n v="3"/>
    <x v="7"/>
    <n v="7"/>
    <n v="8"/>
    <n v="1"/>
    <s v="26-35"/>
    <s v="Medium"/>
    <s v="6-10"/>
    <s v="Mid-Level"/>
    <s v="Standard"/>
    <s v="High"/>
    <x v="0"/>
  </r>
  <r>
    <n v="32"/>
    <x v="1"/>
    <s v="Travel_Rarely"/>
    <n v="267"/>
    <x v="1"/>
    <n v="29"/>
    <n v="4"/>
    <s v="Life Sciences"/>
    <n v="1"/>
    <n v="2010"/>
    <x v="1"/>
    <s v="Female"/>
    <n v="49"/>
    <n v="2"/>
    <x v="1"/>
    <x v="2"/>
    <x v="1"/>
    <s v="Single"/>
    <n v="2837"/>
    <n v="15919"/>
    <n v="1"/>
    <s v="Y"/>
    <s v="No"/>
    <n v="13"/>
    <n v="3"/>
    <n v="3"/>
    <n v="80"/>
    <n v="0"/>
    <n v="6"/>
    <n v="3"/>
    <n v="3"/>
    <x v="0"/>
    <n v="2"/>
    <n v="4"/>
    <n v="1"/>
    <s v="26-35"/>
    <s v="Low"/>
    <s v="6-10"/>
    <s v="Mid-Level"/>
    <s v="Standard"/>
    <s v="Low"/>
    <x v="0"/>
  </r>
  <r>
    <n v="40"/>
    <x v="1"/>
    <s v="Travel_Rarely"/>
    <n v="543"/>
    <x v="1"/>
    <n v="1"/>
    <n v="4"/>
    <s v="Life Sciences"/>
    <n v="1"/>
    <n v="2012"/>
    <x v="3"/>
    <s v="Male"/>
    <n v="83"/>
    <n v="3"/>
    <x v="1"/>
    <x v="2"/>
    <x v="0"/>
    <s v="Married"/>
    <n v="2406"/>
    <n v="4060"/>
    <n v="8"/>
    <s v="Y"/>
    <s v="No"/>
    <n v="19"/>
    <n v="3"/>
    <n v="3"/>
    <n v="80"/>
    <n v="2"/>
    <n v="8"/>
    <n v="3"/>
    <n v="2"/>
    <x v="6"/>
    <n v="0"/>
    <n v="0"/>
    <n v="0"/>
    <s v="36-45"/>
    <s v="Low"/>
    <s v="0-2"/>
    <s v="Mid-Level"/>
    <s v="Standard"/>
    <s v="High"/>
    <x v="0"/>
  </r>
  <r>
    <n v="32"/>
    <x v="1"/>
    <s v="Travel_Rarely"/>
    <n v="234"/>
    <x v="0"/>
    <n v="1"/>
    <n v="4"/>
    <s v="Medical"/>
    <n v="1"/>
    <n v="2013"/>
    <x v="0"/>
    <s v="Male"/>
    <n v="68"/>
    <n v="2"/>
    <x v="1"/>
    <x v="6"/>
    <x v="1"/>
    <s v="Married"/>
    <n v="2269"/>
    <n v="18024"/>
    <n v="0"/>
    <s v="Y"/>
    <s v="No"/>
    <n v="14"/>
    <n v="3"/>
    <n v="2"/>
    <n v="80"/>
    <n v="1"/>
    <n v="3"/>
    <n v="2"/>
    <n v="3"/>
    <x v="4"/>
    <n v="2"/>
    <n v="2"/>
    <n v="2"/>
    <s v="26-35"/>
    <s v="Low"/>
    <s v="0-2"/>
    <s v="Junior"/>
    <s v="Standard"/>
    <s v="Low"/>
    <x v="0"/>
  </r>
  <r>
    <n v="39"/>
    <x v="1"/>
    <s v="Travel_Rarely"/>
    <n v="116"/>
    <x v="1"/>
    <n v="24"/>
    <n v="1"/>
    <s v="Life Sciences"/>
    <n v="1"/>
    <n v="2014"/>
    <x v="3"/>
    <s v="Male"/>
    <n v="52"/>
    <n v="3"/>
    <x v="0"/>
    <x v="1"/>
    <x v="0"/>
    <s v="Single"/>
    <n v="4108"/>
    <n v="5340"/>
    <n v="7"/>
    <s v="Y"/>
    <s v="No"/>
    <n v="13"/>
    <n v="3"/>
    <n v="1"/>
    <n v="80"/>
    <n v="0"/>
    <n v="18"/>
    <n v="2"/>
    <n v="3"/>
    <x v="5"/>
    <n v="7"/>
    <n v="1"/>
    <n v="7"/>
    <s v="36-45"/>
    <s v="Medium"/>
    <s v="6-10"/>
    <s v="Senior"/>
    <s v="Standard"/>
    <s v="High"/>
    <x v="0"/>
  </r>
  <r>
    <n v="38"/>
    <x v="1"/>
    <s v="Travel_Rarely"/>
    <n v="201"/>
    <x v="1"/>
    <n v="10"/>
    <n v="3"/>
    <s v="Medical"/>
    <n v="1"/>
    <n v="2015"/>
    <x v="0"/>
    <s v="Female"/>
    <n v="99"/>
    <n v="1"/>
    <x v="2"/>
    <x v="7"/>
    <x v="2"/>
    <s v="Married"/>
    <n v="13206"/>
    <n v="3376"/>
    <n v="3"/>
    <s v="Y"/>
    <s v="No"/>
    <n v="12"/>
    <n v="3"/>
    <n v="1"/>
    <n v="80"/>
    <n v="1"/>
    <n v="20"/>
    <n v="3"/>
    <n v="3"/>
    <x v="29"/>
    <n v="16"/>
    <n v="1"/>
    <n v="11"/>
    <s v="36-45"/>
    <s v="Very High"/>
    <s v="16+"/>
    <s v="Senior"/>
    <s v="Standard"/>
    <s v="High"/>
    <x v="0"/>
  </r>
  <r>
    <n v="32"/>
    <x v="1"/>
    <s v="Travel_Rarely"/>
    <n v="801"/>
    <x v="0"/>
    <n v="1"/>
    <n v="4"/>
    <s v="Marketing"/>
    <n v="1"/>
    <n v="2016"/>
    <x v="1"/>
    <s v="Female"/>
    <n v="48"/>
    <n v="3"/>
    <x v="2"/>
    <x v="0"/>
    <x v="0"/>
    <s v="Married"/>
    <n v="10422"/>
    <n v="24032"/>
    <n v="1"/>
    <s v="Y"/>
    <s v="No"/>
    <n v="19"/>
    <n v="3"/>
    <n v="3"/>
    <n v="80"/>
    <n v="2"/>
    <n v="14"/>
    <n v="3"/>
    <n v="3"/>
    <x v="13"/>
    <n v="10"/>
    <n v="5"/>
    <n v="7"/>
    <s v="26-35"/>
    <s v="Very High"/>
    <s v="11-15"/>
    <s v="Mid-Level"/>
    <s v="Standard"/>
    <s v="High"/>
    <x v="0"/>
  </r>
  <r>
    <n v="37"/>
    <x v="1"/>
    <s v="Travel_Rarely"/>
    <n v="161"/>
    <x v="1"/>
    <n v="10"/>
    <n v="3"/>
    <s v="Life Sciences"/>
    <n v="1"/>
    <n v="2017"/>
    <x v="1"/>
    <s v="Female"/>
    <n v="42"/>
    <n v="4"/>
    <x v="2"/>
    <x v="7"/>
    <x v="0"/>
    <s v="Married"/>
    <n v="13744"/>
    <n v="15471"/>
    <n v="1"/>
    <s v="Y"/>
    <s v="Yes"/>
    <n v="25"/>
    <n v="4"/>
    <n v="1"/>
    <n v="80"/>
    <n v="1"/>
    <n v="16"/>
    <n v="2"/>
    <n v="3"/>
    <x v="22"/>
    <n v="11"/>
    <n v="6"/>
    <n v="8"/>
    <s v="36-45"/>
    <s v="Very High"/>
    <s v="16+"/>
    <s v="Senior"/>
    <s v="Excellent"/>
    <s v="High"/>
    <x v="0"/>
  </r>
  <r>
    <n v="25"/>
    <x v="1"/>
    <s v="Travel_Rarely"/>
    <n v="1382"/>
    <x v="0"/>
    <n v="8"/>
    <n v="2"/>
    <s v="Other"/>
    <n v="1"/>
    <n v="2018"/>
    <x v="3"/>
    <s v="Female"/>
    <n v="85"/>
    <n v="3"/>
    <x v="0"/>
    <x v="0"/>
    <x v="2"/>
    <s v="Divorced"/>
    <n v="4907"/>
    <n v="13684"/>
    <n v="0"/>
    <s v="Y"/>
    <s v="Yes"/>
    <n v="22"/>
    <n v="4"/>
    <n v="2"/>
    <n v="80"/>
    <n v="1"/>
    <n v="6"/>
    <n v="3"/>
    <n v="2"/>
    <x v="8"/>
    <n v="3"/>
    <n v="0"/>
    <n v="4"/>
    <s v="18-25"/>
    <s v="Medium"/>
    <s v="3-5"/>
    <s v="Mid-Level"/>
    <s v="Excellent"/>
    <s v="High"/>
    <x v="0"/>
  </r>
  <r>
    <n v="52"/>
    <x v="1"/>
    <s v="Non-Travel"/>
    <n v="585"/>
    <x v="0"/>
    <n v="29"/>
    <n v="4"/>
    <s v="Life Sciences"/>
    <n v="1"/>
    <n v="2019"/>
    <x v="3"/>
    <s v="Male"/>
    <n v="40"/>
    <n v="3"/>
    <x v="1"/>
    <x v="6"/>
    <x v="0"/>
    <s v="Divorced"/>
    <n v="3482"/>
    <n v="19788"/>
    <n v="2"/>
    <s v="Y"/>
    <s v="No"/>
    <n v="15"/>
    <n v="3"/>
    <n v="2"/>
    <n v="80"/>
    <n v="2"/>
    <n v="16"/>
    <n v="3"/>
    <n v="2"/>
    <x v="7"/>
    <n v="8"/>
    <n v="0"/>
    <n v="0"/>
    <s v="46-55"/>
    <s v="Medium"/>
    <s v="6-10"/>
    <s v="Senior"/>
    <s v="Standard"/>
    <s v="High"/>
    <x v="0"/>
  </r>
  <r>
    <n v="44"/>
    <x v="1"/>
    <s v="Travel_Rarely"/>
    <n v="1037"/>
    <x v="1"/>
    <n v="1"/>
    <n v="3"/>
    <s v="Medical"/>
    <n v="1"/>
    <n v="2020"/>
    <x v="0"/>
    <s v="Male"/>
    <n v="42"/>
    <n v="3"/>
    <x v="1"/>
    <x v="1"/>
    <x v="0"/>
    <s v="Single"/>
    <n v="2436"/>
    <n v="13422"/>
    <n v="6"/>
    <s v="Y"/>
    <s v="Yes"/>
    <n v="12"/>
    <n v="3"/>
    <n v="3"/>
    <n v="80"/>
    <n v="0"/>
    <n v="6"/>
    <n v="2"/>
    <n v="3"/>
    <x v="9"/>
    <n v="3"/>
    <n v="1"/>
    <n v="2"/>
    <s v="36-45"/>
    <s v="Low"/>
    <s v="3-5"/>
    <s v="Mid-Level"/>
    <s v="Standard"/>
    <s v="High"/>
    <x v="0"/>
  </r>
  <r>
    <n v="21"/>
    <x v="1"/>
    <s v="Travel_Rarely"/>
    <n v="501"/>
    <x v="0"/>
    <n v="5"/>
    <n v="1"/>
    <s v="Medical"/>
    <n v="1"/>
    <n v="2021"/>
    <x v="1"/>
    <s v="Male"/>
    <n v="58"/>
    <n v="3"/>
    <x v="1"/>
    <x v="6"/>
    <x v="3"/>
    <s v="Single"/>
    <n v="2380"/>
    <n v="25479"/>
    <n v="1"/>
    <s v="Y"/>
    <s v="Yes"/>
    <n v="11"/>
    <n v="3"/>
    <n v="4"/>
    <n v="80"/>
    <n v="0"/>
    <n v="2"/>
    <n v="6"/>
    <n v="3"/>
    <x v="4"/>
    <n v="2"/>
    <n v="1"/>
    <n v="2"/>
    <s v="18-25"/>
    <s v="Low"/>
    <s v="0-2"/>
    <s v="Junior"/>
    <s v="Standard"/>
    <s v="Low"/>
    <x v="1"/>
  </r>
  <r>
    <n v="39"/>
    <x v="1"/>
    <s v="Non-Travel"/>
    <n v="105"/>
    <x v="1"/>
    <n v="9"/>
    <n v="3"/>
    <s v="Life Sciences"/>
    <n v="1"/>
    <n v="2022"/>
    <x v="2"/>
    <s v="Male"/>
    <n v="87"/>
    <n v="3"/>
    <x v="4"/>
    <x v="5"/>
    <x v="0"/>
    <s v="Single"/>
    <n v="19431"/>
    <n v="15302"/>
    <n v="2"/>
    <s v="Y"/>
    <s v="No"/>
    <n v="13"/>
    <n v="3"/>
    <n v="3"/>
    <n v="80"/>
    <n v="0"/>
    <n v="21"/>
    <n v="3"/>
    <n v="2"/>
    <x v="0"/>
    <n v="0"/>
    <n v="1"/>
    <n v="3"/>
    <s v="36-45"/>
    <s v="Very High"/>
    <s v="6-10"/>
    <s v="Senior"/>
    <s v="Standard"/>
    <s v="High"/>
    <x v="0"/>
  </r>
  <r>
    <n v="23"/>
    <x v="0"/>
    <s v="Travel_Frequently"/>
    <n v="638"/>
    <x v="0"/>
    <n v="9"/>
    <n v="3"/>
    <s v="Marketing"/>
    <n v="1"/>
    <n v="2023"/>
    <x v="2"/>
    <s v="Male"/>
    <n v="33"/>
    <n v="3"/>
    <x v="1"/>
    <x v="6"/>
    <x v="3"/>
    <s v="Married"/>
    <n v="1790"/>
    <n v="26956"/>
    <n v="1"/>
    <s v="Y"/>
    <s v="No"/>
    <n v="19"/>
    <n v="3"/>
    <n v="1"/>
    <n v="80"/>
    <n v="1"/>
    <n v="1"/>
    <n v="3"/>
    <n v="2"/>
    <x v="6"/>
    <n v="0"/>
    <n v="1"/>
    <n v="0"/>
    <s v="18-25"/>
    <s v="Low"/>
    <s v="0-2"/>
    <s v="Junior"/>
    <s v="Standard"/>
    <s v="Low"/>
    <x v="0"/>
  </r>
  <r>
    <n v="36"/>
    <x v="1"/>
    <s v="Travel_Rarely"/>
    <n v="557"/>
    <x v="0"/>
    <n v="3"/>
    <n v="3"/>
    <s v="Medical"/>
    <n v="1"/>
    <n v="2024"/>
    <x v="3"/>
    <s v="Female"/>
    <n v="94"/>
    <n v="2"/>
    <x v="2"/>
    <x v="0"/>
    <x v="0"/>
    <s v="Married"/>
    <n v="7644"/>
    <n v="12695"/>
    <n v="0"/>
    <s v="Y"/>
    <s v="No"/>
    <n v="19"/>
    <n v="3"/>
    <n v="3"/>
    <n v="80"/>
    <n v="2"/>
    <n v="10"/>
    <n v="2"/>
    <n v="3"/>
    <x v="7"/>
    <n v="7"/>
    <n v="3"/>
    <n v="4"/>
    <s v="36-45"/>
    <s v="High"/>
    <s v="6-10"/>
    <s v="Mid-Level"/>
    <s v="Standard"/>
    <s v="High"/>
    <x v="0"/>
  </r>
  <r>
    <n v="36"/>
    <x v="1"/>
    <s v="Travel_Frequently"/>
    <n v="688"/>
    <x v="1"/>
    <n v="4"/>
    <n v="2"/>
    <s v="Life Sciences"/>
    <n v="1"/>
    <n v="2025"/>
    <x v="2"/>
    <s v="Female"/>
    <n v="97"/>
    <n v="3"/>
    <x v="0"/>
    <x v="3"/>
    <x v="1"/>
    <s v="Divorced"/>
    <n v="5131"/>
    <n v="9192"/>
    <n v="7"/>
    <s v="Y"/>
    <s v="No"/>
    <n v="13"/>
    <n v="3"/>
    <n v="2"/>
    <n v="80"/>
    <n v="3"/>
    <n v="18"/>
    <n v="3"/>
    <n v="3"/>
    <x v="9"/>
    <n v="2"/>
    <n v="0"/>
    <n v="2"/>
    <s v="36-45"/>
    <s v="Medium"/>
    <s v="3-5"/>
    <s v="Senior"/>
    <s v="Standard"/>
    <s v="Low"/>
    <x v="0"/>
  </r>
  <r>
    <n v="56"/>
    <x v="1"/>
    <s v="Non-Travel"/>
    <n v="667"/>
    <x v="1"/>
    <n v="1"/>
    <n v="4"/>
    <s v="Life Sciences"/>
    <n v="1"/>
    <n v="2026"/>
    <x v="1"/>
    <s v="Male"/>
    <n v="57"/>
    <n v="3"/>
    <x v="0"/>
    <x v="4"/>
    <x v="2"/>
    <s v="Divorced"/>
    <n v="6306"/>
    <n v="26236"/>
    <n v="1"/>
    <s v="Y"/>
    <s v="No"/>
    <n v="21"/>
    <n v="4"/>
    <n v="1"/>
    <n v="80"/>
    <n v="1"/>
    <n v="13"/>
    <n v="2"/>
    <n v="2"/>
    <x v="20"/>
    <n v="12"/>
    <n v="1"/>
    <n v="9"/>
    <s v="56+"/>
    <s v="High"/>
    <s v="11-15"/>
    <s v="Mid-Level"/>
    <s v="Excellent"/>
    <s v="High"/>
    <x v="0"/>
  </r>
  <r>
    <n v="29"/>
    <x v="0"/>
    <s v="Travel_Rarely"/>
    <n v="1092"/>
    <x v="1"/>
    <n v="1"/>
    <n v="4"/>
    <s v="Medical"/>
    <n v="1"/>
    <n v="2027"/>
    <x v="3"/>
    <s v="Male"/>
    <n v="36"/>
    <n v="3"/>
    <x v="1"/>
    <x v="1"/>
    <x v="0"/>
    <s v="Married"/>
    <n v="4787"/>
    <n v="26124"/>
    <n v="9"/>
    <s v="Y"/>
    <s v="Yes"/>
    <n v="14"/>
    <n v="3"/>
    <n v="2"/>
    <n v="80"/>
    <n v="3"/>
    <n v="4"/>
    <n v="3"/>
    <n v="4"/>
    <x v="4"/>
    <n v="2"/>
    <n v="2"/>
    <n v="2"/>
    <s v="26-35"/>
    <s v="Medium"/>
    <s v="0-2"/>
    <s v="Junior"/>
    <s v="Standard"/>
    <s v="High"/>
    <x v="0"/>
  </r>
  <r>
    <n v="42"/>
    <x v="1"/>
    <s v="Travel_Rarely"/>
    <n v="300"/>
    <x v="1"/>
    <n v="2"/>
    <n v="3"/>
    <s v="Life Sciences"/>
    <n v="1"/>
    <n v="2031"/>
    <x v="3"/>
    <s v="Male"/>
    <n v="56"/>
    <n v="3"/>
    <x v="4"/>
    <x v="5"/>
    <x v="2"/>
    <s v="Married"/>
    <n v="18880"/>
    <n v="17312"/>
    <n v="5"/>
    <s v="Y"/>
    <s v="No"/>
    <n v="11"/>
    <n v="3"/>
    <n v="1"/>
    <n v="80"/>
    <n v="0"/>
    <n v="24"/>
    <n v="2"/>
    <n v="2"/>
    <x v="14"/>
    <n v="6"/>
    <n v="4"/>
    <n v="14"/>
    <s v="36-45"/>
    <s v="Very High"/>
    <s v="16+"/>
    <s v="Senior"/>
    <s v="Standard"/>
    <s v="High"/>
    <x v="0"/>
  </r>
  <r>
    <n v="56"/>
    <x v="0"/>
    <s v="Travel_Rarely"/>
    <n v="310"/>
    <x v="1"/>
    <n v="7"/>
    <n v="2"/>
    <s v="Technical Degree"/>
    <n v="1"/>
    <n v="2032"/>
    <x v="2"/>
    <s v="Male"/>
    <n v="72"/>
    <n v="3"/>
    <x v="1"/>
    <x v="2"/>
    <x v="2"/>
    <s v="Married"/>
    <n v="2339"/>
    <n v="3666"/>
    <n v="8"/>
    <s v="Y"/>
    <s v="No"/>
    <n v="11"/>
    <n v="3"/>
    <n v="4"/>
    <n v="80"/>
    <n v="1"/>
    <n v="14"/>
    <n v="4"/>
    <n v="1"/>
    <x v="1"/>
    <n v="9"/>
    <n v="9"/>
    <n v="8"/>
    <s v="56+"/>
    <s v="Low"/>
    <s v="6-10"/>
    <s v="Mid-Level"/>
    <s v="Standard"/>
    <s v="High"/>
    <x v="0"/>
  </r>
  <r>
    <n v="41"/>
    <x v="1"/>
    <s v="Travel_Rarely"/>
    <n v="582"/>
    <x v="1"/>
    <n v="28"/>
    <n v="4"/>
    <s v="Life Sciences"/>
    <n v="1"/>
    <n v="2034"/>
    <x v="3"/>
    <s v="Female"/>
    <n v="60"/>
    <n v="2"/>
    <x v="3"/>
    <x v="3"/>
    <x v="1"/>
    <s v="Married"/>
    <n v="13570"/>
    <n v="5640"/>
    <n v="0"/>
    <s v="Y"/>
    <s v="No"/>
    <n v="23"/>
    <n v="4"/>
    <n v="3"/>
    <n v="80"/>
    <n v="1"/>
    <n v="21"/>
    <n v="3"/>
    <n v="3"/>
    <x v="23"/>
    <n v="7"/>
    <n v="0"/>
    <n v="10"/>
    <s v="36-45"/>
    <s v="Very High"/>
    <s v="16+"/>
    <s v="Senior"/>
    <s v="Excellent"/>
    <s v="Low"/>
    <x v="0"/>
  </r>
  <r>
    <n v="34"/>
    <x v="1"/>
    <s v="Travel_Rarely"/>
    <n v="704"/>
    <x v="0"/>
    <n v="28"/>
    <n v="3"/>
    <s v="Marketing"/>
    <n v="1"/>
    <n v="2035"/>
    <x v="2"/>
    <s v="Female"/>
    <n v="95"/>
    <n v="2"/>
    <x v="0"/>
    <x v="0"/>
    <x v="2"/>
    <s v="Married"/>
    <n v="6712"/>
    <n v="8978"/>
    <n v="1"/>
    <s v="Y"/>
    <s v="No"/>
    <n v="21"/>
    <n v="4"/>
    <n v="4"/>
    <n v="80"/>
    <n v="2"/>
    <n v="8"/>
    <n v="2"/>
    <n v="3"/>
    <x v="3"/>
    <n v="7"/>
    <n v="1"/>
    <n v="7"/>
    <s v="26-35"/>
    <s v="High"/>
    <s v="6-10"/>
    <s v="Mid-Level"/>
    <s v="Excellent"/>
    <s v="High"/>
    <x v="0"/>
  </r>
  <r>
    <n v="36"/>
    <x v="1"/>
    <s v="Non-Travel"/>
    <n v="301"/>
    <x v="0"/>
    <n v="15"/>
    <n v="4"/>
    <s v="Marketing"/>
    <n v="1"/>
    <n v="2036"/>
    <x v="2"/>
    <s v="Male"/>
    <n v="88"/>
    <n v="1"/>
    <x v="0"/>
    <x v="0"/>
    <x v="0"/>
    <s v="Divorced"/>
    <n v="5406"/>
    <n v="10436"/>
    <n v="1"/>
    <s v="Y"/>
    <s v="No"/>
    <n v="24"/>
    <n v="4"/>
    <n v="1"/>
    <n v="80"/>
    <n v="1"/>
    <n v="15"/>
    <n v="4"/>
    <n v="2"/>
    <x v="15"/>
    <n v="12"/>
    <n v="11"/>
    <n v="11"/>
    <s v="36-45"/>
    <s v="Medium"/>
    <s v="11-15"/>
    <s v="Mid-Level"/>
    <s v="Excellent"/>
    <s v="High"/>
    <x v="0"/>
  </r>
  <r>
    <n v="41"/>
    <x v="1"/>
    <s v="Travel_Rarely"/>
    <n v="930"/>
    <x v="0"/>
    <n v="3"/>
    <n v="3"/>
    <s v="Life Sciences"/>
    <n v="1"/>
    <n v="2037"/>
    <x v="1"/>
    <s v="Male"/>
    <n v="57"/>
    <n v="2"/>
    <x v="0"/>
    <x v="0"/>
    <x v="1"/>
    <s v="Divorced"/>
    <n v="8938"/>
    <n v="12227"/>
    <n v="2"/>
    <s v="Y"/>
    <s v="No"/>
    <n v="11"/>
    <n v="3"/>
    <n v="3"/>
    <n v="80"/>
    <n v="1"/>
    <n v="14"/>
    <n v="5"/>
    <n v="3"/>
    <x v="8"/>
    <n v="4"/>
    <n v="0"/>
    <n v="4"/>
    <s v="36-45"/>
    <s v="High"/>
    <s v="3-5"/>
    <s v="Mid-Level"/>
    <s v="Standard"/>
    <s v="Low"/>
    <x v="0"/>
  </r>
  <r>
    <n v="32"/>
    <x v="1"/>
    <s v="Travel_Rarely"/>
    <n v="529"/>
    <x v="1"/>
    <n v="2"/>
    <n v="3"/>
    <s v="Technical Degree"/>
    <n v="1"/>
    <n v="2038"/>
    <x v="2"/>
    <s v="Male"/>
    <n v="78"/>
    <n v="3"/>
    <x v="1"/>
    <x v="1"/>
    <x v="3"/>
    <s v="Single"/>
    <n v="2439"/>
    <n v="11288"/>
    <n v="1"/>
    <s v="Y"/>
    <s v="No"/>
    <n v="14"/>
    <n v="3"/>
    <n v="4"/>
    <n v="80"/>
    <n v="0"/>
    <n v="4"/>
    <n v="4"/>
    <n v="3"/>
    <x v="9"/>
    <n v="2"/>
    <n v="1"/>
    <n v="2"/>
    <s v="26-35"/>
    <s v="Low"/>
    <s v="3-5"/>
    <s v="Junior"/>
    <s v="Standard"/>
    <s v="Low"/>
    <x v="0"/>
  </r>
  <r>
    <n v="35"/>
    <x v="1"/>
    <s v="Travel_Rarely"/>
    <n v="1146"/>
    <x v="2"/>
    <n v="26"/>
    <n v="4"/>
    <s v="Life Sciences"/>
    <n v="1"/>
    <n v="2040"/>
    <x v="1"/>
    <s v="Female"/>
    <n v="31"/>
    <n v="3"/>
    <x v="2"/>
    <x v="8"/>
    <x v="0"/>
    <s v="Single"/>
    <n v="8837"/>
    <n v="16642"/>
    <n v="1"/>
    <s v="Y"/>
    <s v="Yes"/>
    <n v="16"/>
    <n v="3"/>
    <n v="3"/>
    <n v="80"/>
    <n v="0"/>
    <n v="9"/>
    <n v="2"/>
    <n v="3"/>
    <x v="7"/>
    <n v="0"/>
    <n v="1"/>
    <n v="7"/>
    <s v="26-35"/>
    <s v="High"/>
    <s v="6-10"/>
    <s v="Mid-Level"/>
    <s v="Standard"/>
    <s v="High"/>
    <x v="0"/>
  </r>
  <r>
    <n v="38"/>
    <x v="1"/>
    <s v="Travel_Rarely"/>
    <n v="345"/>
    <x v="0"/>
    <n v="10"/>
    <n v="2"/>
    <s v="Life Sciences"/>
    <n v="1"/>
    <n v="2041"/>
    <x v="3"/>
    <s v="Female"/>
    <n v="100"/>
    <n v="3"/>
    <x v="0"/>
    <x v="0"/>
    <x v="0"/>
    <s v="Married"/>
    <n v="5343"/>
    <n v="5982"/>
    <n v="1"/>
    <s v="Y"/>
    <s v="No"/>
    <n v="11"/>
    <n v="3"/>
    <n v="3"/>
    <n v="80"/>
    <n v="1"/>
    <n v="10"/>
    <n v="1"/>
    <n v="3"/>
    <x v="1"/>
    <n v="7"/>
    <n v="1"/>
    <n v="9"/>
    <s v="36-45"/>
    <s v="Medium"/>
    <s v="6-10"/>
    <s v="Mid-Level"/>
    <s v="Standard"/>
    <s v="High"/>
    <x v="0"/>
  </r>
  <r>
    <n v="50"/>
    <x v="0"/>
    <s v="Travel_Frequently"/>
    <n v="878"/>
    <x v="0"/>
    <n v="1"/>
    <n v="4"/>
    <s v="Life Sciences"/>
    <n v="1"/>
    <n v="2044"/>
    <x v="0"/>
    <s v="Male"/>
    <n v="94"/>
    <n v="3"/>
    <x v="0"/>
    <x v="0"/>
    <x v="2"/>
    <s v="Divorced"/>
    <n v="6728"/>
    <n v="14255"/>
    <n v="7"/>
    <s v="Y"/>
    <s v="No"/>
    <n v="12"/>
    <n v="3"/>
    <n v="4"/>
    <n v="80"/>
    <n v="2"/>
    <n v="12"/>
    <n v="3"/>
    <n v="3"/>
    <x v="0"/>
    <n v="3"/>
    <n v="0"/>
    <n v="1"/>
    <s v="46-55"/>
    <s v="High"/>
    <s v="6-10"/>
    <s v="Mid-Level"/>
    <s v="Standard"/>
    <s v="High"/>
    <x v="0"/>
  </r>
  <r>
    <n v="36"/>
    <x v="1"/>
    <s v="Travel_Rarely"/>
    <n v="1120"/>
    <x v="0"/>
    <n v="11"/>
    <n v="4"/>
    <s v="Marketing"/>
    <n v="1"/>
    <n v="2045"/>
    <x v="0"/>
    <s v="Female"/>
    <n v="100"/>
    <n v="2"/>
    <x v="0"/>
    <x v="0"/>
    <x v="0"/>
    <s v="Married"/>
    <n v="6652"/>
    <n v="14369"/>
    <n v="4"/>
    <s v="Y"/>
    <s v="No"/>
    <n v="13"/>
    <n v="3"/>
    <n v="1"/>
    <n v="80"/>
    <n v="1"/>
    <n v="8"/>
    <n v="2"/>
    <n v="2"/>
    <x v="0"/>
    <n v="3"/>
    <n v="0"/>
    <n v="0"/>
    <s v="36-45"/>
    <s v="High"/>
    <s v="6-10"/>
    <s v="Mid-Level"/>
    <s v="Standard"/>
    <s v="High"/>
    <x v="0"/>
  </r>
  <r>
    <n v="45"/>
    <x v="1"/>
    <s v="Travel_Rarely"/>
    <n v="374"/>
    <x v="0"/>
    <n v="20"/>
    <n v="3"/>
    <s v="Life Sciences"/>
    <n v="1"/>
    <n v="2046"/>
    <x v="2"/>
    <s v="Female"/>
    <n v="50"/>
    <n v="3"/>
    <x v="0"/>
    <x v="0"/>
    <x v="2"/>
    <s v="Single"/>
    <n v="4850"/>
    <n v="23333"/>
    <n v="8"/>
    <s v="Y"/>
    <s v="No"/>
    <n v="15"/>
    <n v="3"/>
    <n v="3"/>
    <n v="80"/>
    <n v="0"/>
    <n v="8"/>
    <n v="3"/>
    <n v="3"/>
    <x v="8"/>
    <n v="3"/>
    <n v="0"/>
    <n v="1"/>
    <s v="36-45"/>
    <s v="Medium"/>
    <s v="3-5"/>
    <s v="Mid-Level"/>
    <s v="Standard"/>
    <s v="High"/>
    <x v="0"/>
  </r>
  <r>
    <n v="40"/>
    <x v="1"/>
    <s v="Travel_Rarely"/>
    <n v="1322"/>
    <x v="1"/>
    <n v="2"/>
    <n v="4"/>
    <s v="Life Sciences"/>
    <n v="1"/>
    <n v="2048"/>
    <x v="1"/>
    <s v="Male"/>
    <n v="52"/>
    <n v="2"/>
    <x v="1"/>
    <x v="1"/>
    <x v="2"/>
    <s v="Single"/>
    <n v="2809"/>
    <n v="2725"/>
    <n v="2"/>
    <s v="Y"/>
    <s v="No"/>
    <n v="14"/>
    <n v="3"/>
    <n v="4"/>
    <n v="80"/>
    <n v="0"/>
    <n v="8"/>
    <n v="2"/>
    <n v="3"/>
    <x v="4"/>
    <n v="2"/>
    <n v="2"/>
    <n v="2"/>
    <s v="36-45"/>
    <s v="Low"/>
    <s v="0-2"/>
    <s v="Mid-Level"/>
    <s v="Standard"/>
    <s v="High"/>
    <x v="0"/>
  </r>
  <r>
    <n v="35"/>
    <x v="1"/>
    <s v="Travel_Frequently"/>
    <n v="1199"/>
    <x v="1"/>
    <n v="18"/>
    <n v="4"/>
    <s v="Life Sciences"/>
    <n v="1"/>
    <n v="2049"/>
    <x v="1"/>
    <s v="Male"/>
    <n v="80"/>
    <n v="3"/>
    <x v="0"/>
    <x v="4"/>
    <x v="2"/>
    <s v="Married"/>
    <n v="5689"/>
    <n v="24594"/>
    <n v="1"/>
    <s v="Y"/>
    <s v="Yes"/>
    <n v="14"/>
    <n v="3"/>
    <n v="4"/>
    <n v="80"/>
    <n v="2"/>
    <n v="10"/>
    <n v="2"/>
    <n v="4"/>
    <x v="1"/>
    <n v="2"/>
    <n v="0"/>
    <n v="2"/>
    <s v="26-35"/>
    <s v="Medium"/>
    <s v="6-10"/>
    <s v="Mid-Level"/>
    <s v="Standard"/>
    <s v="High"/>
    <x v="0"/>
  </r>
  <r>
    <n v="40"/>
    <x v="1"/>
    <s v="Travel_Rarely"/>
    <n v="1194"/>
    <x v="1"/>
    <n v="2"/>
    <n v="4"/>
    <s v="Medical"/>
    <n v="1"/>
    <n v="2051"/>
    <x v="1"/>
    <s v="Female"/>
    <n v="98"/>
    <n v="3"/>
    <x v="1"/>
    <x v="1"/>
    <x v="2"/>
    <s v="Married"/>
    <n v="2001"/>
    <n v="12549"/>
    <n v="2"/>
    <s v="Y"/>
    <s v="No"/>
    <n v="14"/>
    <n v="3"/>
    <n v="2"/>
    <n v="80"/>
    <n v="3"/>
    <n v="20"/>
    <n v="2"/>
    <n v="3"/>
    <x v="8"/>
    <n v="3"/>
    <n v="0"/>
    <n v="2"/>
    <s v="36-45"/>
    <s v="Low"/>
    <s v="3-5"/>
    <s v="Senior"/>
    <s v="Standard"/>
    <s v="High"/>
    <x v="0"/>
  </r>
  <r>
    <n v="35"/>
    <x v="1"/>
    <s v="Travel_Rarely"/>
    <n v="287"/>
    <x v="1"/>
    <n v="1"/>
    <n v="4"/>
    <s v="Life Sciences"/>
    <n v="1"/>
    <n v="2052"/>
    <x v="1"/>
    <s v="Female"/>
    <n v="62"/>
    <n v="1"/>
    <x v="1"/>
    <x v="1"/>
    <x v="0"/>
    <s v="Married"/>
    <n v="2977"/>
    <n v="8952"/>
    <n v="1"/>
    <s v="Y"/>
    <s v="No"/>
    <n v="12"/>
    <n v="3"/>
    <n v="4"/>
    <n v="80"/>
    <n v="1"/>
    <n v="4"/>
    <n v="5"/>
    <n v="3"/>
    <x v="9"/>
    <n v="3"/>
    <n v="1"/>
    <n v="1"/>
    <s v="26-35"/>
    <s v="Low"/>
    <s v="3-5"/>
    <s v="Junior"/>
    <s v="Standard"/>
    <s v="High"/>
    <x v="0"/>
  </r>
  <r>
    <n v="29"/>
    <x v="1"/>
    <s v="Travel_Rarely"/>
    <n v="1378"/>
    <x v="1"/>
    <n v="13"/>
    <n v="2"/>
    <s v="Other"/>
    <n v="1"/>
    <n v="2053"/>
    <x v="2"/>
    <s v="Male"/>
    <n v="46"/>
    <n v="2"/>
    <x v="0"/>
    <x v="2"/>
    <x v="1"/>
    <s v="Married"/>
    <n v="4025"/>
    <n v="23679"/>
    <n v="4"/>
    <s v="Y"/>
    <s v="Yes"/>
    <n v="13"/>
    <n v="3"/>
    <n v="1"/>
    <n v="80"/>
    <n v="1"/>
    <n v="10"/>
    <n v="2"/>
    <n v="3"/>
    <x v="9"/>
    <n v="3"/>
    <n v="0"/>
    <n v="3"/>
    <s v="26-35"/>
    <s v="Medium"/>
    <s v="3-5"/>
    <s v="Mid-Level"/>
    <s v="Standard"/>
    <s v="Low"/>
    <x v="0"/>
  </r>
  <r>
    <n v="29"/>
    <x v="1"/>
    <s v="Travel_Rarely"/>
    <n v="468"/>
    <x v="1"/>
    <n v="28"/>
    <n v="4"/>
    <s v="Medical"/>
    <n v="1"/>
    <n v="2054"/>
    <x v="2"/>
    <s v="Female"/>
    <n v="73"/>
    <n v="2"/>
    <x v="1"/>
    <x v="1"/>
    <x v="3"/>
    <s v="Single"/>
    <n v="3785"/>
    <n v="8489"/>
    <n v="1"/>
    <s v="Y"/>
    <s v="No"/>
    <n v="14"/>
    <n v="3"/>
    <n v="2"/>
    <n v="80"/>
    <n v="0"/>
    <n v="5"/>
    <n v="3"/>
    <n v="1"/>
    <x v="8"/>
    <n v="4"/>
    <n v="0"/>
    <n v="4"/>
    <s v="26-35"/>
    <s v="Medium"/>
    <s v="3-5"/>
    <s v="Junior"/>
    <s v="Standard"/>
    <s v="Low"/>
    <x v="0"/>
  </r>
  <r>
    <n v="50"/>
    <x v="0"/>
    <s v="Travel_Rarely"/>
    <n v="410"/>
    <x v="0"/>
    <n v="28"/>
    <n v="3"/>
    <s v="Marketing"/>
    <n v="1"/>
    <n v="2055"/>
    <x v="2"/>
    <s v="Male"/>
    <n v="39"/>
    <n v="2"/>
    <x v="2"/>
    <x v="0"/>
    <x v="3"/>
    <s v="Divorced"/>
    <n v="10854"/>
    <n v="16586"/>
    <n v="4"/>
    <s v="Y"/>
    <s v="Yes"/>
    <n v="13"/>
    <n v="3"/>
    <n v="2"/>
    <n v="80"/>
    <n v="1"/>
    <n v="20"/>
    <n v="3"/>
    <n v="3"/>
    <x v="11"/>
    <n v="2"/>
    <n v="2"/>
    <n v="0"/>
    <s v="46-55"/>
    <s v="Very High"/>
    <s v="3-5"/>
    <s v="Senior"/>
    <s v="Standard"/>
    <s v="Low"/>
    <x v="0"/>
  </r>
  <r>
    <n v="39"/>
    <x v="1"/>
    <s v="Travel_Rarely"/>
    <n v="722"/>
    <x v="0"/>
    <n v="24"/>
    <n v="1"/>
    <s v="Marketing"/>
    <n v="1"/>
    <n v="2056"/>
    <x v="0"/>
    <s v="Female"/>
    <n v="60"/>
    <n v="2"/>
    <x v="3"/>
    <x v="0"/>
    <x v="0"/>
    <s v="Married"/>
    <n v="12031"/>
    <n v="8828"/>
    <n v="0"/>
    <s v="Y"/>
    <s v="No"/>
    <n v="11"/>
    <n v="3"/>
    <n v="1"/>
    <n v="80"/>
    <n v="1"/>
    <n v="21"/>
    <n v="2"/>
    <n v="2"/>
    <x v="23"/>
    <n v="9"/>
    <n v="9"/>
    <n v="6"/>
    <s v="36-45"/>
    <s v="Very High"/>
    <s v="16+"/>
    <s v="Senior"/>
    <s v="Standard"/>
    <s v="High"/>
    <x v="0"/>
  </r>
  <r>
    <n v="31"/>
    <x v="1"/>
    <s v="Non-Travel"/>
    <n v="325"/>
    <x v="1"/>
    <n v="5"/>
    <n v="3"/>
    <s v="Medical"/>
    <n v="1"/>
    <n v="2057"/>
    <x v="0"/>
    <s v="Male"/>
    <n v="74"/>
    <n v="3"/>
    <x v="0"/>
    <x v="3"/>
    <x v="3"/>
    <s v="Single"/>
    <n v="9936"/>
    <n v="3787"/>
    <n v="0"/>
    <s v="Y"/>
    <s v="No"/>
    <n v="19"/>
    <n v="3"/>
    <n v="2"/>
    <n v="80"/>
    <n v="0"/>
    <n v="10"/>
    <n v="2"/>
    <n v="3"/>
    <x v="7"/>
    <n v="4"/>
    <n v="1"/>
    <n v="7"/>
    <s v="26-35"/>
    <s v="High"/>
    <s v="6-10"/>
    <s v="Mid-Level"/>
    <s v="Standard"/>
    <s v="Low"/>
    <x v="0"/>
  </r>
  <r>
    <n v="26"/>
    <x v="1"/>
    <s v="Travel_Rarely"/>
    <n v="1167"/>
    <x v="0"/>
    <n v="5"/>
    <n v="3"/>
    <s v="Other"/>
    <n v="1"/>
    <n v="2060"/>
    <x v="2"/>
    <s v="Female"/>
    <n v="30"/>
    <n v="2"/>
    <x v="1"/>
    <x v="6"/>
    <x v="2"/>
    <s v="Single"/>
    <n v="2966"/>
    <n v="21378"/>
    <n v="0"/>
    <s v="Y"/>
    <s v="No"/>
    <n v="18"/>
    <n v="3"/>
    <n v="4"/>
    <n v="80"/>
    <n v="0"/>
    <n v="5"/>
    <n v="2"/>
    <n v="3"/>
    <x v="9"/>
    <n v="2"/>
    <n v="0"/>
    <n v="0"/>
    <s v="26-35"/>
    <s v="Low"/>
    <s v="3-5"/>
    <s v="Junior"/>
    <s v="Standard"/>
    <s v="High"/>
    <x v="0"/>
  </r>
  <r>
    <n v="36"/>
    <x v="1"/>
    <s v="Travel_Frequently"/>
    <n v="884"/>
    <x v="1"/>
    <n v="23"/>
    <n v="2"/>
    <s v="Medical"/>
    <n v="1"/>
    <n v="2061"/>
    <x v="1"/>
    <s v="Male"/>
    <n v="41"/>
    <n v="4"/>
    <x v="0"/>
    <x v="2"/>
    <x v="0"/>
    <s v="Married"/>
    <n v="2571"/>
    <n v="12290"/>
    <n v="4"/>
    <s v="Y"/>
    <s v="No"/>
    <n v="17"/>
    <n v="3"/>
    <n v="3"/>
    <n v="80"/>
    <n v="1"/>
    <n v="17"/>
    <n v="3"/>
    <n v="3"/>
    <x v="8"/>
    <n v="2"/>
    <n v="0"/>
    <n v="3"/>
    <s v="36-45"/>
    <s v="Low"/>
    <s v="3-5"/>
    <s v="Senior"/>
    <s v="Standard"/>
    <s v="High"/>
    <x v="0"/>
  </r>
  <r>
    <n v="39"/>
    <x v="1"/>
    <s v="Travel_Rarely"/>
    <n v="613"/>
    <x v="1"/>
    <n v="6"/>
    <n v="1"/>
    <s v="Medical"/>
    <n v="1"/>
    <n v="2062"/>
    <x v="2"/>
    <s v="Male"/>
    <n v="42"/>
    <n v="2"/>
    <x v="2"/>
    <x v="4"/>
    <x v="3"/>
    <s v="Married"/>
    <n v="9991"/>
    <n v="21457"/>
    <n v="4"/>
    <s v="Y"/>
    <s v="No"/>
    <n v="15"/>
    <n v="3"/>
    <n v="1"/>
    <n v="80"/>
    <n v="1"/>
    <n v="9"/>
    <n v="5"/>
    <n v="3"/>
    <x v="5"/>
    <n v="7"/>
    <n v="1"/>
    <n v="7"/>
    <s v="36-45"/>
    <s v="High"/>
    <s v="6-10"/>
    <s v="Mid-Level"/>
    <s v="Standard"/>
    <s v="Low"/>
    <x v="0"/>
  </r>
  <r>
    <n v="27"/>
    <x v="1"/>
    <s v="Travel_Rarely"/>
    <n v="155"/>
    <x v="1"/>
    <n v="4"/>
    <n v="3"/>
    <s v="Life Sciences"/>
    <n v="1"/>
    <n v="2064"/>
    <x v="0"/>
    <s v="Male"/>
    <n v="87"/>
    <n v="4"/>
    <x v="0"/>
    <x v="3"/>
    <x v="1"/>
    <s v="Married"/>
    <n v="6142"/>
    <n v="5174"/>
    <n v="1"/>
    <s v="Y"/>
    <s v="Yes"/>
    <n v="20"/>
    <n v="4"/>
    <n v="2"/>
    <n v="80"/>
    <n v="1"/>
    <n v="6"/>
    <n v="0"/>
    <n v="3"/>
    <x v="0"/>
    <n v="2"/>
    <n v="0"/>
    <n v="3"/>
    <s v="26-35"/>
    <s v="High"/>
    <s v="6-10"/>
    <s v="Mid-Level"/>
    <s v="Excellent"/>
    <s v="Low"/>
    <x v="0"/>
  </r>
  <r>
    <n v="49"/>
    <x v="1"/>
    <s v="Travel_Frequently"/>
    <n v="1023"/>
    <x v="0"/>
    <n v="2"/>
    <n v="3"/>
    <s v="Medical"/>
    <n v="1"/>
    <n v="2065"/>
    <x v="2"/>
    <s v="Male"/>
    <n v="63"/>
    <n v="2"/>
    <x v="0"/>
    <x v="0"/>
    <x v="1"/>
    <s v="Married"/>
    <n v="5390"/>
    <n v="13243"/>
    <n v="2"/>
    <s v="Y"/>
    <s v="No"/>
    <n v="14"/>
    <n v="3"/>
    <n v="4"/>
    <n v="80"/>
    <n v="0"/>
    <n v="17"/>
    <n v="3"/>
    <n v="2"/>
    <x v="7"/>
    <n v="6"/>
    <n v="0"/>
    <n v="8"/>
    <s v="46-55"/>
    <s v="Medium"/>
    <s v="6-10"/>
    <s v="Senior"/>
    <s v="Standard"/>
    <s v="Low"/>
    <x v="0"/>
  </r>
  <r>
    <n v="34"/>
    <x v="1"/>
    <s v="Travel_Rarely"/>
    <n v="628"/>
    <x v="1"/>
    <n v="8"/>
    <n v="3"/>
    <s v="Medical"/>
    <n v="1"/>
    <n v="2068"/>
    <x v="0"/>
    <s v="Male"/>
    <n v="82"/>
    <n v="4"/>
    <x v="0"/>
    <x v="2"/>
    <x v="2"/>
    <s v="Married"/>
    <n v="4404"/>
    <n v="10228"/>
    <n v="2"/>
    <s v="Y"/>
    <s v="No"/>
    <n v="12"/>
    <n v="3"/>
    <n v="1"/>
    <n v="80"/>
    <n v="0"/>
    <n v="6"/>
    <n v="3"/>
    <n v="4"/>
    <x v="9"/>
    <n v="3"/>
    <n v="1"/>
    <n v="2"/>
    <s v="26-35"/>
    <s v="Medium"/>
    <s v="3-5"/>
    <s v="Mid-Level"/>
    <s v="Standard"/>
    <s v="Hig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AADD5-899B-4CDF-A3B0-B9033675D8C3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4:E28" firstHeaderRow="1" firstDataRow="2" firstDataCol="1"/>
  <pivotFields count="42">
    <pivotField numFmtId="1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4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F565F-8385-4D08-9C3A-C8F60B90AFC0}" name="PivotTable4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3:J73" firstHeaderRow="1" firstDataRow="3" firstDataCol="1"/>
  <pivotFields count="42">
    <pivotField numFmtId="1"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EmployeeNumber" fld="9" subtotal="count" baseField="31" baseItem="0"/>
    <dataField name="Average of MonthlyIncome" fld="18" subtotal="average" baseField="3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CB3F1-21D6-4DBB-B1A7-E64B32D8B0E5}" name="PivotTable4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4:J23" firstHeaderRow="0" firstDataRow="1" firstDataCol="1"/>
  <pivotFields count="42">
    <pivotField numFmtI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4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onthlyIncome" fld="18" subtotal="average" baseField="4" baseItem="0"/>
    <dataField name="Average of PerformanceRating" fld="24" subtotal="average" baseField="4" baseItem="0"/>
    <dataField name="Count of EmployeeNumber" fld="9" subtotal="count" baseField="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F7313-DB04-43A7-AEBE-A4D192C34E08}" name="PivotTable4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4:E19" firstHeaderRow="0" firstDataRow="1" firstDataCol="1"/>
  <pivotFields count="42">
    <pivotField numFmtId="1"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5"/>
  </rowFields>
  <rowItems count="15">
    <i>
      <x/>
    </i>
    <i r="1">
      <x v="1"/>
    </i>
    <i r="1">
      <x v="3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>
      <x v="2"/>
    </i>
    <i r="1">
      <x v="3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mployeeNumber" fld="9" baseField="0" baseItem="0"/>
    <dataField name="Summarize by Count" fld="1" subtotal="count" baseField="4" baseItem="0"/>
    <dataField name="Count of Attrition" fld="1" subtotal="count" baseField="4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BAF81-552B-4F91-80F7-B8374BE2D62B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8:L85" firstHeaderRow="1" firstDataRow="3" firstDataCol="1"/>
  <pivotFields count="42"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2">
    <field x="10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Count of EmployeeNumber" fld="9" subtotal="count" baseField="16" baseItem="0"/>
    <dataField name="% of Grand Total" fld="9" showDataAs="percentOfTotal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9F1CFDF5-FB07-4204-B509-6D96E87897AC}" name="HR_Data49" displayName="HR_Data49" ref="A1:AI1471" totalsRowShown="0" headerRowDxfId="330" headerRowBorderDxfId="329" tableBorderDxfId="328">
  <autoFilter ref="A1:AI1471" xr:uid="{9F1CFDF5-FB07-4204-B509-6D96E87897AC}"/>
  <tableColumns count="35">
    <tableColumn id="1" xr3:uid="{A63C458D-3792-4346-B08B-10E058965965}" name="Age" dataDxfId="327"/>
    <tableColumn id="2" xr3:uid="{4623E039-31BA-46FF-B5CB-D22D3583DF7F}" name="Attrition" dataDxfId="326"/>
    <tableColumn id="3" xr3:uid="{60AF6B63-844D-4478-8840-C7B9ED9BECE0}" name="BusinessTravel"/>
    <tableColumn id="4" xr3:uid="{06407E77-E169-4948-869A-F88AD5418399}" name="DailyRate"/>
    <tableColumn id="5" xr3:uid="{17E5F585-79E9-4F52-AB5D-EAF179259B22}" name="Department"/>
    <tableColumn id="6" xr3:uid="{69FEBFD4-6BBF-412E-A5B9-8BD99EAFAAF4}" name="DistanceFromHome"/>
    <tableColumn id="7" xr3:uid="{A356A3C4-FD91-4E55-8C5A-AA061B348F29}" name="Education"/>
    <tableColumn id="8" xr3:uid="{D11FC63E-F374-4750-BA59-F88F754C0180}" name="EducationField"/>
    <tableColumn id="9" xr3:uid="{7D0D398B-3FEB-40F6-964C-5DC6327B238C}" name="EmployeeCount"/>
    <tableColumn id="10" xr3:uid="{3DCD7D35-A3C6-4BE0-8822-8458BA6054B7}" name="EmployeeNumber"/>
    <tableColumn id="11" xr3:uid="{1DEBC5F5-3037-474F-9E3C-AA10FEFB6FF1}" name="EnvironmentSatisfaction"/>
    <tableColumn id="12" xr3:uid="{7F82E232-A400-46E1-96C6-BA41856F6723}" name="Gender"/>
    <tableColumn id="13" xr3:uid="{B20C6EC0-7721-4932-BCF0-452ED8824FA6}" name="HourlyRate"/>
    <tableColumn id="14" xr3:uid="{FDDB8DAA-1007-4A62-B792-F23CB5677B29}" name="JobInvolvement"/>
    <tableColumn id="15" xr3:uid="{B530209E-4FA7-40A7-93BB-A28C0561DDEE}" name="JobLevel"/>
    <tableColumn id="16" xr3:uid="{1D6BAADC-B218-4C65-91D6-92AA954CE246}" name="JobRole"/>
    <tableColumn id="17" xr3:uid="{E3D1432B-2263-4F7F-9801-A725E3A06DD0}" name="JobSatisfaction"/>
    <tableColumn id="18" xr3:uid="{7F861A27-0F66-48C1-8BA1-391FEEC2B573}" name="MaritalStatus"/>
    <tableColumn id="19" xr3:uid="{B0E2647D-EFF7-4A6A-9321-7FC5B834A22D}" name="MonthlyIncome"/>
    <tableColumn id="20" xr3:uid="{D248CCA9-FCF2-4E65-9A94-4165548E884C}" name="MonthlyRate"/>
    <tableColumn id="21" xr3:uid="{2F5EA4B8-242E-43D1-B556-961A7067965A}" name="NumCompaniesWorked"/>
    <tableColumn id="22" xr3:uid="{DC34DB51-E21C-4A2F-8CBF-6EA36832A281}" name="Over18"/>
    <tableColumn id="23" xr3:uid="{C8459569-F28B-48E8-A57C-1ED4DC48D5D8}" name="OverTime"/>
    <tableColumn id="24" xr3:uid="{08F353A5-CC61-43DA-B7EC-563DEE0A7B92}" name="PercentSalaryHike"/>
    <tableColumn id="25" xr3:uid="{5F33EB61-80B6-4116-806A-77ACC55FA116}" name="PerformanceRating"/>
    <tableColumn id="26" xr3:uid="{3A8408B7-8BB1-4025-8AC7-AB23B04D23FF}" name="RelationshipSatisfaction"/>
    <tableColumn id="27" xr3:uid="{24718436-A7BE-4774-9839-4C79824A5615}" name="StandardHours"/>
    <tableColumn id="28" xr3:uid="{690EFBBE-B7EE-412F-B512-3A8F80A42D3A}" name="StockOptionLevel"/>
    <tableColumn id="29" xr3:uid="{8E3E3F4D-E0AA-40AE-B055-D1FE76690ABE}" name="TotalWorkingYears"/>
    <tableColumn id="30" xr3:uid="{E637B4E9-3F48-4B87-83CE-D452B73121FC}" name="TrainingTimesLastYear"/>
    <tableColumn id="31" xr3:uid="{6C02A0D3-3F82-4469-AE6D-44B1789C3C27}" name="WorkLifeBalance"/>
    <tableColumn id="32" xr3:uid="{B145158D-BB95-45D1-A9B8-E78D6C781589}" name="YearsAtCompany"/>
    <tableColumn id="33" xr3:uid="{F9713A53-EA94-422C-9E35-09BF7F670894}" name="YearsInCurrentRole"/>
    <tableColumn id="34" xr3:uid="{F3D3543C-01E4-4A26-8BD6-ACE88B6422E6}" name="YearsSinceLastPromotion"/>
    <tableColumn id="35" xr3:uid="{9E3D6F4E-8E6E-4F8E-ACD7-832A20611E95}" name="YearsWithCurrManager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329542-844B-4A0F-84AA-22E62A62797D}" name="HR_Data" displayName="HR_Data" ref="A1:AP1471" totalsRowShown="0" headerRowDxfId="325" headerRowBorderDxfId="324" tableBorderDxfId="323">
  <autoFilter ref="A1:AP1471" xr:uid="{8D329542-844B-4A0F-84AA-22E62A62797D}"/>
  <tableColumns count="42">
    <tableColumn id="1" xr3:uid="{B470C856-986E-461E-98DA-5793E6C1A30D}" name="Age" dataDxfId="322"/>
    <tableColumn id="2" xr3:uid="{C394F12C-625C-4F1C-9B12-709F2AEFFBAB}" name="Attrition" dataDxfId="321"/>
    <tableColumn id="3" xr3:uid="{C9537BF3-9E91-4177-806E-63B3D2705D34}" name="BusinessTravel"/>
    <tableColumn id="4" xr3:uid="{1FEA3A1E-60F9-4012-A998-BEC585B9EB38}" name="DailyRate"/>
    <tableColumn id="5" xr3:uid="{42ED3CC3-8AA7-43BC-84B7-39FF126B7D4E}" name="Department"/>
    <tableColumn id="6" xr3:uid="{52BDF84F-29CC-485B-B300-DBF98146F0B5}" name="DistanceFromHome"/>
    <tableColumn id="7" xr3:uid="{C37BD49A-3C15-4F6B-A8D4-BCC852E545E3}" name="Education"/>
    <tableColumn id="8" xr3:uid="{70B2CE05-C0A0-4A1C-A226-C6972661630D}" name="EducationField"/>
    <tableColumn id="9" xr3:uid="{19BBCC3F-CB3A-46B0-BE51-FC741F126971}" name="EmployeeCount"/>
    <tableColumn id="10" xr3:uid="{377BC9EB-1220-47D2-AFC5-9EB6F160F0C4}" name="EmployeeNumber"/>
    <tableColumn id="11" xr3:uid="{1189A412-FF12-4AA0-BA89-77CEFDC66412}" name="EnvironmentSatisfaction"/>
    <tableColumn id="12" xr3:uid="{CAB026A7-2CF6-4D27-826F-5A4860F6C842}" name="Gender"/>
    <tableColumn id="13" xr3:uid="{48648582-3194-4529-9DD3-8A1109E9980D}" name="HourlyRate"/>
    <tableColumn id="14" xr3:uid="{3D1DB5C9-621D-4906-975D-A1541573133F}" name="JobInvolvement"/>
    <tableColumn id="15" xr3:uid="{9E4DC29D-C013-401B-9EC9-98F3BADB8786}" name="JobLevel"/>
    <tableColumn id="16" xr3:uid="{2D2F388B-5C71-4BC4-8194-5CA221545476}" name="JobRole"/>
    <tableColumn id="17" xr3:uid="{B7446945-2451-4B53-83C3-15921A7866E0}" name="JobSatisfaction"/>
    <tableColumn id="18" xr3:uid="{FBEAA799-D43C-4591-B1C3-A052E784CED0}" name="MaritalStatus"/>
    <tableColumn id="19" xr3:uid="{262E92E6-12E1-442A-90FC-10B85DEF746F}" name="MonthlyIncome"/>
    <tableColumn id="20" xr3:uid="{8973123F-0B20-4B36-BCBC-720574D3367F}" name="MonthlyRate"/>
    <tableColumn id="21" xr3:uid="{8DF0B8DC-C9A9-4EE6-B2A1-39090D4F1530}" name="NumCompaniesWorked"/>
    <tableColumn id="22" xr3:uid="{7F7013E1-CBC5-4284-A673-787FB73E4C37}" name="Over18"/>
    <tableColumn id="23" xr3:uid="{C67F819A-D1C5-4B69-AC17-82FABDB1B666}" name="OverTime"/>
    <tableColumn id="24" xr3:uid="{DD620065-FAB8-4AC7-85AB-1C61CAD50620}" name="PercentSalaryHike"/>
    <tableColumn id="25" xr3:uid="{3F77BC98-31B8-4DC8-952D-DFDDEE982B43}" name="PerformanceRating"/>
    <tableColumn id="26" xr3:uid="{385C2428-7AEF-4AD1-B2CD-C8DCC63B9F0F}" name="RelationshipSatisfaction"/>
    <tableColumn id="27" xr3:uid="{D5300C0B-8FCA-4C29-AF3F-4A524D758E32}" name="StandardHours"/>
    <tableColumn id="28" xr3:uid="{268F9810-BC76-4C01-96DD-10D3FE6DBEDD}" name="StockOptionLevel"/>
    <tableColumn id="29" xr3:uid="{7D55AAE1-0695-4DF9-B10D-00F0E90AE209}" name="TotalWorkingYears"/>
    <tableColumn id="30" xr3:uid="{47FDBDA0-B1F3-448F-925C-7677C2224DD2}" name="TrainingTimesLastYear"/>
    <tableColumn id="31" xr3:uid="{46010242-EEDD-4DC5-8EA3-75911458AFD7}" name="WorkLifeBalance"/>
    <tableColumn id="32" xr3:uid="{BE5B066F-C188-4DE3-90B8-2AB119113170}" name="YearsAtCompany"/>
    <tableColumn id="33" xr3:uid="{734431E9-6C43-4501-87B4-014EFF67019A}" name="YearsInCurrentRole"/>
    <tableColumn id="34" xr3:uid="{36A7C95C-B548-4E03-89D4-31657E1C9AFC}" name="YearsSinceLastPromotion"/>
    <tableColumn id="35" xr3:uid="{8C6D7131-7E4A-4ADA-A7A3-304AEF07E773}" name="YearsWithCurrManager"/>
    <tableColumn id="37" xr3:uid="{3977AB9C-D47A-4C23-959D-8CB5991F4A2D}" name="Age Group" dataDxfId="320">
      <calculatedColumnFormula>IF(HR_Data[[#This Row],[Age]]&lt;=25,"18-25",IF(HR_Data[[#This Row],[Age]]&lt;=35,"26-35",IF(HR_Data[[#This Row],[Age]]&lt;=45,"36-45",IF(HR_Data[[#This Row],[Age]]&lt;=55,"46-55","56+"))))</calculatedColumnFormula>
    </tableColumn>
    <tableColumn id="38" xr3:uid="{6BDA9DC5-7297-4B97-A247-3958B3C0B8CF}" name="Salary Range" dataDxfId="319">
      <calculatedColumnFormula>IF(HR_Data[[#This Row],[MonthlyIncome]]&lt;3000,"Low",IF(HR_Data[[#This Row],[MonthlyIncome]]&lt;6000,"Medium",IF(HR_Data[[#This Row],[MonthlyIncome]]&lt;10000,"High","Very High")))</calculatedColumnFormula>
    </tableColumn>
    <tableColumn id="39" xr3:uid="{24001471-9649-4C4C-84D3-6B61509C3920}" name="Tenure Group" dataDxfId="318">
      <calculatedColumnFormula>IF(HR_Data[[#This Row],[YearsAtCompany]]&lt;=2,"0-2",IF(HR_Data[[#This Row],[YearsAtCompany]]&lt;=5,"3-5",IF(HR_Data[[#This Row],[YearsAtCompany]]&lt;=10,"6-10",IF(HR_Data[[#This Row],[YearsAtCompany]]&lt;=15,"11-15","16+"))))</calculatedColumnFormula>
    </tableColumn>
    <tableColumn id="40" xr3:uid="{12809677-0D43-490A-979E-BEE3B07519F5}" name="Experience Level">
      <calculatedColumnFormula>IF(HR_Data[[#This Row],[TotalWorkingYears]]&lt;=5,"Junior",IF(HR_Data[[#This Row],[TotalWorkingYears]]&lt;=15,"Mid-Level","Senior"))</calculatedColumnFormula>
    </tableColumn>
    <tableColumn id="41" xr3:uid="{0EA578EB-7C03-4042-BE20-9DCD21E08C14}" name="Performance Category" dataDxfId="317">
      <calculatedColumnFormula>IF(HR_Data[[#This Row],[PerformanceRating]]=3,"Standard","Excellent")</calculatedColumnFormula>
    </tableColumn>
    <tableColumn id="42" xr3:uid="{E644DCF3-5687-4816-943C-64277939D12C}" name="Satisfaction Level" dataDxfId="316">
      <calculatedColumnFormula>IF(HR_Data[[#This Row],[JobSatisfaction]]&lt;=2,"Low","High")</calculatedColumnFormula>
    </tableColumn>
    <tableColumn id="43" xr3:uid="{B36FA728-ABBF-41ED-9A13-C140A2A38FBB}" name="High Risk Attention" dataDxfId="315">
      <calculatedColumnFormula>IF(AND(HR_Data[[#This Row],[OverTime]]="Yes",HR_Data[[#This Row],[JobSatisfaction]]&lt;=2,HR_Data[[#This Row],[YearsAtCompany]]&lt;=2),"High Risk","Normal")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B744CE-489B-40B4-9E73-254C9B6E53A8}" name="Table2" displayName="Table2" ref="J5:L10" totalsRowShown="0" headerRowDxfId="314">
  <tableColumns count="3">
    <tableColumn id="1" xr3:uid="{3EBAFAC6-CEAA-43B2-A027-85452058BA1C}" name="Age Group" dataDxfId="313"/>
    <tableColumn id="2" xr3:uid="{D8D01F6B-1283-4685-B1F0-8BE9E4ACF966}" name="Count" dataDxfId="312"/>
    <tableColumn id="3" xr3:uid="{1F8E835C-8229-4D6F-8DB1-A9C1E3B60A1E}" name="Avg Monthly Income" dataDxfId="3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560F94-3A8F-4DC6-A8C9-E3CFCABA8361}" name="Table3" displayName="Table3" ref="B4:C15" totalsRowShown="0" headerRowDxfId="310" headerRowCellStyle="Normal">
  <tableColumns count="2">
    <tableColumn id="1" xr3:uid="{769D7966-12AB-44BC-8DA5-C86C3025E251}" name="Keys" dataDxfId="309"/>
    <tableColumn id="2" xr3:uid="{3B86E03B-04F9-4DC7-BABD-54AD5A4EB859}" name="Valu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EC39AB-2294-4AB0-86C2-E9F6F1DFC8C4}" name="Table4" displayName="Table4" ref="E5:H8" totalsRowShown="0" headerRowDxfId="308" dataDxfId="307">
  <tableColumns count="4">
    <tableColumn id="1" xr3:uid="{0C8292D6-A17D-45E3-9C41-020A877D4099}" name="Department" dataDxfId="306"/>
    <tableColumn id="2" xr3:uid="{FB7CA58E-B44F-4A32-B440-8D7C8D845AB0}" name="Count" dataDxfId="305"/>
    <tableColumn id="3" xr3:uid="{E29EDE70-A009-4D69-8634-96A065AAD52F}" name="Attrition" dataDxfId="304"/>
    <tableColumn id="4" xr3:uid="{F0E8A70D-CAFB-4121-8402-9347920A5C3B}" name="Attrition %" dataDxfId="303">
      <calculatedColumnFormula>G6/F6*100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1E5BB5-D986-42BA-9604-22F962AE7A4F}" name="Table5" displayName="Table5" ref="B5:F8" totalsRowShown="0" headerRowDxfId="302" dataDxfId="301">
  <tableColumns count="5">
    <tableColumn id="1" xr3:uid="{1CD3DA00-754A-4D72-B0C1-8B0636880DB1}" name="Department" dataDxfId="300"/>
    <tableColumn id="2" xr3:uid="{8B5368EF-A150-4994-BFF0-4E0153C6AA12}" name="Total" dataDxfId="299"/>
    <tableColumn id="3" xr3:uid="{C51A3FBB-AA9E-4D31-A920-B0B8F117A133}" name="Left" dataDxfId="298"/>
    <tableColumn id="4" xr3:uid="{20217EAB-B16F-43CB-A666-B1A22BAD9A67}" name="Stayed" dataDxfId="297">
      <calculatedColumnFormula>C6-D6</calculatedColumnFormula>
    </tableColumn>
    <tableColumn id="5" xr3:uid="{4F08964D-38B9-4C91-A626-D870C818230D}" name="Attrition Rate %" dataDxfId="296">
      <calculatedColumnFormula>D6/C6*100</calculatedColumnFormula>
    </tableColumn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9F985B-11E4-4E24-8A30-7FF7F6A99DFF}" name="Table6" displayName="Table6" ref="B12:E17" totalsRowShown="0" headerRowDxfId="295" dataDxfId="294">
  <tableColumns count="4">
    <tableColumn id="1" xr3:uid="{7F059F7F-C259-4FB2-8394-F497BC47BC63}" name="Age Group " dataDxfId="293"/>
    <tableColumn id="2" xr3:uid="{ED71E699-3459-4B53-9F2C-F18B5D7BFD87}" name="Total" dataDxfId="292"/>
    <tableColumn id="3" xr3:uid="{1F4F6732-0A39-4D43-A6EC-EF8CCE6C414B}" name="Left" dataDxfId="291"/>
    <tableColumn id="4" xr3:uid="{014C82D6-E0B3-4BF3-A836-C867F94A31F1}" name="Attrition Rate %" dataDxfId="290">
      <calculatedColumnFormula>$D13/$C13*100</calculatedColumnFormula>
    </tableColumn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3DAD6D2-D04D-4AB5-8AB6-A03FF678C617}" name="Table7" displayName="Table7" ref="B21:E23" totalsRowShown="0" headerRowDxfId="289" dataDxfId="288">
  <tableColumns count="4">
    <tableColumn id="1" xr3:uid="{8D796543-38C3-45D8-A18C-104C6DE95C6D}" name="Gender" dataDxfId="287"/>
    <tableColumn id="2" xr3:uid="{0001AD06-E2B6-4FC3-8AFB-BC313301C946}" name="Total" dataDxfId="286">
      <calculatedColumnFormula>COUNTIF(HR_Data[Gender], "Female")</calculatedColumnFormula>
    </tableColumn>
    <tableColumn id="3" xr3:uid="{F1A6A41B-A0FA-41CE-BE6F-4BC3DA5BF596}" name="Left" dataDxfId="285">
      <calculatedColumnFormula>COUNTIFS(HR_Data[Gender], "Male", HR_Data[Attrition], "Yes")</calculatedColumnFormula>
    </tableColumn>
    <tableColumn id="4" xr3:uid="{7E2B43A4-CC0C-4A0E-B9E3-D6C0171F856C}" name="Attrition Rate %" dataDxfId="284">
      <calculatedColumnFormula>$D22/$C22*100</calculatedColumnFormula>
    </tableColumn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F866A7-8FAE-4ECD-9B9A-BEE002F1922A}" name="Table8" displayName="Table8" ref="B40:E43" totalsRowShown="0" headerRowDxfId="283" dataDxfId="282">
  <tableColumns count="4">
    <tableColumn id="1" xr3:uid="{51D99F7F-1AAB-401C-B792-A93C212D3087}" name="Martial Status" dataDxfId="281"/>
    <tableColumn id="2" xr3:uid="{9A0A1AA1-DA8C-4083-B5E0-491B8CCB4F1C}" name="Total" dataDxfId="280"/>
    <tableColumn id="3" xr3:uid="{3C13C9B7-60DE-4925-B718-AB142763F72D}" name="Left" dataDxfId="279"/>
    <tableColumn id="4" xr3:uid="{3DC1EA72-1889-431F-880C-8AB0BE8883F9}" name="Attrition Rate %" dataDxfId="278">
      <calculatedColumnFormula>$D41/$C41*100</calculatedColumnFormula>
    </tableColumn>
  </tableColumns>
  <tableStyleInfo name="TableStyleMedium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4325D64-2E93-4E35-8A9A-37E864191625}" name="Table9" displayName="Table9" ref="B47:E49" totalsRowShown="0" headerRowDxfId="277" dataDxfId="276">
  <tableColumns count="4">
    <tableColumn id="1" xr3:uid="{E4EAABD6-D91F-4F4F-AA41-FB49F4735DA4}" name="OverTime" dataDxfId="275"/>
    <tableColumn id="2" xr3:uid="{E261EE54-7151-4434-B4A4-67DE56B148CC}" name="Total" dataDxfId="274"/>
    <tableColumn id="3" xr3:uid="{E7739BF0-AA3D-4352-BED1-A58EA9B76885}" name="Left" dataDxfId="273"/>
    <tableColumn id="4" xr3:uid="{89FFD9B1-8B59-4E33-8336-2047D758B10F}" name="Attrition Rate %" dataDxfId="272">
      <calculatedColumnFormula>$D48/$C48*100</calculatedColumnFormula>
    </tableColumn>
  </tableColumns>
  <tableStyleInfo name="TableStyleMedium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3D97716-B9D9-44AB-B5D3-1457BBE4C460}" name="Table14" displayName="Table14" ref="B53:E56" totalsRowShown="0" headerRowDxfId="271">
  <tableColumns count="4">
    <tableColumn id="1" xr3:uid="{0556A06D-BE71-4878-AB2C-00886075DFDC}" name="Distance Category "/>
    <tableColumn id="2" xr3:uid="{60099F15-1786-4647-B363-DC087B3CFF2C}" name="Total" dataDxfId="270"/>
    <tableColumn id="3" xr3:uid="{52FC2D63-90E1-487E-B98B-96A2C872EABA}" name="Left" dataDxfId="269"/>
    <tableColumn id="4" xr3:uid="{D4242196-F1D6-45D3-9C1B-1BC00D799C1A}" name="Attrition Rate %" dataDxfId="268">
      <calculatedColumnFormula>$D54/$C54*100</calculatedColumnFormula>
    </tableColumn>
  </tableColumns>
  <tableStyleInfo name="TableStyleMedium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1125E79-48E0-45CC-ACA2-4E86DA30EFFB}" name="Table21" displayName="Table21" ref="B27:E36" totalsRowShown="0">
  <autoFilter ref="B27:E36" xr:uid="{41125E79-48E0-45CC-ACA2-4E86DA30EFFB}">
    <filterColumn colId="0" hiddenButton="1"/>
    <filterColumn colId="1" hiddenButton="1"/>
    <filterColumn colId="2" hiddenButton="1"/>
    <filterColumn colId="3" hiddenButton="1"/>
  </autoFilter>
  <tableColumns count="4">
    <tableColumn id="1" xr3:uid="{728642C1-B16A-4AEA-B2C3-684E524F262F}" name="Job Role"/>
    <tableColumn id="2" xr3:uid="{6B0D1694-0EB2-4723-9E21-76B96D815AE4}" name="Total " dataDxfId="267">
      <calculatedColumnFormula>COUNTIF(HR_Data[JobRole], $B28)</calculatedColumnFormula>
    </tableColumn>
    <tableColumn id="3" xr3:uid="{80DA3FA8-7DEB-43D7-A752-475FA41E66F2}" name="Left" dataDxfId="266">
      <calculatedColumnFormula>COUNTIFS(HR_Data[JobRole], $B28, HR_Data[Attrition], "Yes")</calculatedColumnFormula>
    </tableColumn>
    <tableColumn id="4" xr3:uid="{65BD585D-FA1A-490D-8E58-605BE27BEBCC}" name="Attrition Rate %" dataDxfId="265">
      <calculatedColumnFormula>$D28/C28*100</calculatedColumnFormula>
    </tableColumn>
  </tableColumns>
  <tableStyleInfo name="TableStyleMedium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6353884-6560-45EE-8935-696F7A010FC5}" name="Table22" displayName="Table22" ref="B6:C13" totalsRowShown="0" headerRowDxfId="264">
  <autoFilter ref="B6:C13" xr:uid="{56353884-6560-45EE-8935-696F7A010FC5}">
    <filterColumn colId="0" hiddenButton="1"/>
    <filterColumn colId="1" hiddenButton="1"/>
  </autoFilter>
  <tableColumns count="2">
    <tableColumn id="1" xr3:uid="{4A3B4033-F75D-4992-B04C-20152C544B6F}" name="Metric" dataDxfId="263"/>
    <tableColumn id="2" xr3:uid="{038E193C-8BC1-44A5-93CC-DE928EC7AADE}" name="Value" dataDxfId="262"/>
  </tableColumns>
  <tableStyleInfo name="TableStyleMedium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9A0DB07-E564-4834-BEE8-94FDCCEE1023}" name="Table23" displayName="Table23" ref="B17:G20" totalsRowShown="0" headerRowDxfId="261" dataDxfId="260">
  <autoFilter ref="B17:G20" xr:uid="{19A0DB07-E564-4834-BEE8-94FDCCEE10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2E4DB13-226E-4210-958F-654EDEEE9A07}" name="Department" dataDxfId="259"/>
    <tableColumn id="2" xr3:uid="{541C8229-BD6D-461D-B48D-3BDC65398D5C}" name="Count" dataDxfId="258">
      <calculatedColumnFormula>COUNTIF(HR_Data[Department], $B18)</calculatedColumnFormula>
    </tableColumn>
    <tableColumn id="3" xr3:uid="{075B0E2B-41AA-49C5-A338-57D31B2D30DB}" name="Avg Income" dataDxfId="257">
      <calculatedColumnFormula>AVERAGEIF(HR_Data[Department], $B18, HR_Data[MonthlyIncome])</calculatedColumnFormula>
    </tableColumn>
    <tableColumn id="4" xr3:uid="{66A27AE2-C279-4CB3-8E01-5105EB15C77C}" name="Min Income" dataDxfId="256">
      <calculatedColumnFormula>_xlfn.MINIFS(HR_Data[MonthlyIncome], HR_Data[Department], $B18)</calculatedColumnFormula>
    </tableColumn>
    <tableColumn id="5" xr3:uid="{312D5A46-1758-43E0-9F90-A43058B9001F}" name="Max Income" dataDxfId="255">
      <calculatedColumnFormula>_xlfn.MAXIFS(HR_Data[MonthlyIncome], HR_Data[Department], $B18)</calculatedColumnFormula>
    </tableColumn>
    <tableColumn id="6" xr3:uid="{0AB8B080-AAC1-419A-822E-07F3F2490E32}" name="Median Income" dataDxfId="254">
      <calculatedColumnFormula array="1">MEDIAN(IF(HR_Data[Department]=$B18, HR_Data[MonthlyIncome]))</calculatedColumnFormula>
    </tableColumn>
  </tableColumns>
  <tableStyleInfo name="TableStyleMedium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9A6A760-9181-40C9-ACCA-7D5D44CE0F42}" name="Table24" displayName="Table24" ref="B24:E29" totalsRowShown="0" headerRowDxfId="253" dataDxfId="252">
  <autoFilter ref="B24:E29" xr:uid="{F9A6A760-9181-40C9-ACCA-7D5D44CE0F42}">
    <filterColumn colId="0" hiddenButton="1"/>
    <filterColumn colId="1" hiddenButton="1"/>
    <filterColumn colId="2" hiddenButton="1"/>
    <filterColumn colId="3" hiddenButton="1"/>
  </autoFilter>
  <tableColumns count="4">
    <tableColumn id="1" xr3:uid="{7639C8CC-3BD8-4990-B970-DE2895448D2D}" name="Job Level" dataDxfId="251"/>
    <tableColumn id="2" xr3:uid="{E8062633-4855-4F8B-BA28-04991CD6D28B}" name="Count" dataDxfId="250">
      <calculatedColumnFormula>COUNTIF(HR_Data[JobLevel], $B25)</calculatedColumnFormula>
    </tableColumn>
    <tableColumn id="3" xr3:uid="{CC40916F-DE8E-4EBA-83E7-8B94D17F9BF1}" name="Avg Income" dataDxfId="249">
      <calculatedColumnFormula>AVERAGEIF(HR_Data[JobLevel], $B25, HR_Data[MonthlyIncome])</calculatedColumnFormula>
    </tableColumn>
    <tableColumn id="4" xr3:uid="{C6ECDF77-2BC2-4995-9662-06D418AC5154}" name="Median Income" dataDxfId="248">
      <calculatedColumnFormula array="1">MEDIAN(IF(HR_Data[JobLevel]=$B25, HR_Data[MonthlyIncome]))</calculatedColumnFormula>
    </tableColumn>
  </tableColumns>
  <tableStyleInfo name="TableStyleMedium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023BC31-402F-460D-AAE2-274D5FD11F6D}" name="Table25" displayName="Table25" ref="B33:E38" totalsRowShown="0" headerRowDxfId="247" dataDxfId="246">
  <autoFilter ref="B33:E38" xr:uid="{B023BC31-402F-460D-AAE2-274D5FD11F6D}">
    <filterColumn colId="0" hiddenButton="1"/>
    <filterColumn colId="1" hiddenButton="1"/>
    <filterColumn colId="2" hiddenButton="1"/>
    <filterColumn colId="3" hiddenButton="1"/>
  </autoFilter>
  <tableColumns count="4">
    <tableColumn id="1" xr3:uid="{3133EDBB-C47F-4723-9ACE-6F516096F9F2}" name="Education " dataDxfId="245"/>
    <tableColumn id="2" xr3:uid="{9EBFBFA5-47A1-492B-B171-301391B7E482}" name="Description" dataDxfId="244"/>
    <tableColumn id="3" xr3:uid="{AA076307-E97A-4375-8672-BFF7F4A7FFF9}" name="Count" dataDxfId="243">
      <calculatedColumnFormula>COUNTIF(HR_Data[Education], $B34)</calculatedColumnFormula>
    </tableColumn>
    <tableColumn id="4" xr3:uid="{5FA20183-DB48-42BE-AE03-C0DDAD7FF58B}" name="Avg Income" dataDxfId="242">
      <calculatedColumnFormula>AVERAGEIF(HR_Data[Education], $B34, HR_Data[MonthlyIncome])</calculatedColumnFormula>
    </tableColumn>
  </tableColumns>
  <tableStyleInfo name="TableStyleMedium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C21E02E-ADF8-4DC3-BA4C-B134EB5C0EF8}" name="Table26" displayName="Table26" ref="B42:F51" totalsRowShown="0">
  <autoFilter ref="B42:F51" xr:uid="{DC21E02E-ADF8-4DC3-BA4C-B134EB5C0EF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C335D6F-D2AC-4E94-A688-F56054D05887}" name="Job Role"/>
    <tableColumn id="2" xr3:uid="{0E52E318-9595-411D-9E67-E1E26C252A50}" name="Count">
      <calculatedColumnFormula>COUNTIF(HR_Data[JobRole], $B43)</calculatedColumnFormula>
    </tableColumn>
    <tableColumn id="3" xr3:uid="{84FBDFEA-3D41-44F8-8A9B-286FD88EF783}" name="Avg Income" dataDxfId="241">
      <calculatedColumnFormula>AVERAGEIF(HR_Data[JobRole], $B43, HR_Data[MonthlyIncome])</calculatedColumnFormula>
    </tableColumn>
    <tableColumn id="4" xr3:uid="{7EC66C1A-B67D-4BC4-BBA1-57AA63DAFFA2}" name="Min">
      <calculatedColumnFormula>_xlfn.MINIFS(HR_Data[MonthlyIncome], HR_Data[JobRole], $B43)</calculatedColumnFormula>
    </tableColumn>
    <tableColumn id="5" xr3:uid="{1FD5CA7F-7C3D-4368-B58E-E9275D56DF63}" name="Max">
      <calculatedColumnFormula>_xlfn.MAXIFS(HR_Data[MonthlyIncome], HR_Data[JobRole], $B43)</calculatedColumnFormula>
    </tableColumn>
  </tableColumns>
  <tableStyleInfo name="TableStyleMedium1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941AF6E-EDDE-49BF-BF1B-0A7BC4F0643B}" name="Table27" displayName="Table27" ref="B55:E57" totalsRowShown="0" headerRowDxfId="240" dataDxfId="239">
  <autoFilter ref="B55:E57" xr:uid="{6941AF6E-EDDE-49BF-BF1B-0A7BC4F0643B}">
    <filterColumn colId="0" hiddenButton="1"/>
    <filterColumn colId="1" hiddenButton="1"/>
    <filterColumn colId="2" hiddenButton="1"/>
    <filterColumn colId="3" hiddenButton="1"/>
  </autoFilter>
  <tableColumns count="4">
    <tableColumn id="1" xr3:uid="{8CF3EE41-DB62-4258-AD7B-E8272866718A}" name="Gender " dataDxfId="238"/>
    <tableColumn id="2" xr3:uid="{D8FA4041-0960-441A-A817-C340F802166C}" name="Avg Income" dataDxfId="237">
      <calculatedColumnFormula>AVERAGEIF(HR_Data[Gender], $B56, HR_Data[MonthlyIncome])</calculatedColumnFormula>
    </tableColumn>
    <tableColumn id="3" xr3:uid="{1907E737-EDBA-4227-9D17-A129D324D088}" name="Median Income" dataDxfId="236">
      <calculatedColumnFormula array="1">MEDIAN(IF(HR_Data[Gender]=$B56, HR_Data[MonthlyIncome]))</calculatedColumnFormula>
    </tableColumn>
    <tableColumn id="4" xr3:uid="{EF413842-4603-47C5-997F-13C00FCB6590}" name="Count" dataDxfId="235">
      <calculatedColumnFormula>COUNTIF(HR_Data[Gender], $B56)</calculatedColumnFormula>
    </tableColumn>
  </tableColumns>
  <tableStyleInfo name="TableStyleMedium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AB739AD-F946-4259-B76B-B75355AA06D5}" name="Table28" displayName="Table28" ref="B61:D66" totalsRowShown="0" headerRowDxfId="234">
  <autoFilter ref="B61:D66" xr:uid="{DAB739AD-F946-4259-B76B-B75355AA06D5}">
    <filterColumn colId="0" hiddenButton="1"/>
    <filterColumn colId="1" hiddenButton="1"/>
    <filterColumn colId="2" hiddenButton="1"/>
  </autoFilter>
  <tableColumns count="3">
    <tableColumn id="1" xr3:uid="{C5D95016-6504-4BC7-A1CD-BEDAB5DE62DD}" name="Tenure Range" dataDxfId="233"/>
    <tableColumn id="2" xr3:uid="{2E0EADF0-B88F-4301-87F1-81BD1A494682}" name="Count" dataDxfId="232"/>
    <tableColumn id="3" xr3:uid="{CD58004E-7755-426B-959F-2662EAA9F7DC}" name="Avg Income" dataDxfId="231"/>
  </tableColumns>
  <tableStyleInfo name="TableStyleMedium1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FE56A43-9D57-4710-817D-6F4DCFE81AFD}" name="Table29" displayName="Table29" ref="B70:D72" totalsRowShown="0" headerRowDxfId="230" dataDxfId="229">
  <autoFilter ref="B70:D72" xr:uid="{4FE56A43-9D57-4710-817D-6F4DCFE81AFD}">
    <filterColumn colId="0" hiddenButton="1"/>
    <filterColumn colId="1" hiddenButton="1"/>
    <filterColumn colId="2" hiddenButton="1"/>
  </autoFilter>
  <tableColumns count="3">
    <tableColumn id="1" xr3:uid="{FD571B24-8201-4BAE-B030-0F31347FF161}" name="Performance Rating" dataDxfId="228"/>
    <tableColumn id="2" xr3:uid="{E7B6B806-FA0A-43CE-9966-702E742AE180}" name="Avg Salary Hike %" dataDxfId="227">
      <calculatedColumnFormula>AVERAGEIF(HR_Data[PerformanceRating], $B71, HR_Data[PercentSalaryHike])</calculatedColumnFormula>
    </tableColumn>
    <tableColumn id="3" xr3:uid="{2C2FB892-E281-4508-A722-3A883290C8F1}" name="Count" dataDxfId="226">
      <calculatedColumnFormula>COUNTIF(HR_Data[PerformanceRating], $B71)</calculatedColumnFormula>
    </tableColumn>
  </tableColumns>
  <tableStyleInfo name="TableStyleMedium1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125221-4BC1-4B4B-9EA2-71D442D279BA}" name="Table10" displayName="Table10" ref="B6:C11" totalsRowShown="0" headerRowDxfId="225">
  <autoFilter ref="B6:C11" xr:uid="{05125221-4BC1-4B4B-9EA2-71D442D279BA}">
    <filterColumn colId="0" hiddenButton="1"/>
    <filterColumn colId="1" hiddenButton="1"/>
  </autoFilter>
  <tableColumns count="2">
    <tableColumn id="1" xr3:uid="{A21871C9-83BF-4B84-998D-6B44A8171A29}" name="Metric " dataDxfId="224"/>
    <tableColumn id="2" xr3:uid="{F5C6026D-E213-462D-8BBD-561C25FC3980}" name="Value" dataDxfId="223"/>
  </tableColumns>
  <tableStyleInfo name="TableStyleMedium1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4DEE58-C167-4177-9EA7-894EE5F5DDA0}" name="Table11" displayName="Table11" ref="B15:F18" totalsRowShown="0" headerRowDxfId="222" dataDxfId="221">
  <autoFilter ref="B15:F18" xr:uid="{4B4DEE58-C167-4177-9EA7-894EE5F5DDA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41AC1A4-227C-4DEF-8743-A4787ECF3B89}" name="Department " dataDxfId="220"/>
    <tableColumn id="2" xr3:uid="{611C9574-2A18-4787-8A52-43C6CCA43DC7}" name="Avg Performance" dataDxfId="219">
      <calculatedColumnFormula>AVERAGEIF(HR_Data[Department], $B16, HR_Data[PerformanceRating])</calculatedColumnFormula>
    </tableColumn>
    <tableColumn id="3" xr3:uid="{E46201AD-1C73-4F44-BB9E-D3EFDB804627}" name="$ Rating 4" dataDxfId="218">
      <calculatedColumnFormula>COUNTIFS(HR_Data[Department], $B16, HR_Data[PerformanceRating],4)/COUNTIF(HR_Data[Department], $B16)*100</calculatedColumnFormula>
    </tableColumn>
    <tableColumn id="4" xr3:uid="{A0FEAE87-F57A-4D1E-A326-E027900FF83C}" name="Avg Involvement" dataDxfId="217">
      <calculatedColumnFormula>AVERAGEIF(HR_Data[Department], $B16, HR_Data[JobInvolvement])</calculatedColumnFormula>
    </tableColumn>
    <tableColumn id="5" xr3:uid="{7653A987-CC54-40F6-9C00-EC7750E27B3A}" name="Avg Training" dataDxfId="216">
      <calculatedColumnFormula>AVERAGEIF(HR_Data[Department], $B16, HR_Data[TrainingTimesLastYear])</calculatedColumnFormula>
    </tableColumn>
  </tableColumns>
  <tableStyleInfo name="TableStyleMedium1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A0D22A0-0FA1-4DC4-A794-B70D26269171}" name="Table12" displayName="Table12" ref="B22:F31" totalsRowShown="0" headerRowDxfId="215" dataDxfId="214">
  <autoFilter ref="B22:F31" xr:uid="{FA0D22A0-0FA1-4DC4-A794-B70D2626917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3AE0529-BD7F-4E5E-BEFE-718F4878ACAE}" name="Job Role" dataDxfId="213"/>
    <tableColumn id="2" xr3:uid="{C59CD8A0-733E-4F60-AB56-F2616CC08598}" name="Count" dataDxfId="212">
      <calculatedColumnFormula>COUNTIF(HR_Data[JobRole], $B23)</calculatedColumnFormula>
    </tableColumn>
    <tableColumn id="3" xr3:uid="{EFBE32F4-EF1C-4512-9DDB-CA38F0A3C329}" name="Avg Performance" dataDxfId="211">
      <calculatedColumnFormula>AVERAGEIF(HR_Data[JobRole], $B23, HR_Data[PerformanceRating])</calculatedColumnFormula>
    </tableColumn>
    <tableColumn id="4" xr3:uid="{C2FE7F47-1F96-4E5A-8E7B-6CE7331F180A}" name="Avg Income" dataDxfId="210">
      <calculatedColumnFormula>AVERAGEIF(HR_Data[JobRole], $B23, HR_Data[MonthlyIncome])</calculatedColumnFormula>
    </tableColumn>
    <tableColumn id="5" xr3:uid="{543DFE50-5104-4D8B-98D8-C3DD06774F9D}" name="Avg Training" dataDxfId="209">
      <calculatedColumnFormula>AVERAGEIF(HR_Data[JobRole], $B23, HR_Data[TrainingTimesLastYear])</calculatedColumnFormula>
    </tableColumn>
  </tableColumns>
  <tableStyleInfo name="TableStyleMedium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3466D6D-46D0-4B69-BE3E-99E5E8626172}" name="Table13" displayName="Table13" ref="B35:E37" totalsRowShown="0" headerRowDxfId="208" dataDxfId="207">
  <autoFilter ref="B35:E37" xr:uid="{03466D6D-46D0-4B69-BE3E-99E5E8626172}">
    <filterColumn colId="0" hiddenButton="1"/>
    <filterColumn colId="1" hiddenButton="1"/>
    <filterColumn colId="2" hiddenButton="1"/>
    <filterColumn colId="3" hiddenButton="1"/>
  </autoFilter>
  <tableColumns count="4">
    <tableColumn id="1" xr3:uid="{8BDC8CBD-58AB-4909-B0A1-81B01CB4A9D3}" name="Performance Rating" dataDxfId="206"/>
    <tableColumn id="2" xr3:uid="{7C3E3D90-E65C-4308-A812-7D84679E209F}" name="Avg Monthly Income" dataDxfId="205">
      <calculatedColumnFormula>AVERAGEIF(HR_Data[PerformanceRating], $B36, HR_Data[MonthlyIncome])</calculatedColumnFormula>
    </tableColumn>
    <tableColumn id="3" xr3:uid="{895EA1B3-8CF1-43CB-BAAB-113ABE47C945}" name="Count" dataDxfId="204">
      <calculatedColumnFormula>COUNTIF(HR_Data[PerformanceRating], $B36)</calculatedColumnFormula>
    </tableColumn>
    <tableColumn id="4" xr3:uid="{207D4B68-6C25-4B89-A2A8-1BBB89A94E1C}" name="Avg Salary Hike %" dataDxfId="203">
      <calculatedColumnFormula>AVERAGEIF(HR_Data[PerformanceRating], $B36, HR_Data[PercentSalaryHike])</calculatedColumnFormula>
    </tableColumn>
  </tableColumns>
  <tableStyleInfo name="TableStyleMedium1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68815BA-1016-41DB-9792-B3BE57CB2D5F}" name="Table15" displayName="Table15" ref="B41:E46" totalsRowShown="0" headerRowDxfId="202" dataDxfId="201">
  <autoFilter ref="B41:E46" xr:uid="{C68815BA-1016-41DB-9792-B3BE57CB2D5F}">
    <filterColumn colId="0" hiddenButton="1"/>
    <filterColumn colId="1" hiddenButton="1"/>
    <filterColumn colId="2" hiddenButton="1"/>
    <filterColumn colId="3" hiddenButton="1"/>
  </autoFilter>
  <tableColumns count="4">
    <tableColumn id="1" xr3:uid="{7CCEC011-C2D9-4B64-8171-F83FDDC84694}" name="Experience Range " dataDxfId="200"/>
    <tableColumn id="2" xr3:uid="{8A4DE586-D204-4C21-B129-7BDA9732A206}" name="Avg Performance" dataDxfId="199"/>
    <tableColumn id="3" xr3:uid="{12E6C953-D9BB-4A00-992B-DA40692DBFDA}" name="Avg Involvement" dataDxfId="198"/>
    <tableColumn id="4" xr3:uid="{2807BFAF-B932-4208-8D46-226CE9E95CBE}" name="Count" dataDxfId="197"/>
  </tableColumns>
  <tableStyleInfo name="TableStyleMedium1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91B3175-3B02-4EA1-B115-9FD9F559B229}" name="Table16" displayName="Table16" ref="B50:E57" totalsRowShown="0" headerRowDxfId="196" dataDxfId="195">
  <autoFilter ref="B50:E57" xr:uid="{D91B3175-3B02-4EA1-B115-9FD9F559B229}">
    <filterColumn colId="0" hiddenButton="1"/>
    <filterColumn colId="1" hiddenButton="1"/>
    <filterColumn colId="2" hiddenButton="1"/>
    <filterColumn colId="3" hiddenButton="1"/>
  </autoFilter>
  <tableColumns count="4">
    <tableColumn id="1" xr3:uid="{EDF27BA4-5A70-48BA-AE36-9CA84FCCDD2B}" name="Training Times" dataDxfId="194"/>
    <tableColumn id="2" xr3:uid="{E8D549E8-926B-447C-B2F2-CE1E8E920856}" name="Count" dataDxfId="193">
      <calculatedColumnFormula>COUNTIF(HR_Data[TrainingTimesLastYear], $B51)</calculatedColumnFormula>
    </tableColumn>
    <tableColumn id="3" xr3:uid="{FA32D70E-864B-482B-9088-F2D934D62DB9}" name="Avg Performance" dataDxfId="192">
      <calculatedColumnFormula>AVERAGEIF(HR_Data[TrainingTimesLastYear], $B51, HR_Data[PerformanceRating])</calculatedColumnFormula>
    </tableColumn>
    <tableColumn id="4" xr3:uid="{66216C18-2B21-432A-88FE-D64745C56039}" name="Avg Salary" dataDxfId="191">
      <calculatedColumnFormula>AVERAGEIF(HR_Data[TrainingTimesLastYear], $B51, HR_Data[MonthlyIncome])</calculatedColumnFormula>
    </tableColumn>
  </tableColumns>
  <tableStyleInfo name="TableStyleMedium1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A83FFB-7D5A-4822-B3FE-E86B8986348B}" name="Table17" displayName="Table17" ref="B61:E66" totalsRowShown="0" headerRowDxfId="190" dataDxfId="189">
  <autoFilter ref="B61:E66" xr:uid="{C5A83FFB-7D5A-4822-B3FE-E86B8986348B}">
    <filterColumn colId="0" hiddenButton="1"/>
    <filterColumn colId="1" hiddenButton="1"/>
    <filterColumn colId="2" hiddenButton="1"/>
    <filterColumn colId="3" hiddenButton="1"/>
  </autoFilter>
  <tableColumns count="4">
    <tableColumn id="1" xr3:uid="{D32FF745-094C-415D-A53B-111E6BE07E77}" name="Job Level" dataDxfId="188"/>
    <tableColumn id="2" xr3:uid="{AB1A4BC5-FD03-462D-871F-32CF606D9801}" name="Avg Performance" dataDxfId="187">
      <calculatedColumnFormula>AVERAGEIF(HR_Data[JobLevel], $B62, HR_Data[PerformanceRating])</calculatedColumnFormula>
    </tableColumn>
    <tableColumn id="3" xr3:uid="{4C694DB7-6308-41A8-97AD-13C825DB6AC6}" name="Avg Involvement" dataDxfId="186">
      <calculatedColumnFormula>AVERAGEIF(HR_Data[JobLevel], $B62, HR_Data[JobInvolvement])</calculatedColumnFormula>
    </tableColumn>
    <tableColumn id="4" xr3:uid="{544EB178-694E-4C7F-BBEB-D3EED50663CB}" name="Avg Training" dataDxfId="185">
      <calculatedColumnFormula>AVERAGEIF(HR_Data[JobLevel], $B62, HR_Data[TrainingTimesLastYear])</calculatedColumnFormula>
    </tableColumn>
  </tableColumns>
  <tableStyleInfo name="TableStyleMedium1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4FDF52-EE65-42FD-BDFB-905C34449D63}" name="Table18" displayName="Table18" ref="B6:C11" totalsRowShown="0" headerRowDxfId="184" dataDxfId="183">
  <autoFilter ref="B6:C11" xr:uid="{1D4FDF52-EE65-42FD-BDFB-905C34449D63}">
    <filterColumn colId="0" hiddenButton="1"/>
    <filterColumn colId="1" hiddenButton="1"/>
  </autoFilter>
  <tableColumns count="2">
    <tableColumn id="1" xr3:uid="{E90A337D-B3C2-4FED-A370-398C1B383751}" name="Metric" dataDxfId="182"/>
    <tableColumn id="2" xr3:uid="{8895DCC2-2855-41E5-80BD-DC9072424F3D}" name="Value" dataDxfId="181"/>
  </tableColumns>
  <tableStyleInfo name="TableStyleMedium1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9206FFC-04D9-4C79-AD46-0DD8C1FF0DBB}" name="Table19" displayName="Table19" ref="B15:F20" totalsRowShown="0" headerRowDxfId="180" dataDxfId="179">
  <autoFilter ref="B15:F20" xr:uid="{59206FFC-04D9-4C79-AD46-0DD8C1FF0DB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6C4BF9C-CCC8-43FE-B674-5CC02FEF1BC6}" name="Age Group " dataDxfId="178"/>
    <tableColumn id="2" xr3:uid="{FAC60EFF-0904-4AF1-AE89-4661C544B4D9}" name="Count" dataDxfId="177"/>
    <tableColumn id="3" xr3:uid="{B19DFEBD-A4FC-46FA-8938-0D9A0B6F0BCA}" name="% of Total" dataDxfId="176">
      <calculatedColumnFormula>$C16/COUNTA(HR_Data[Age])*100</calculatedColumnFormula>
    </tableColumn>
    <tableColumn id="4" xr3:uid="{5DD949E2-7F03-46BD-B113-995C845F14CD}" name="Avg Income" dataDxfId="175"/>
    <tableColumn id="5" xr3:uid="{ACB1F3F6-8597-440C-9AAC-4B4DF2AC079D}" name="Avg Performance" dataDxfId="174"/>
  </tableColumns>
  <tableStyleInfo name="TableStyleMedium1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2E43663-2A42-4917-9997-73B72701C1EE}" name="Table20" displayName="Table20" ref="B24:G26" totalsRowShown="0" headerRowDxfId="173" dataDxfId="172">
  <autoFilter ref="B24:G26" xr:uid="{92E43663-2A42-4917-9997-73B72701C1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E54853A-1E70-4E42-A612-A9900B168EDD}" name="Gender  " dataDxfId="171"/>
    <tableColumn id="2" xr3:uid="{C4D83806-EB1A-44CF-9625-507D6EFE8FB3}" name="Count" dataDxfId="170">
      <calculatedColumnFormula>COUNTIF(HR_Data[Gender], $B25)</calculatedColumnFormula>
    </tableColumn>
    <tableColumn id="3" xr3:uid="{DC3F792A-F098-4632-B634-3288E6846F21}" name="% of Total" dataDxfId="169">
      <calculatedColumnFormula>$C25/COUNTA(HR_Data[Gender])*100</calculatedColumnFormula>
    </tableColumn>
    <tableColumn id="4" xr3:uid="{63F54039-3002-4E52-B3FF-824F3D62D045}" name="Avg Age" dataDxfId="168">
      <calculatedColumnFormula>AVERAGEIF(HR_Data[Gender], $B25, HR_Data[MonthlyIncome])</calculatedColumnFormula>
    </tableColumn>
    <tableColumn id="5" xr3:uid="{9B0368A3-92C9-4E16-A02A-092B3F245D7F}" name="Avg Income" dataDxfId="167">
      <calculatedColumnFormula>AVERAGEIF(HR_Data[Gender], $B25, HR_Data[MonthlyIncome])</calculatedColumnFormula>
    </tableColumn>
    <tableColumn id="6" xr3:uid="{1779A383-703E-4F70-A233-3F29F12FD652}" name="Avg Performance" dataDxfId="166">
      <calculatedColumnFormula>AVERAGEIF(HR_Data[Gender], $B25, HR_Data[PerformanceRating])</calculatedColumnFormula>
    </tableColumn>
  </tableColumns>
  <tableStyleInfo name="TableStyleMedium1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2D752895-4397-486F-97E1-7313479DFE70}" name="Table30" displayName="Table30" ref="B30:F33" totalsRowShown="0" headerRowDxfId="165" dataDxfId="164">
  <autoFilter ref="B30:F33" xr:uid="{2D752895-4397-486F-97E1-7313479DFE7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F32095C-C019-4DF5-99C3-72A8CA708E05}" name="Martial Status" dataDxfId="163"/>
    <tableColumn id="2" xr3:uid="{A4A776C8-0AAB-42E0-B796-09581D04A187}" name="Count" dataDxfId="162">
      <calculatedColumnFormula>COUNTIF(HR_Data[MaritalStatus], $B31)</calculatedColumnFormula>
    </tableColumn>
    <tableColumn id="3" xr3:uid="{DC017F05-3E08-4226-8371-D5AEE05B8F6F}" name="% of Total" dataDxfId="161">
      <calculatedColumnFormula>$C31/COUNTA(HR_Data[MaritalStatus])*100</calculatedColumnFormula>
    </tableColumn>
    <tableColumn id="4" xr3:uid="{BED70951-D610-41E9-A399-65E544F52701}" name="Avg Age" dataDxfId="160">
      <calculatedColumnFormula>AVERAGEIF(HR_Data[MaritalStatus], $B31, HR_Data[Age])</calculatedColumnFormula>
    </tableColumn>
    <tableColumn id="5" xr3:uid="{A6282000-58D5-4587-96BF-6582501BC62A}" name="Attrition Rate" dataDxfId="159">
      <calculatedColumnFormula>COUNTIFS(HR_Data[MaritalStatus], $B31, HR_Data[Attrition], "Yes")/$C31*100</calculatedColumnFormula>
    </tableColumn>
  </tableColumns>
  <tableStyleInfo name="TableStyleMedium1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5A8F0DC-C7A5-4C19-8EEB-DCD3B8B2EAE2}" name="Table31" displayName="Table31" ref="B37:F42" totalsRowShown="0" headerRowDxfId="158" dataDxfId="157">
  <autoFilter ref="B37:F42" xr:uid="{65A8F0DC-C7A5-4C19-8EEB-DCD3B8B2EAE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44A7365-773C-4798-BE2D-31976917958E}" name="Education" dataDxfId="156"/>
    <tableColumn id="2" xr3:uid="{33B40C43-4F8B-4A0A-B156-DEC7C559EDD4}" name="Description" dataDxfId="155"/>
    <tableColumn id="3" xr3:uid="{ECF125DD-7765-4226-8E64-83553BFCF2A9}" name="Count" dataDxfId="154">
      <calculatedColumnFormula>COUNTIF(HR_Data[Education], $B38)</calculatedColumnFormula>
    </tableColumn>
    <tableColumn id="4" xr3:uid="{C0CE6CE3-0D46-46B5-94AA-A0A6E58529E5}" name="% of Total" dataDxfId="153">
      <calculatedColumnFormula>$B38/COUNTA(HR_Data[Education])*100</calculatedColumnFormula>
    </tableColumn>
    <tableColumn id="5" xr3:uid="{04C99251-4FEC-477C-9F10-09312523A86E}" name="Avg Income" dataDxfId="152">
      <calculatedColumnFormula>AVERAGEIF(HR_Data[Education], $B38, HR_Data[MonthlyIncome])</calculatedColumnFormula>
    </tableColumn>
  </tableColumns>
  <tableStyleInfo name="TableStyleMedium1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B68249E-3195-44BD-9457-FC71F3041D44}" name="Table33" displayName="Table33" ref="B46:F52" totalsRowShown="0" headerRowDxfId="151" dataDxfId="150">
  <autoFilter ref="B46:F52" xr:uid="{3B68249E-3195-44BD-9457-FC71F3041D4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6A9E496-7FB1-4CEC-B81D-A923DC545DB3}" name="Education Field" dataDxfId="149"/>
    <tableColumn id="2" xr3:uid="{18233D99-1B4F-4E2F-9D3A-9C80C46B0BF2}" name="Count" dataDxfId="148">
      <calculatedColumnFormula>COUNTIF(HR_Data[EducationField], $B47)</calculatedColumnFormula>
    </tableColumn>
    <tableColumn id="3" xr3:uid="{44E0D011-E0E0-40BB-899D-33D3738062B8}" name="% of Total" dataDxfId="147">
      <calculatedColumnFormula>$C47/COUNTA(HR_Data[EducationField])*100</calculatedColumnFormula>
    </tableColumn>
    <tableColumn id="4" xr3:uid="{5EFF18FB-92AD-4E7E-A4B7-C7FBF99D3894}" name="Avg Income" dataDxfId="146">
      <calculatedColumnFormula>AVERAGEIF(HR_Data[EducationField], $B47, HR_Data[MonthlyIncome])</calculatedColumnFormula>
    </tableColumn>
    <tableColumn id="5" xr3:uid="{6ACCB0DB-49FF-49AA-8FD1-BA655714D75E}" name="Attrition Rate" dataDxfId="145">
      <calculatedColumnFormula>COUNTIFS(HR_Data[EducationField], $B47, HR_Data[Attrition], "Yes")/$C47*100</calculatedColumnFormula>
    </tableColumn>
  </tableColumns>
  <tableStyleInfo name="TableStyleMedium1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C41E8D6-4DED-4274-AD5F-E59DEC810CD4}" name="Table34" displayName="Table34" ref="B56:E60" totalsRowShown="0">
  <autoFilter ref="B56:E60" xr:uid="{BC41E8D6-4DED-4274-AD5F-E59DEC810CD4}">
    <filterColumn colId="0" hiddenButton="1"/>
    <filterColumn colId="1" hiddenButton="1"/>
    <filterColumn colId="2" hiddenButton="1"/>
    <filterColumn colId="3" hiddenButton="1"/>
  </autoFilter>
  <tableColumns count="4">
    <tableColumn id="1" xr3:uid="{94029AC8-EED3-4744-805A-4DBC4157E8E5}" name="Distance Category"/>
    <tableColumn id="2" xr3:uid="{14231FCF-496D-4A75-BDE3-04602DE2D26C}" name="Count"/>
    <tableColumn id="3" xr3:uid="{7F3502E8-8BAD-4FA8-9120-AD1844544247}" name="% of Total" dataDxfId="144">
      <calculatedColumnFormula>$C57/COUNTA(HR_Data[DistanceFromHome])*100</calculatedColumnFormula>
    </tableColumn>
    <tableColumn id="4" xr3:uid="{C54CB2B2-FDB6-4071-B78F-EC1128F46D9A}" name="Avg Attrition Rate" dataDxfId="143">
      <calculatedColumnFormula array="1">SUMPRODUCT((HR_Data[DistanceFromHome]&gt;=0)*(HR_Data[DistanceFromHome]&lt;=5)*(HR_Data[Attrition]="Yes"))/$C57*100</calculatedColumnFormula>
    </tableColumn>
  </tableColumns>
  <tableStyleInfo name="TableStyleMedium1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05ADD70-90A0-47A6-8A95-BB9D89355012}" name="Table35" displayName="Table35" ref="B6:H9" totalsRowShown="0" headerRowDxfId="142" dataDxfId="141">
  <autoFilter ref="B6:H9" xr:uid="{C05ADD70-90A0-47A6-8A95-BB9D893550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4BE2348-BAE9-4156-A2AE-1612E80855F3}" name="Department" dataDxfId="140"/>
    <tableColumn id="2" xr3:uid="{D85786D1-3AFE-4E45-8D3A-02F5FAE13612}" name="Count" dataDxfId="139">
      <calculatedColumnFormula>COUNTIF(HR_Data[Department], $B7)</calculatedColumnFormula>
    </tableColumn>
    <tableColumn id="3" xr3:uid="{F2CA8B4D-8745-4351-84ED-A38EE072D2F7}" name="% of Total" dataDxfId="138">
      <calculatedColumnFormula>$C7/COUNTA(HR_Data[Department])*100</calculatedColumnFormula>
    </tableColumn>
    <tableColumn id="4" xr3:uid="{6D8116D5-7954-4BB7-B7E9-F9A39E5CC9EF}" name="Avg Age" dataDxfId="137">
      <calculatedColumnFormula>AVERAGEIF(HR_Data[Department], $B7, HR_Data[Age])</calculatedColumnFormula>
    </tableColumn>
    <tableColumn id="5" xr3:uid="{DEF338F4-40F7-487A-8104-92C027BDFDB2}" name="Avg Income" dataDxfId="136">
      <calculatedColumnFormula>AVERAGEIF(HR_Data[Department], $B7, HR_Data[MonthlyIncome])</calculatedColumnFormula>
    </tableColumn>
    <tableColumn id="6" xr3:uid="{031A24E6-531E-46EB-A2B4-E31A444437B0}" name="Avg Performance" dataDxfId="135">
      <calculatedColumnFormula>AVERAGEIF(HR_Data[Department], $B7, HR_Data[PerformanceRating])</calculatedColumnFormula>
    </tableColumn>
    <tableColumn id="7" xr3:uid="{B116DFB5-F58D-4EC2-9717-B3EE7A6777AF}" name="Attrition Rate" dataDxfId="134">
      <calculatedColumnFormula>COUNTIFS(HR_Data[Department], $B7, HR_Data[Attrition], "Yes")/$C7*100</calculatedColumnFormula>
    </tableColumn>
  </tableColumns>
  <tableStyleInfo name="TableStyleMedium10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67D8895-E168-4B59-AE1F-B47422721B15}" name="Table32" displayName="Table32" ref="B13:C21" totalsRowShown="0" headerRowDxfId="133" dataDxfId="132">
  <autoFilter ref="B13:C21" xr:uid="{E67D8895-E168-4B59-AE1F-B47422721B15}">
    <filterColumn colId="0" hiddenButton="1"/>
    <filterColumn colId="1" hiddenButton="1"/>
  </autoFilter>
  <tableColumns count="2">
    <tableColumn id="1" xr3:uid="{F12A12BE-89BF-4D29-962F-1DF640528268}" name="Metric " dataDxfId="131"/>
    <tableColumn id="2" xr3:uid="{1FE4D845-D627-46D2-87BC-5E187FC2DDB4}" name="Value" dataDxfId="130"/>
  </tableColumns>
  <tableStyleInfo name="TableStyleMedium10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4B9EDB4-2CBF-4FCA-B80E-52B118693B7C}" name="Table37" displayName="Table37" ref="B25:C33" totalsRowShown="0" headerRowDxfId="129" dataDxfId="128">
  <autoFilter ref="B25:C33" xr:uid="{44B9EDB4-2CBF-4FCA-B80E-52B118693B7C}">
    <filterColumn colId="0" hiddenButton="1"/>
    <filterColumn colId="1" hiddenButton="1"/>
  </autoFilter>
  <tableColumns count="2">
    <tableColumn id="1" xr3:uid="{D395C317-D736-45AB-90EE-0D30B2FBA62F}" name="Metric " dataDxfId="127"/>
    <tableColumn id="2" xr3:uid="{D1C733BC-359B-4864-96AD-31C9DAD6D434}" name="Value" dataDxfId="126"/>
  </tableColumns>
  <tableStyleInfo name="TableStyleMedium1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CC264E1-CA6A-49CC-8058-DBDCCF8E9AC8}" name="Table38" displayName="Table38" ref="B37:C45" totalsRowShown="0" headerRowDxfId="125" dataDxfId="124">
  <autoFilter ref="B37:C45" xr:uid="{2CC264E1-CA6A-49CC-8058-DBDCCF8E9AC8}">
    <filterColumn colId="0" hiddenButton="1"/>
    <filterColumn colId="1" hiddenButton="1"/>
  </autoFilter>
  <tableColumns count="2">
    <tableColumn id="1" xr3:uid="{A24FF87A-2CCC-4051-AB4A-7F5203B840CD}" name="Metric" dataDxfId="123"/>
    <tableColumn id="2" xr3:uid="{D2994429-4449-4503-AF49-4B140302FE3B}" name="Value" dataDxfId="122"/>
  </tableColumns>
  <tableStyleInfo name="TableStyleMedium10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3CC4E45-09C3-4269-8EE5-E4845A78E1FD}" name="Table39" displayName="Table39" ref="E14:G16" totalsRowShown="0" headerRowDxfId="121" dataDxfId="120">
  <autoFilter ref="E14:G16" xr:uid="{03CC4E45-09C3-4269-8EE5-E4845A78E1FD}">
    <filterColumn colId="0" hiddenButton="1"/>
    <filterColumn colId="1" hiddenButton="1"/>
    <filterColumn colId="2" hiddenButton="1"/>
  </autoFilter>
  <tableColumns count="3">
    <tableColumn id="1" xr3:uid="{881BBE7A-19D4-4DD3-9B3A-7C1BB96F9505}" name="Job Role" dataDxfId="119"/>
    <tableColumn id="2" xr3:uid="{592B5DFA-A42D-485A-B1A1-24AF5E486224}" name="Count" dataDxfId="118">
      <calculatedColumnFormula>COUNTIFS(HR_Data[Department], "Human Resources", HR_Data[JobRole], $E15)</calculatedColumnFormula>
    </tableColumn>
    <tableColumn id="3" xr3:uid="{305B897F-BABC-44B7-AF36-46880BFA3AEA}" name="Avg Income" dataDxfId="117">
      <calculatedColumnFormula>AVERAGEIFS(HR_Data[MonthlyIncome], HR_Data[Department], "Human Resources", HR_Data[JobRole], $G15)</calculatedColumnFormula>
    </tableColumn>
  </tableColumns>
  <tableStyleInfo name="TableStyleMedium10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7F58BBC-62F2-422F-8192-951C9F2E8221}" name="Table40" displayName="Table40" ref="E26:G32" totalsRowShown="0" headerRowDxfId="116" dataDxfId="115">
  <autoFilter ref="E26:G32" xr:uid="{C7F58BBC-62F2-422F-8192-951C9F2E8221}">
    <filterColumn colId="0" hiddenButton="1"/>
    <filterColumn colId="1" hiddenButton="1"/>
    <filterColumn colId="2" hiddenButton="1"/>
  </autoFilter>
  <tableColumns count="3">
    <tableColumn id="1" xr3:uid="{582AD5FE-4BFD-4899-9124-418D1B382010}" name="Job Role" dataDxfId="114"/>
    <tableColumn id="2" xr3:uid="{FCCE586B-9F62-4BA7-AE5E-DC4E7C0AF41E}" name="Count" dataDxfId="113">
      <calculatedColumnFormula>COUNTIFS(HR_Data[Department], "Research &amp; Development", HR_Data[JobRole], $E27)</calculatedColumnFormula>
    </tableColumn>
    <tableColumn id="3" xr3:uid="{26674C86-A980-481F-9415-868CE561E507}" name="Avg Income" dataDxfId="112">
      <calculatedColumnFormula>AVERAGEIFS(HR_Data[MonthlyIncome], HR_Data[Department], "*Research &amp; Development*", HR_Data[JobRole], $E27)</calculatedColumnFormula>
    </tableColumn>
  </tableColumns>
  <tableStyleInfo name="TableStyleMedium10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A62B49E-7137-4BFF-A005-E094B15679ED}" name="Table41" displayName="Table41" ref="E39:G42" totalsRowShown="0" headerRowDxfId="111" dataDxfId="110">
  <autoFilter ref="E39:G42" xr:uid="{1A62B49E-7137-4BFF-A005-E094B15679ED}">
    <filterColumn colId="0" hiddenButton="1"/>
    <filterColumn colId="1" hiddenButton="1"/>
    <filterColumn colId="2" hiddenButton="1"/>
  </autoFilter>
  <tableColumns count="3">
    <tableColumn id="1" xr3:uid="{8C96F2F3-317A-481D-9D9F-343E8CB4D6A7}" name="Job Roles" dataDxfId="109"/>
    <tableColumn id="2" xr3:uid="{E3C4D825-7726-47D6-8473-F1BE399EC309}" name="Count" dataDxfId="108">
      <calculatedColumnFormula>COUNTIFS(HR_Data[Department], "Sales", HR_Data[JobRole], $E40)</calculatedColumnFormula>
    </tableColumn>
    <tableColumn id="3" xr3:uid="{DCCA06F2-5D4D-4FB4-B0CA-AD69051D74BA}" name="Avg Income" dataDxfId="107">
      <calculatedColumnFormula>AVERAGEIFS(HR_Data[MonthlyIncome], HR_Data[Department], "*Sales*", HR_Data[JobRole], $E40)</calculatedColumnFormula>
    </tableColumn>
  </tableColumns>
  <tableStyleInfo name="TableStyleMedium10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49190C4-B078-467B-836A-AAA43F28FE5B}" name="Table36" displayName="Table36" ref="B6:C12" totalsRowShown="0" headerRowDxfId="106" dataDxfId="105">
  <autoFilter ref="B6:C12" xr:uid="{649190C4-B078-467B-836A-AAA43F28FE5B}">
    <filterColumn colId="0" hiddenButton="1"/>
    <filterColumn colId="1" hiddenButton="1"/>
  </autoFilter>
  <tableColumns count="2">
    <tableColumn id="1" xr3:uid="{0BFC7D84-10DA-4424-9A7A-472593A2F54D}" name="Metric" dataDxfId="104"/>
    <tableColumn id="2" xr3:uid="{4456A4E4-AF72-4769-BA0D-AE3ACBAA393F}" name="Value" dataDxfId="103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C35963C8-04F7-49CB-BDF1-60A1B2848CA8}" name="Table42" displayName="Table42" ref="B16:F22" totalsRowShown="0" headerRowDxfId="102" dataDxfId="101">
  <autoFilter ref="B16:F22" xr:uid="{C35963C8-04F7-49CB-BDF1-60A1B2848CA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5A1975D-C450-4635-B926-2DA532EBE9B7}" name="Years at Company" dataDxfId="100"/>
    <tableColumn id="2" xr3:uid="{1F843C54-1631-4430-87FA-A8273ADFE31F}" name="Count" dataDxfId="99">
      <calculatedColumnFormula array="1">SUMPRODUCT((HR_Data[YearsAtCompany]&gt;=0)*(HR_Data[YearsAtCompany]&lt;=2))</calculatedColumnFormula>
    </tableColumn>
    <tableColumn id="3" xr3:uid="{613BB189-0CE8-4606-9A1D-E88725BB8DF2}" name="% of Total" dataDxfId="98">
      <calculatedColumnFormula>$C17/COUNTA(HR_Data[YearsAtCompany])*100</calculatedColumnFormula>
    </tableColumn>
    <tableColumn id="4" xr3:uid="{06343461-B003-4C9C-9DFF-3E6FF5C20E6C}" name="Avg Income" dataDxfId="97"/>
    <tableColumn id="5" xr3:uid="{B275ACAD-3CF7-4C6B-AEF3-84730842D7F8}" name="Attrition Rate" dataDxfId="96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4ACF337F-F76F-44DD-AF18-75D2A276A370}" name="Table43" displayName="Table43" ref="B26:E31" totalsRowShown="0" headerRowDxfId="95" dataDxfId="94">
  <autoFilter ref="B26:E31" xr:uid="{4ACF337F-F76F-44DD-AF18-75D2A276A370}">
    <filterColumn colId="0" hiddenButton="1"/>
    <filterColumn colId="1" hiddenButton="1"/>
    <filterColumn colId="2" hiddenButton="1"/>
    <filterColumn colId="3" hiddenButton="1"/>
  </autoFilter>
  <tableColumns count="4">
    <tableColumn id="1" xr3:uid="{42FD70D2-04B3-407C-85F8-E9A855BC929D}" name="Total Experience  " dataDxfId="93"/>
    <tableColumn id="2" xr3:uid="{E661F318-E08A-48C3-9EE2-980500B7D02E}" name="Count" dataDxfId="92"/>
    <tableColumn id="3" xr3:uid="{9033F861-BA22-49E4-A8FE-E5997A2A9CFF}" name="Avg Income" dataDxfId="91"/>
    <tableColumn id="4" xr3:uid="{1A05F493-2EEF-4E94-A180-CD22D4E61473}" name="Avg Performance" dataDxfId="90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10399F6F-ECDD-4998-8A3D-A59D9A45AEF2}" name="Table44" displayName="Table44" ref="B35:E51" totalsRowShown="0" headerRowDxfId="89" dataDxfId="88">
  <autoFilter ref="B35:E51" xr:uid="{10399F6F-ECDD-4998-8A3D-A59D9A45AEF2}">
    <filterColumn colId="0" hiddenButton="1"/>
    <filterColumn colId="1" hiddenButton="1"/>
    <filterColumn colId="2" hiddenButton="1"/>
    <filterColumn colId="3" hiddenButton="1"/>
  </autoFilter>
  <tableColumns count="4">
    <tableColumn id="1" xr3:uid="{47755E9B-D2D1-4DEC-83A2-2FEF7B4A8DAA}" name="Years Since Promotion" dataDxfId="87"/>
    <tableColumn id="2" xr3:uid="{AC2D74CC-FD20-4C94-858A-FA9979D8C7B7}" name="Count" dataDxfId="86">
      <calculatedColumnFormula>COUNTIF(HR_Data[YearsSinceLastPromotion], $B36)</calculatedColumnFormula>
    </tableColumn>
    <tableColumn id="3" xr3:uid="{093A6DFC-DC81-4790-AA73-8CAAF1556423}" name="% of Total" dataDxfId="85">
      <calculatedColumnFormula>$C36/COUNTA(HR_Data[YearsSinceLastPromotion])*100</calculatedColumnFormula>
    </tableColumn>
    <tableColumn id="4" xr3:uid="{7C57F4FC-6010-4E2C-A578-125268C0FB30}" name="Attrition Rate" dataDxfId="84">
      <calculatedColumnFormula>COUNTIFS(HR_Data[YearsSinceLastPromotion], $B36, HR_Data[Attrition], "Yes")/C$36*100</calculatedColumnFormula>
    </tableColumn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7705D79-87DF-4022-A480-245E553F8389}" name="Table45" displayName="Table45" ref="B55:F60" totalsRowShown="0" headerRowDxfId="83" dataDxfId="82">
  <autoFilter ref="B55:F60" xr:uid="{A7705D79-87DF-4022-A480-245E553F838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DC07547-4269-416A-A8BA-3991C01CA52B}" name="Job Level  " dataDxfId="81"/>
    <tableColumn id="2" xr3:uid="{10CC1497-4FAD-4A7F-AE9F-1408D60CC784}" name="Count" dataDxfId="80">
      <calculatedColumnFormula>COUNTIF(HR_Data[JobLevel], $B56)</calculatedColumnFormula>
    </tableColumn>
    <tableColumn id="3" xr3:uid="{DB027BA2-F921-4C54-8AF5-F431F4EA87D7}" name="Avg Tenure" dataDxfId="79">
      <calculatedColumnFormula>AVERAGEIF(HR_Data[JobLevel], $B56, HR_Data[YearsAtCompany])</calculatedColumnFormula>
    </tableColumn>
    <tableColumn id="4" xr3:uid="{920933E3-1832-4E6D-9985-91073EE4F5EE}" name="Avg Income" dataDxfId="78">
      <calculatedColumnFormula>AVERAGEIF(HR_Data[JobLevel], $B56, HR_Data[MonthlyIncome])</calculatedColumnFormula>
    </tableColumn>
    <tableColumn id="5" xr3:uid="{5056DC45-F49C-4097-93A6-60109940F256}" name="Avg Age" dataDxfId="77">
      <calculatedColumnFormula>AVERAGEIF(HR_Data[JobLevel], $B56, HR_Data[Age])</calculatedColumnFormula>
    </tableColumn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AD9E5602-E9D5-411D-AF8E-8A1BAA9143D6}" name="Table46" displayName="Table46" ref="B64:E74" totalsRowShown="0" headerRowDxfId="76" dataDxfId="75">
  <autoFilter ref="B64:E74" xr:uid="{AD9E5602-E9D5-411D-AF8E-8A1BAA9143D6}">
    <filterColumn colId="0" hiddenButton="1"/>
    <filterColumn colId="1" hiddenButton="1"/>
    <filterColumn colId="2" hiddenButton="1"/>
    <filterColumn colId="3" hiddenButton="1"/>
  </autoFilter>
  <tableColumns count="4">
    <tableColumn id="1" xr3:uid="{3BA4BCC2-ED7B-47D0-BF71-D1BE24754595}" name="Companies Worked" dataDxfId="74"/>
    <tableColumn id="2" xr3:uid="{6DE82347-4309-47F9-9F62-788F2C7307A8}" name="Count" dataDxfId="73">
      <calculatedColumnFormula>COUNTIF(HR_Data[NumCompaniesWorked], $B65)</calculatedColumnFormula>
    </tableColumn>
    <tableColumn id="3" xr3:uid="{560884B1-ED9B-4A57-8169-0772369026F8}" name="Avg Income" dataDxfId="72">
      <calculatedColumnFormula>AVERAGEIF(HR_Data[NumCompaniesWorked], $B65, HR_Data[MonthlyIncome])</calculatedColumnFormula>
    </tableColumn>
    <tableColumn id="4" xr3:uid="{883940B6-079B-4445-AC53-A07986EC96F0}" name="Attrition Rate" dataDxfId="71">
      <calculatedColumnFormula>COUNTIFS(HR_Data[NumCompaniesWorked], $B65, HR_Data[Attrition], "Yes")/$C65*100</calculatedColumnFormula>
    </tableColumn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EDE0C06-EBAA-435D-BF76-99FA1457B879}" name="Table47" displayName="Table47" ref="B78:E82" totalsRowShown="0" headerRowDxfId="70" dataDxfId="69">
  <autoFilter ref="B78:E82" xr:uid="{AEDE0C06-EBAA-435D-BF76-99FA1457B879}">
    <filterColumn colId="0" hiddenButton="1"/>
    <filterColumn colId="1" hiddenButton="1"/>
    <filterColumn colId="2" hiddenButton="1"/>
    <filterColumn colId="3" hiddenButton="1"/>
  </autoFilter>
  <tableColumns count="4">
    <tableColumn id="1" xr3:uid="{871BD39E-6EAC-4190-853E-C59EB6054014}" name="Stock Option  " dataDxfId="68"/>
    <tableColumn id="2" xr3:uid="{54B41450-3F99-4BE3-8332-08D2F496141B}" name="Count" dataDxfId="67">
      <calculatedColumnFormula>COUNTIF(HR_Data[StockOptionLevel], $B79)</calculatedColumnFormula>
    </tableColumn>
    <tableColumn id="3" xr3:uid="{E03CD2AC-F28D-4B34-AF07-42E6B1C59E51}" name="% of Total" dataDxfId="66">
      <calculatedColumnFormula>$C79/COUNTA(HR_Data[StockOptionLevel])*100</calculatedColumnFormula>
    </tableColumn>
    <tableColumn id="4" xr3:uid="{B0494E27-D5FE-4DC5-AB52-8C185CBBE6D1}" name="Attrition Rate" dataDxfId="65">
      <calculatedColumnFormula>COUNTIFS(HR_Data[StockOptionLevel], $B79, HR_Data[Attrition], "Yes")/$C79*100</calculatedColumnFormula>
    </tableColumn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82CFDD20-7B80-4493-82B2-92DEC2A66CAC}" name="Table49" displayName="Table49" ref="B6:C11" totalsRowShown="0" headerRowDxfId="64" dataDxfId="63">
  <autoFilter ref="B6:C11" xr:uid="{82CFDD20-7B80-4493-82B2-92DEC2A66CAC}">
    <filterColumn colId="0" hiddenButton="1"/>
    <filterColumn colId="1" hiddenButton="1"/>
  </autoFilter>
  <tableColumns count="2">
    <tableColumn id="1" xr3:uid="{AB4ADFF1-9CCF-4CB0-BE7A-AA1011A4BD6F}" name="Metric" dataDxfId="62"/>
    <tableColumn id="2" xr3:uid="{3F4B58AD-FBFF-4B42-9FE0-D7CBA505B606}" name="Value" dataDxfId="61"/>
  </tableColumns>
  <tableStyleInfo name="TableStyleMedium14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209220C1-B609-4F2E-BA6A-59AE60E43AE2}" name="Table50" displayName="Table50" ref="B15:F19" totalsRowShown="0" headerRowDxfId="60" dataDxfId="59">
  <autoFilter ref="B15:F19" xr:uid="{209220C1-B609-4F2E-BA6A-59AE60E43AE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65124C5-88C1-455D-90B2-4EB2DFC3DCC2}" name="Job Satisfaction" dataDxfId="58"/>
    <tableColumn id="2" xr3:uid="{FC41F3DA-4898-4108-B690-7B899A8B75E6}" name="Score" dataDxfId="57"/>
    <tableColumn id="3" xr3:uid="{92CC15AA-05CF-46B9-A6D6-121788572589}" name="Count" dataDxfId="56">
      <calculatedColumnFormula>COUNTIF(HR_Data[JobSatisfaction], $C16)</calculatedColumnFormula>
    </tableColumn>
    <tableColumn id="4" xr3:uid="{4A3A910D-7373-4E74-A159-1A694A840EBF}" name="% of Total" dataDxfId="55">
      <calculatedColumnFormula>$D16/COUNTA(HR_Data[JobSatisfaction])*100</calculatedColumnFormula>
    </tableColumn>
    <tableColumn id="5" xr3:uid="{929325A6-D753-41C3-8573-407BA9D02B94}" name="Attrition Rate" dataDxfId="54">
      <calculatedColumnFormula>COUNTIFS(HR_Data[JobSatisfaction],$C16,HR_Data[Attrition],"Yes")/$D16*100</calculatedColumnFormula>
    </tableColumn>
  </tableColumns>
  <tableStyleInfo name="TableStyleMedium14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2A3C62F-701C-4C93-B462-C44B1D5629DB}" name="Table51" displayName="Table51" ref="B23:F27" totalsRowShown="0" headerRowDxfId="53" dataDxfId="52">
  <autoFilter ref="B23:F27" xr:uid="{12A3C62F-701C-4C93-B462-C44B1D5629D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DC976E5-0D24-4FE1-B0D7-4E50E71190B6}" name="Environment Satisfaction" dataDxfId="51"/>
    <tableColumn id="2" xr3:uid="{26AE4DA2-9159-425F-991B-03A8C68BD219}" name="Score" dataDxfId="50"/>
    <tableColumn id="3" xr3:uid="{24669D61-1612-478F-BAF8-AE0B32468919}" name="Count" dataDxfId="49">
      <calculatedColumnFormula>COUNTIF(HR_Data[EnvironmentSatisfaction], $C24)</calculatedColumnFormula>
    </tableColumn>
    <tableColumn id="4" xr3:uid="{B8132F3B-5EF2-493E-A339-364428501095}" name="% of Total" dataDxfId="48">
      <calculatedColumnFormula>$D24/COUNTA(HR_Data[EnvironmentSatisfaction])*100</calculatedColumnFormula>
    </tableColumn>
    <tableColumn id="5" xr3:uid="{E4C6438A-56F9-4BFB-90B6-F173A06B1341}" name="Attrition Rate" dataDxfId="47">
      <calculatedColumnFormula>COUNTIFS(HR_Data[EnvironmentSatisfaction], $C24, HR_Data[Attrition], "Yes")/$D24*100</calculatedColumnFormula>
    </tableColumn>
  </tableColumns>
  <tableStyleInfo name="TableStyleMedium14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D4D6D7C4-AEA1-43EE-90E2-ABF20366E9CB}" name="Table52" displayName="Table52" ref="B31:F35" totalsRowShown="0" headerRowDxfId="46" dataDxfId="45">
  <autoFilter ref="B31:F35" xr:uid="{D4D6D7C4-AEA1-43EE-90E2-ABF20366E9C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4840BBE-2AC0-4A0F-AF3E-B1D4ADCDDA2C}" name="Relationship Satisfaction" dataDxfId="44"/>
    <tableColumn id="2" xr3:uid="{4055D472-F0B6-4A06-84B7-E8A686CD7E6A}" name="Score" dataDxfId="43"/>
    <tableColumn id="3" xr3:uid="{3741EFC5-CBC5-407B-8086-44283703E8E2}" name="Count" dataDxfId="42">
      <calculatedColumnFormula>COUNTIF(HR_Data[RelationshipSatisfaction], $C32)</calculatedColumnFormula>
    </tableColumn>
    <tableColumn id="4" xr3:uid="{BB4ABC3B-92B2-4447-B6D0-F27872DA88DC}" name="% of Total" dataDxfId="41">
      <calculatedColumnFormula>$D32/COUNTA(HR_Data[RelationshipSatisfaction])*100</calculatedColumnFormula>
    </tableColumn>
    <tableColumn id="5" xr3:uid="{AB1785F4-3DF6-44B6-96F0-D0E598EE2552}" name="Attrition Rate" dataDxfId="40">
      <calculatedColumnFormula>COUNTIFS(HR_Data[RelationshipSatisfaction], $C32, HR_Data[Attrition], "Yes")/$D32*100</calculatedColumnFormula>
    </tableColumn>
  </tableColumns>
  <tableStyleInfo name="TableStyleMedium14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D080392-39D5-4B87-87E4-CEFCFFF7B9EC}" name="Table53" displayName="Table53" ref="B39:F43" totalsRowShown="0" headerRowDxfId="39" dataDxfId="38">
  <autoFilter ref="B39:F43" xr:uid="{FD080392-39D5-4B87-87E4-CEFCFFF7B9E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6939CA6-9AE2-4A84-B516-D3A4266C8A90}" name="Work-Life Balance" dataDxfId="37"/>
    <tableColumn id="2" xr3:uid="{C5A520E7-2581-4CEF-A3F6-C6A7B348B09C}" name="Score" dataDxfId="36"/>
    <tableColumn id="3" xr3:uid="{BD5BECCD-2181-4702-BF23-71401A635FD3}" name="Count" dataDxfId="35">
      <calculatedColumnFormula>COUNTIF(HR_Data[WorkLifeBalance], $C40)</calculatedColumnFormula>
    </tableColumn>
    <tableColumn id="4" xr3:uid="{B4285696-0C91-4436-A584-F2AEB373BBFE}" name="% of Total" dataDxfId="34">
      <calculatedColumnFormula>$D40/COUNTA(HR_Data[WorkLifeBalance])*100</calculatedColumnFormula>
    </tableColumn>
    <tableColumn id="5" xr3:uid="{334B3190-856A-41F7-B7CB-3A7740EDCFA0}" name="Attrition Rate" dataDxfId="33">
      <calculatedColumnFormula>COUNTIFS(HR_Data[WorkLifeBalance], $C40, HR_Data[Attrition], "Yes")/$D40*100</calculatedColumnFormula>
    </tableColumn>
  </tableColumns>
  <tableStyleInfo name="TableStyleMedium14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52003F16-DC4B-4596-BE86-C89F0298532D}" name="Table54" displayName="Table54" ref="B47:G50" totalsRowShown="0" headerRowDxfId="32" dataDxfId="31">
  <autoFilter ref="B47:G50" xr:uid="{52003F16-DC4B-4596-BE86-C89F029853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C5AB12D-EC22-4A0D-8E57-BB78E889547B}" name="Department" dataDxfId="30"/>
    <tableColumn id="2" xr3:uid="{F17B0BE1-CBAD-488D-8BEE-97B6963F4211}" name="Job Satisfaction" dataDxfId="29">
      <calculatedColumnFormula>AVERAGEIF(HR_Data[Department], $B48, HR_Data[JobSatisfaction])</calculatedColumnFormula>
    </tableColumn>
    <tableColumn id="3" xr3:uid="{0CB39330-AFDE-4B10-91E0-5963B4704641}" name="Environment Satisfaction" dataDxfId="28">
      <calculatedColumnFormula>AVERAGEIF(HR_Data[Department], $B48, HR_Data[EnvironmentSatisfaction])</calculatedColumnFormula>
    </tableColumn>
    <tableColumn id="4" xr3:uid="{D50A7845-260E-41EE-9334-92CDF4B0563A}" name="Relationship Satisfaction" dataDxfId="27">
      <calculatedColumnFormula>AVERAGEIF(HR_Data[Department], $B48, HR_Data[RelationshipSatisfaction])</calculatedColumnFormula>
    </tableColumn>
    <tableColumn id="5" xr3:uid="{EFC916E7-B8B9-4CE1-8211-EB4D05FC020B}" name="Work-life Balance" dataDxfId="26">
      <calculatedColumnFormula>AVERAGEIF(HR_Data[Department], $B48, HR_Data[WorkLifeBalance])</calculatedColumnFormula>
    </tableColumn>
    <tableColumn id="6" xr3:uid="{4013022D-1E69-44F3-A7EA-8766BAA9E02F}" name="Overall Avg" dataDxfId="25">
      <calculatedColumnFormula>AVERAGE($C48:F48)</calculatedColumnFormula>
    </tableColumn>
  </tableColumns>
  <tableStyleInfo name="TableStyleMedium14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63CD9EA2-FDE1-48E8-A5D1-A596151823DE}" name="Table55" displayName="Table55" ref="B54:F63" totalsRowShown="0" headerRowDxfId="24" dataDxfId="23">
  <autoFilter ref="B54:F63" xr:uid="{63CD9EA2-FDE1-48E8-A5D1-A596151823D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D179CD0-1161-4E2C-8DC8-B72F5D0A4DFB}" name="Job Role" dataDxfId="22"/>
    <tableColumn id="2" xr3:uid="{D8F46948-8FAA-4ADC-9877-24BFC5F0D193}" name="Count" dataDxfId="21">
      <calculatedColumnFormula>COUNTIF(HR_Data[JobRole], $B55)</calculatedColumnFormula>
    </tableColumn>
    <tableColumn id="3" xr3:uid="{1393CB08-5552-46CC-9015-9B4C51471DBF}" name="Job Satisfaction" dataDxfId="20">
      <calculatedColumnFormula>AVERAGEIF(HR_Data[JobRole], $B55, HR_Data[JobSatisfaction])</calculatedColumnFormula>
    </tableColumn>
    <tableColumn id="4" xr3:uid="{C9A59A3B-6BF3-479A-A466-A3CF028DA76A}" name="Environment Satisfaction" dataDxfId="19">
      <calculatedColumnFormula>AVERAGEIF(HR_Data[JobRole], $B55, HR_Data[EnvironmentSatisfaction])</calculatedColumnFormula>
    </tableColumn>
    <tableColumn id="5" xr3:uid="{F03B2924-B68D-4BE8-899C-B869235ACD57}" name="Work-life Balance" dataDxfId="18">
      <calculatedColumnFormula>AVERAGEIF(HR_Data[JobRole], $B55, HR_Data[WorkLifeBalance])</calculatedColumnFormula>
    </tableColumn>
  </tableColumns>
  <tableStyleInfo name="TableStyleMedium14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C385C4C1-A380-4CD0-A075-DE6EC9C86E7B}" name="Table56" displayName="Table56" ref="B67:D71" totalsRowShown="0" headerRowDxfId="17" dataDxfId="16">
  <autoFilter ref="B67:D71" xr:uid="{C385C4C1-A380-4CD0-A075-DE6EC9C86E7B}">
    <filterColumn colId="0" hiddenButton="1"/>
    <filterColumn colId="1" hiddenButton="1"/>
    <filterColumn colId="2" hiddenButton="1"/>
  </autoFilter>
  <tableColumns count="3">
    <tableColumn id="1" xr3:uid="{88F11377-C94B-4F4D-BCF7-3C3EF02EE5AD}" name="Job Satisfaction" dataDxfId="15"/>
    <tableColumn id="2" xr3:uid="{40914C40-6A7E-40EF-B271-591F8B78F81E}" name="Avg Monthly Income" dataDxfId="14">
      <calculatedColumnFormula>AVERAGEIF(HR_Data[JobSatisfaction], $B68, HR_Data[MonthlyIncome])</calculatedColumnFormula>
    </tableColumn>
    <tableColumn id="3" xr3:uid="{A680C4B3-6983-4EFC-9C33-4FBE138DD429}" name="Count" dataDxfId="13">
      <calculatedColumnFormula>COUNTIF(HR_Data[JobSatisfaction], $B68)</calculatedColumnFormula>
    </tableColumn>
  </tableColumns>
  <tableStyleInfo name="TableStyleMedium14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85E80E77-ADDC-47D3-B9E0-FA2D2CDEA637}" name="Table57" displayName="Table57" ref="B75:E78" totalsRowShown="0">
  <autoFilter ref="B75:E78" xr:uid="{85E80E77-ADDC-47D3-B9E0-FA2D2CDEA637}">
    <filterColumn colId="0" hiddenButton="1"/>
    <filterColumn colId="1" hiddenButton="1"/>
    <filterColumn colId="2" hiddenButton="1"/>
    <filterColumn colId="3" hiddenButton="1"/>
  </autoFilter>
  <tableColumns count="4">
    <tableColumn id="1" xr3:uid="{0CE26836-A42B-4D5B-A038-4D6B35E30B6E}" name="Metric"/>
    <tableColumn id="2" xr3:uid="{33358BDE-8436-4F01-9C7B-72411128B18C}" name="Stayed Avg" dataDxfId="12"/>
    <tableColumn id="3" xr3:uid="{90C02031-A106-46C5-8BC0-8112EF28A951}" name="Left Avg" dataDxfId="11"/>
    <tableColumn id="4" xr3:uid="{C7C7EFEA-41DB-49B2-8459-42F728C57EB3}" name="Difference" dataDxfId="10">
      <calculatedColumnFormula>$C76-$D76</calculatedColumnFormula>
    </tableColumn>
  </tableColumns>
  <tableStyleInfo name="TableStyleMedium14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9BC8C88-4DBC-4F71-BAB3-0AE3D908786A}" name="Table58" displayName="Table58" ref="B82:F84" totalsRowShown="0" headerRowDxfId="9" dataDxfId="8">
  <autoFilter ref="B82:F84" xr:uid="{99BC8C88-4DBC-4F71-BAB3-0AE3D908786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57B2912-EE0C-407B-AD3B-354130C75D4B}" name="OverTime " dataDxfId="7"/>
    <tableColumn id="2" xr3:uid="{1C86ACAD-ABB2-42D7-895A-7FC1BDFE0C1B}" name="Count" dataDxfId="6">
      <calculatedColumnFormula>COUNTIF(HR_Data[OverTime], $B83)</calculatedColumnFormula>
    </tableColumn>
    <tableColumn id="3" xr3:uid="{CF4C67B2-E746-48AD-80E1-24B73E9122A5}" name="Job Satisfaction" dataDxfId="5">
      <calculatedColumnFormula>AVERAGEIF(HR_Data[OverTime], $B83, HR_Data[JobSatisfaction])</calculatedColumnFormula>
    </tableColumn>
    <tableColumn id="4" xr3:uid="{7F35E468-EC93-423D-905F-B469D8AE8A8D}" name="Work - life " dataDxfId="4">
      <calculatedColumnFormula>AVERAGEIF(HR_Data[OverTime],  $B83, HR_Data[WorkLifeBalance])</calculatedColumnFormula>
    </tableColumn>
    <tableColumn id="5" xr3:uid="{4EFDEBC6-25D1-49F9-A5DD-BA378E18BB11}" name="Attrition Rate" dataDxfId="3">
      <calculatedColumnFormula>COUNTIFS(HR_Data[OverTime], $B83, HR_Data[Attrition], "Yes")/$C84*100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7.xml"/><Relationship Id="rId3" Type="http://schemas.openxmlformats.org/officeDocument/2006/relationships/table" Target="../tables/table22.xml"/><Relationship Id="rId7" Type="http://schemas.openxmlformats.org/officeDocument/2006/relationships/table" Target="../tables/table26.xml"/><Relationship Id="rId2" Type="http://schemas.openxmlformats.org/officeDocument/2006/relationships/table" Target="../tables/table21.xml"/><Relationship Id="rId1" Type="http://schemas.openxmlformats.org/officeDocument/2006/relationships/drawing" Target="../drawings/drawing4.xml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.xml"/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table" Target="../tables/table28.xml"/><Relationship Id="rId1" Type="http://schemas.openxmlformats.org/officeDocument/2006/relationships/drawing" Target="../drawings/drawing5.xml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1.xml"/><Relationship Id="rId3" Type="http://schemas.openxmlformats.org/officeDocument/2006/relationships/table" Target="../tables/table36.xml"/><Relationship Id="rId7" Type="http://schemas.openxmlformats.org/officeDocument/2006/relationships/table" Target="../tables/table40.xml"/><Relationship Id="rId2" Type="http://schemas.openxmlformats.org/officeDocument/2006/relationships/table" Target="../tables/table35.xml"/><Relationship Id="rId1" Type="http://schemas.openxmlformats.org/officeDocument/2006/relationships/drawing" Target="../drawings/drawing6.xml"/><Relationship Id="rId6" Type="http://schemas.openxmlformats.org/officeDocument/2006/relationships/table" Target="../tables/table39.xml"/><Relationship Id="rId5" Type="http://schemas.openxmlformats.org/officeDocument/2006/relationships/table" Target="../tables/table38.xml"/><Relationship Id="rId4" Type="http://schemas.openxmlformats.org/officeDocument/2006/relationships/table" Target="../tables/table3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8.xml"/><Relationship Id="rId3" Type="http://schemas.openxmlformats.org/officeDocument/2006/relationships/table" Target="../tables/table43.xml"/><Relationship Id="rId7" Type="http://schemas.openxmlformats.org/officeDocument/2006/relationships/table" Target="../tables/table47.xml"/><Relationship Id="rId2" Type="http://schemas.openxmlformats.org/officeDocument/2006/relationships/table" Target="../tables/table42.xml"/><Relationship Id="rId1" Type="http://schemas.openxmlformats.org/officeDocument/2006/relationships/drawing" Target="../drawings/drawing7.xml"/><Relationship Id="rId6" Type="http://schemas.openxmlformats.org/officeDocument/2006/relationships/table" Target="../tables/table46.xml"/><Relationship Id="rId5" Type="http://schemas.openxmlformats.org/officeDocument/2006/relationships/table" Target="../tables/table45.xml"/><Relationship Id="rId4" Type="http://schemas.openxmlformats.org/officeDocument/2006/relationships/table" Target="../tables/table4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5.xml"/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drawing" Target="../drawings/drawing8.xml"/><Relationship Id="rId6" Type="http://schemas.openxmlformats.org/officeDocument/2006/relationships/table" Target="../tables/table53.xml"/><Relationship Id="rId11" Type="http://schemas.openxmlformats.org/officeDocument/2006/relationships/table" Target="../tables/table58.xml"/><Relationship Id="rId5" Type="http://schemas.openxmlformats.org/officeDocument/2006/relationships/table" Target="../tables/table52.xml"/><Relationship Id="rId10" Type="http://schemas.openxmlformats.org/officeDocument/2006/relationships/table" Target="../tables/table57.xml"/><Relationship Id="rId4" Type="http://schemas.openxmlformats.org/officeDocument/2006/relationships/table" Target="../tables/table51.xml"/><Relationship Id="rId9" Type="http://schemas.openxmlformats.org/officeDocument/2006/relationships/table" Target="../tables/table5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9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ABE7-9A68-40AF-850A-AEE33481CE88}">
  <dimension ref="A1:AI1471"/>
  <sheetViews>
    <sheetView workbookViewId="0">
      <selection activeCell="E22" sqref="E22"/>
    </sheetView>
  </sheetViews>
  <sheetFormatPr defaultRowHeight="15" x14ac:dyDescent="0.25"/>
  <cols>
    <col min="1" max="1" width="9" style="6" bestFit="1" customWidth="1"/>
    <col min="2" max="2" width="13.140625" style="4" bestFit="1" customWidth="1"/>
    <col min="3" max="3" width="18.85546875" bestFit="1" customWidth="1"/>
    <col min="4" max="4" width="14" bestFit="1" customWidth="1"/>
    <col min="5" max="5" width="23.85546875" bestFit="1" customWidth="1"/>
    <col min="6" max="6" width="23.28515625" bestFit="1" customWidth="1"/>
    <col min="7" max="7" width="14.28515625" bestFit="1" customWidth="1"/>
    <col min="8" max="8" width="18.85546875" bestFit="1" customWidth="1"/>
    <col min="9" max="9" width="19.85546875" bestFit="1" customWidth="1"/>
    <col min="10" max="10" width="22" bestFit="1" customWidth="1"/>
    <col min="11" max="11" width="27.7109375" bestFit="1" customWidth="1"/>
    <col min="12" max="12" width="12.28515625" bestFit="1" customWidth="1"/>
    <col min="13" max="13" width="15.42578125" bestFit="1" customWidth="1"/>
    <col min="14" max="14" width="20" bestFit="1" customWidth="1"/>
    <col min="15" max="15" width="13.28515625" bestFit="1" customWidth="1"/>
    <col min="16" max="16" width="25" bestFit="1" customWidth="1"/>
    <col min="17" max="17" width="19" bestFit="1" customWidth="1"/>
    <col min="18" max="18" width="17.42578125" bestFit="1" customWidth="1"/>
    <col min="19" max="19" width="19.85546875" bestFit="1" customWidth="1"/>
    <col min="20" max="20" width="17.140625" bestFit="1" customWidth="1"/>
    <col min="21" max="21" width="27.28515625" bestFit="1" customWidth="1"/>
    <col min="22" max="22" width="11.85546875" bestFit="1" customWidth="1"/>
    <col min="23" max="23" width="14.28515625" bestFit="1" customWidth="1"/>
    <col min="24" max="24" width="22" bestFit="1" customWidth="1"/>
    <col min="25" max="25" width="22.85546875" bestFit="1" customWidth="1"/>
    <col min="26" max="26" width="27.42578125" bestFit="1" customWidth="1"/>
    <col min="27" max="27" width="18.7109375" bestFit="1" customWidth="1"/>
    <col min="28" max="28" width="21.28515625" bestFit="1" customWidth="1"/>
    <col min="29" max="29" width="22.7109375" bestFit="1" customWidth="1"/>
    <col min="30" max="30" width="25.7109375" bestFit="1" customWidth="1"/>
    <col min="31" max="31" width="20.7109375" bestFit="1" customWidth="1"/>
    <col min="32" max="32" width="20.85546875" bestFit="1" customWidth="1"/>
    <col min="33" max="33" width="23.140625" bestFit="1" customWidth="1"/>
    <col min="34" max="34" width="28.42578125" bestFit="1" customWidth="1"/>
    <col min="35" max="35" width="26.85546875" bestFit="1" customWidth="1"/>
  </cols>
  <sheetData>
    <row r="1" spans="1:35" x14ac:dyDescent="0.25">
      <c r="A1" s="5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6">
        <v>41</v>
      </c>
      <c r="B2" s="4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 s="6">
        <v>49</v>
      </c>
      <c r="B3" s="4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 s="6">
        <v>37</v>
      </c>
      <c r="B4" s="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 s="6">
        <v>33</v>
      </c>
      <c r="B5" s="4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 s="6">
        <v>27</v>
      </c>
      <c r="B6" s="4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 s="6">
        <v>32</v>
      </c>
      <c r="B7" s="4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 s="6">
        <v>59</v>
      </c>
      <c r="B8" s="4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 s="6">
        <v>30</v>
      </c>
      <c r="B9" s="4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 s="6">
        <v>38</v>
      </c>
      <c r="B10" s="4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 s="6">
        <v>36</v>
      </c>
      <c r="B11" s="4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 s="6">
        <v>35</v>
      </c>
      <c r="B12" s="4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 s="6">
        <v>29</v>
      </c>
      <c r="B13" s="4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 s="6">
        <v>31</v>
      </c>
      <c r="B14" s="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 s="6">
        <v>34</v>
      </c>
      <c r="B15" s="4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 s="6">
        <v>28</v>
      </c>
      <c r="B16" s="4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 s="6">
        <v>29</v>
      </c>
      <c r="B17" s="4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 s="6">
        <v>32</v>
      </c>
      <c r="B18" s="4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 s="6">
        <v>22</v>
      </c>
      <c r="B19" s="4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 s="6">
        <v>53</v>
      </c>
      <c r="B20" s="4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 s="6">
        <v>38</v>
      </c>
      <c r="B21" s="4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 s="6">
        <v>24</v>
      </c>
      <c r="B22" s="4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 s="6">
        <v>36</v>
      </c>
      <c r="B23" s="4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 s="6">
        <v>34</v>
      </c>
      <c r="B24" s="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 s="6">
        <v>21</v>
      </c>
      <c r="B25" s="4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s="6">
        <v>34</v>
      </c>
      <c r="B26" s="4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 s="6">
        <v>53</v>
      </c>
      <c r="B27" s="4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 s="6">
        <v>32</v>
      </c>
      <c r="B28" s="4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 s="6">
        <v>42</v>
      </c>
      <c r="B29" s="4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 s="6">
        <v>44</v>
      </c>
      <c r="B30" s="4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 s="6">
        <v>46</v>
      </c>
      <c r="B31" s="4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 s="6">
        <v>33</v>
      </c>
      <c r="B32" s="4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 s="6">
        <v>44</v>
      </c>
      <c r="B33" s="4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 s="6">
        <v>30</v>
      </c>
      <c r="B34" s="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 s="6">
        <v>39</v>
      </c>
      <c r="B35" s="4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 s="6">
        <v>24</v>
      </c>
      <c r="B36" s="4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 s="6">
        <v>43</v>
      </c>
      <c r="B37" s="4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 s="6">
        <v>50</v>
      </c>
      <c r="B38" s="4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 s="6">
        <v>35</v>
      </c>
      <c r="B39" s="4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 s="6">
        <v>36</v>
      </c>
      <c r="B40" s="4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 s="6">
        <v>33</v>
      </c>
      <c r="B41" s="4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 s="6">
        <v>35</v>
      </c>
      <c r="B42" s="4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 s="6">
        <v>27</v>
      </c>
      <c r="B43" s="4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 s="6">
        <v>26</v>
      </c>
      <c r="B44" s="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 s="6">
        <v>27</v>
      </c>
      <c r="B45" s="4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 s="6">
        <v>30</v>
      </c>
      <c r="B46" s="4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 s="6">
        <v>41</v>
      </c>
      <c r="B47" s="4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 s="6">
        <v>34</v>
      </c>
      <c r="B48" s="4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 s="6">
        <v>37</v>
      </c>
      <c r="B49" s="4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 s="6">
        <v>46</v>
      </c>
      <c r="B50" s="4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 s="6">
        <v>35</v>
      </c>
      <c r="B51" s="4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 s="6">
        <v>48</v>
      </c>
      <c r="B52" s="4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 s="6">
        <v>28</v>
      </c>
      <c r="B53" s="4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 s="6">
        <v>44</v>
      </c>
      <c r="B54" s="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 s="6">
        <v>35</v>
      </c>
      <c r="B55" s="4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 s="6">
        <v>26</v>
      </c>
      <c r="B56" s="4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 s="6">
        <v>33</v>
      </c>
      <c r="B57" s="4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 s="6">
        <v>35</v>
      </c>
      <c r="B58" s="4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 s="6">
        <v>35</v>
      </c>
      <c r="B59" s="4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 s="6">
        <v>31</v>
      </c>
      <c r="B60" s="4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 s="6">
        <v>37</v>
      </c>
      <c r="B61" s="4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 s="6">
        <v>32</v>
      </c>
      <c r="B62" s="4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 s="6">
        <v>38</v>
      </c>
      <c r="B63" s="4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 s="6">
        <v>50</v>
      </c>
      <c r="B64" s="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 s="6">
        <v>59</v>
      </c>
      <c r="B65" s="4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 s="6">
        <v>36</v>
      </c>
      <c r="B66" s="4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 s="6">
        <v>55</v>
      </c>
      <c r="B67" s="4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 s="6">
        <v>36</v>
      </c>
      <c r="B68" s="4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 s="6">
        <v>45</v>
      </c>
      <c r="B69" s="4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 s="6">
        <v>35</v>
      </c>
      <c r="B70" s="4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 s="6">
        <v>36</v>
      </c>
      <c r="B71" s="4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 s="6">
        <v>59</v>
      </c>
      <c r="B72" s="4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 s="6">
        <v>29</v>
      </c>
      <c r="B73" s="4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 s="6">
        <v>31</v>
      </c>
      <c r="B74" s="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 s="6">
        <v>32</v>
      </c>
      <c r="B75" s="4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 s="6">
        <v>36</v>
      </c>
      <c r="B76" s="4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 s="6">
        <v>31</v>
      </c>
      <c r="B77" s="4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 s="6">
        <v>35</v>
      </c>
      <c r="B78" s="4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 s="6">
        <v>45</v>
      </c>
      <c r="B79" s="4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 s="6">
        <v>37</v>
      </c>
      <c r="B80" s="4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 s="6">
        <v>46</v>
      </c>
      <c r="B81" s="4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 s="6">
        <v>30</v>
      </c>
      <c r="B82" s="4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 s="6">
        <v>35</v>
      </c>
      <c r="B83" s="4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 s="6">
        <v>55</v>
      </c>
      <c r="B84" s="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 s="6">
        <v>38</v>
      </c>
      <c r="B85" s="4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 s="6">
        <v>34</v>
      </c>
      <c r="B86" s="4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 s="6">
        <v>56</v>
      </c>
      <c r="B87" s="4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 s="6">
        <v>23</v>
      </c>
      <c r="B88" s="4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 s="6">
        <v>51</v>
      </c>
      <c r="B89" s="4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 s="6">
        <v>30</v>
      </c>
      <c r="B90" s="4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 s="6">
        <v>46</v>
      </c>
      <c r="B91" s="4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 s="6">
        <v>40</v>
      </c>
      <c r="B92" s="4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 s="6">
        <v>51</v>
      </c>
      <c r="B93" s="4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 s="6">
        <v>30</v>
      </c>
      <c r="B94" s="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 s="6">
        <v>46</v>
      </c>
      <c r="B95" s="4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 s="6">
        <v>32</v>
      </c>
      <c r="B96" s="4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 s="6">
        <v>54</v>
      </c>
      <c r="B97" s="4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 s="6">
        <v>24</v>
      </c>
      <c r="B98" s="4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 s="6">
        <v>28</v>
      </c>
      <c r="B99" s="4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 s="6">
        <v>58</v>
      </c>
      <c r="B100" s="4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 s="6">
        <v>44</v>
      </c>
      <c r="B101" s="4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 s="6">
        <v>37</v>
      </c>
      <c r="B102" s="4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 s="6">
        <v>32</v>
      </c>
      <c r="B103" s="4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 s="6">
        <v>20</v>
      </c>
      <c r="B104" s="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 s="6">
        <v>34</v>
      </c>
      <c r="B105" s="4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 s="6">
        <v>37</v>
      </c>
      <c r="B106" s="4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 s="6">
        <v>59</v>
      </c>
      <c r="B107" s="4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 s="6">
        <v>50</v>
      </c>
      <c r="B108" s="4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 s="6">
        <v>25</v>
      </c>
      <c r="B109" s="4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 s="6">
        <v>25</v>
      </c>
      <c r="B110" s="4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 s="6">
        <v>22</v>
      </c>
      <c r="B111" s="4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 s="6">
        <v>51</v>
      </c>
      <c r="B112" s="4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 s="6">
        <v>34</v>
      </c>
      <c r="B113" s="4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 s="6">
        <v>54</v>
      </c>
      <c r="B114" s="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 s="6">
        <v>24</v>
      </c>
      <c r="B115" s="4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 s="6">
        <v>34</v>
      </c>
      <c r="B116" s="4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 s="6">
        <v>37</v>
      </c>
      <c r="B117" s="4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 s="6">
        <v>34</v>
      </c>
      <c r="B118" s="4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 s="6">
        <v>36</v>
      </c>
      <c r="B119" s="4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 s="6">
        <v>36</v>
      </c>
      <c r="B120" s="4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 s="6">
        <v>43</v>
      </c>
      <c r="B121" s="4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 s="6">
        <v>30</v>
      </c>
      <c r="B122" s="4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 s="6">
        <v>33</v>
      </c>
      <c r="B123" s="4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 s="6">
        <v>56</v>
      </c>
      <c r="B124" s="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 s="6">
        <v>51</v>
      </c>
      <c r="B125" s="4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 s="6">
        <v>31</v>
      </c>
      <c r="B126" s="4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 s="6">
        <v>26</v>
      </c>
      <c r="B127" s="4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 s="6">
        <v>58</v>
      </c>
      <c r="B128" s="4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 s="6">
        <v>19</v>
      </c>
      <c r="B129" s="4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 s="6">
        <v>22</v>
      </c>
      <c r="B130" s="4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 s="6">
        <v>49</v>
      </c>
      <c r="B131" s="4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 s="6">
        <v>43</v>
      </c>
      <c r="B132" s="4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 s="6">
        <v>50</v>
      </c>
      <c r="B133" s="4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 s="6">
        <v>31</v>
      </c>
      <c r="B134" s="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 s="6">
        <v>41</v>
      </c>
      <c r="B135" s="4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 s="6">
        <v>26</v>
      </c>
      <c r="B136" s="4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 s="6">
        <v>36</v>
      </c>
      <c r="B137" s="4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 s="6">
        <v>51</v>
      </c>
      <c r="B138" s="4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 s="6">
        <v>39</v>
      </c>
      <c r="B139" s="4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 s="6">
        <v>25</v>
      </c>
      <c r="B140" s="4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 s="6">
        <v>30</v>
      </c>
      <c r="B141" s="4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 s="6">
        <v>32</v>
      </c>
      <c r="B142" s="4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 s="6">
        <v>45</v>
      </c>
      <c r="B143" s="4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 s="6">
        <v>38</v>
      </c>
      <c r="B144" s="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 s="6">
        <v>30</v>
      </c>
      <c r="B145" s="4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 s="6">
        <v>32</v>
      </c>
      <c r="B146" s="4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 s="6">
        <v>30</v>
      </c>
      <c r="B147" s="4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 s="6">
        <v>30</v>
      </c>
      <c r="B148" s="4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 s="6">
        <v>41</v>
      </c>
      <c r="B149" s="4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 s="6">
        <v>41</v>
      </c>
      <c r="B150" s="4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 s="6">
        <v>19</v>
      </c>
      <c r="B151" s="4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 s="6">
        <v>40</v>
      </c>
      <c r="B152" s="4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 s="6">
        <v>35</v>
      </c>
      <c r="B153" s="4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 s="6">
        <v>53</v>
      </c>
      <c r="B154" s="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 s="6">
        <v>45</v>
      </c>
      <c r="B155" s="4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 s="6">
        <v>32</v>
      </c>
      <c r="B156" s="4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 s="6">
        <v>29</v>
      </c>
      <c r="B157" s="4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 s="6">
        <v>51</v>
      </c>
      <c r="B158" s="4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 s="6">
        <v>58</v>
      </c>
      <c r="B159" s="4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 s="6">
        <v>40</v>
      </c>
      <c r="B160" s="4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 s="6">
        <v>34</v>
      </c>
      <c r="B161" s="4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 s="6">
        <v>22</v>
      </c>
      <c r="B162" s="4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 s="6">
        <v>27</v>
      </c>
      <c r="B163" s="4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 s="6">
        <v>28</v>
      </c>
      <c r="B164" s="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 s="6">
        <v>57</v>
      </c>
      <c r="B165" s="4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 s="6">
        <v>27</v>
      </c>
      <c r="B166" s="4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 s="6">
        <v>50</v>
      </c>
      <c r="B167" s="4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 s="6">
        <v>41</v>
      </c>
      <c r="B168" s="4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 s="6">
        <v>30</v>
      </c>
      <c r="B169" s="4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 s="6">
        <v>38</v>
      </c>
      <c r="B170" s="4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 s="6">
        <v>32</v>
      </c>
      <c r="B171" s="4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 s="6">
        <v>27</v>
      </c>
      <c r="B172" s="4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 s="6">
        <v>19</v>
      </c>
      <c r="B173" s="4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 s="6">
        <v>36</v>
      </c>
      <c r="B174" s="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 s="6">
        <v>30</v>
      </c>
      <c r="B175" s="4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 s="6">
        <v>45</v>
      </c>
      <c r="B176" s="4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 s="6">
        <v>56</v>
      </c>
      <c r="B177" s="4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 s="6">
        <v>33</v>
      </c>
      <c r="B178" s="4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 s="6">
        <v>19</v>
      </c>
      <c r="B179" s="4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 s="6">
        <v>46</v>
      </c>
      <c r="B180" s="4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 s="6">
        <v>38</v>
      </c>
      <c r="B181" s="4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 s="6">
        <v>31</v>
      </c>
      <c r="B182" s="4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 s="6">
        <v>34</v>
      </c>
      <c r="B183" s="4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 s="6">
        <v>41</v>
      </c>
      <c r="B184" s="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 s="6">
        <v>50</v>
      </c>
      <c r="B185" s="4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 s="6">
        <v>53</v>
      </c>
      <c r="B186" s="4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 s="6">
        <v>33</v>
      </c>
      <c r="B187" s="4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 s="6">
        <v>40</v>
      </c>
      <c r="B188" s="4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 s="6">
        <v>55</v>
      </c>
      <c r="B189" s="4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 s="6">
        <v>34</v>
      </c>
      <c r="B190" s="4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 s="6">
        <v>51</v>
      </c>
      <c r="B191" s="4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 s="6">
        <v>52</v>
      </c>
      <c r="B192" s="4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 s="6">
        <v>27</v>
      </c>
      <c r="B193" s="4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 s="6">
        <v>35</v>
      </c>
      <c r="B194" s="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 s="6">
        <v>43</v>
      </c>
      <c r="B195" s="4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 s="6">
        <v>45</v>
      </c>
      <c r="B196" s="4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 s="6">
        <v>37</v>
      </c>
      <c r="B197" s="4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 s="6">
        <v>35</v>
      </c>
      <c r="B198" s="4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 s="6">
        <v>42</v>
      </c>
      <c r="B199" s="4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 s="6">
        <v>38</v>
      </c>
      <c r="B200" s="4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 s="6">
        <v>38</v>
      </c>
      <c r="B201" s="4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 s="6">
        <v>27</v>
      </c>
      <c r="B202" s="4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 s="6">
        <v>49</v>
      </c>
      <c r="B203" s="4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 s="6">
        <v>34</v>
      </c>
      <c r="B204" s="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 s="6">
        <v>40</v>
      </c>
      <c r="B205" s="4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 s="6">
        <v>38</v>
      </c>
      <c r="B206" s="4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 s="6">
        <v>29</v>
      </c>
      <c r="B207" s="4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 s="6">
        <v>22</v>
      </c>
      <c r="B208" s="4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 s="6">
        <v>36</v>
      </c>
      <c r="B209" s="4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 s="6">
        <v>40</v>
      </c>
      <c r="B210" s="4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 s="6">
        <v>46</v>
      </c>
      <c r="B211" s="4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 s="6">
        <v>32</v>
      </c>
      <c r="B212" s="4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 s="6">
        <v>30</v>
      </c>
      <c r="B213" s="4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 s="6">
        <v>27</v>
      </c>
      <c r="B214" s="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 s="6">
        <v>51</v>
      </c>
      <c r="B215" s="4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 s="6">
        <v>30</v>
      </c>
      <c r="B216" s="4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 s="6">
        <v>41</v>
      </c>
      <c r="B217" s="4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 s="6">
        <v>30</v>
      </c>
      <c r="B218" s="4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 s="6">
        <v>29</v>
      </c>
      <c r="B219" s="4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 s="6">
        <v>45</v>
      </c>
      <c r="B220" s="4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 s="6">
        <v>54</v>
      </c>
      <c r="B221" s="4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 s="6">
        <v>36</v>
      </c>
      <c r="B222" s="4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 s="6">
        <v>33</v>
      </c>
      <c r="B223" s="4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 s="6">
        <v>37</v>
      </c>
      <c r="B224" s="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 s="6">
        <v>38</v>
      </c>
      <c r="B225" s="4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 s="6">
        <v>31</v>
      </c>
      <c r="B226" s="4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 s="6">
        <v>59</v>
      </c>
      <c r="B227" s="4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 s="6">
        <v>37</v>
      </c>
      <c r="B228" s="4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 s="6">
        <v>29</v>
      </c>
      <c r="B229" s="4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 s="6">
        <v>35</v>
      </c>
      <c r="B230" s="4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 s="6">
        <v>29</v>
      </c>
      <c r="B231" s="4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 s="6">
        <v>52</v>
      </c>
      <c r="B232" s="4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 s="6">
        <v>42</v>
      </c>
      <c r="B233" s="4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 s="6">
        <v>59</v>
      </c>
      <c r="B234" s="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 s="6">
        <v>50</v>
      </c>
      <c r="B235" s="4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 s="6">
        <v>33</v>
      </c>
      <c r="B236" s="4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 s="6">
        <v>43</v>
      </c>
      <c r="B237" s="4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 s="6">
        <v>33</v>
      </c>
      <c r="B238" s="4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 s="6">
        <v>52</v>
      </c>
      <c r="B239" s="4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 s="6">
        <v>32</v>
      </c>
      <c r="B240" s="4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 s="6">
        <v>32</v>
      </c>
      <c r="B241" s="4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 s="6">
        <v>39</v>
      </c>
      <c r="B242" s="4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 s="6">
        <v>32</v>
      </c>
      <c r="B243" s="4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 s="6">
        <v>41</v>
      </c>
      <c r="B244" s="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 s="6">
        <v>40</v>
      </c>
      <c r="B245" s="4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 s="6">
        <v>45</v>
      </c>
      <c r="B246" s="4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 s="6">
        <v>31</v>
      </c>
      <c r="B247" s="4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 s="6">
        <v>33</v>
      </c>
      <c r="B248" s="4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 s="6">
        <v>34</v>
      </c>
      <c r="B249" s="4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 s="6">
        <v>37</v>
      </c>
      <c r="B250" s="4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 s="6">
        <v>45</v>
      </c>
      <c r="B251" s="4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 s="6">
        <v>37</v>
      </c>
      <c r="B252" s="4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 s="6">
        <v>39</v>
      </c>
      <c r="B253" s="4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 s="6">
        <v>29</v>
      </c>
      <c r="B254" s="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 s="6">
        <v>42</v>
      </c>
      <c r="B255" s="4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 s="6">
        <v>29</v>
      </c>
      <c r="B256" s="4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 s="6">
        <v>25</v>
      </c>
      <c r="B257" s="4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 s="6">
        <v>42</v>
      </c>
      <c r="B258" s="4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 s="6">
        <v>40</v>
      </c>
      <c r="B259" s="4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 s="6">
        <v>51</v>
      </c>
      <c r="B260" s="4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 s="6">
        <v>31</v>
      </c>
      <c r="B261" s="4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 s="6">
        <v>32</v>
      </c>
      <c r="B262" s="4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 s="6">
        <v>38</v>
      </c>
      <c r="B263" s="4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 s="6">
        <v>32</v>
      </c>
      <c r="B264" s="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 s="6">
        <v>46</v>
      </c>
      <c r="B265" s="4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 s="6">
        <v>28</v>
      </c>
      <c r="B266" s="4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 s="6">
        <v>29</v>
      </c>
      <c r="B267" s="4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 s="6">
        <v>31</v>
      </c>
      <c r="B268" s="4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 s="6">
        <v>25</v>
      </c>
      <c r="B269" s="4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 s="6">
        <v>45</v>
      </c>
      <c r="B270" s="4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 s="6">
        <v>36</v>
      </c>
      <c r="B271" s="4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 s="6">
        <v>55</v>
      </c>
      <c r="B272" s="4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 s="6">
        <v>47</v>
      </c>
      <c r="B273" s="4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 s="6">
        <v>28</v>
      </c>
      <c r="B274" s="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 s="6">
        <v>37</v>
      </c>
      <c r="B275" s="4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 s="6">
        <v>21</v>
      </c>
      <c r="B276" s="4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 s="6">
        <v>37</v>
      </c>
      <c r="B277" s="4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 s="6">
        <v>35</v>
      </c>
      <c r="B278" s="4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 s="6">
        <v>38</v>
      </c>
      <c r="B279" s="4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 s="6">
        <v>26</v>
      </c>
      <c r="B280" s="4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 s="6">
        <v>50</v>
      </c>
      <c r="B281" s="4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 s="6">
        <v>53</v>
      </c>
      <c r="B282" s="4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 s="6">
        <v>42</v>
      </c>
      <c r="B283" s="4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 s="6">
        <v>29</v>
      </c>
      <c r="B284" s="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 s="6">
        <v>55</v>
      </c>
      <c r="B285" s="4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 s="6">
        <v>26</v>
      </c>
      <c r="B286" s="4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 s="6">
        <v>37</v>
      </c>
      <c r="B287" s="4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 s="6">
        <v>44</v>
      </c>
      <c r="B288" s="4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 s="6">
        <v>38</v>
      </c>
      <c r="B289" s="4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 s="6">
        <v>26</v>
      </c>
      <c r="B290" s="4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 s="6">
        <v>28</v>
      </c>
      <c r="B291" s="4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 s="6">
        <v>49</v>
      </c>
      <c r="B292" s="4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 s="6">
        <v>36</v>
      </c>
      <c r="B293" s="4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 s="6">
        <v>31</v>
      </c>
      <c r="B294" s="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 s="6">
        <v>26</v>
      </c>
      <c r="B295" s="4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 s="6">
        <v>37</v>
      </c>
      <c r="B296" s="4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 s="6">
        <v>42</v>
      </c>
      <c r="B297" s="4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 s="6">
        <v>18</v>
      </c>
      <c r="B298" s="4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 s="6">
        <v>35</v>
      </c>
      <c r="B299" s="4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 s="6">
        <v>36</v>
      </c>
      <c r="B300" s="4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 s="6">
        <v>51</v>
      </c>
      <c r="B301" s="4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 s="6">
        <v>41</v>
      </c>
      <c r="B302" s="4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 s="6">
        <v>18</v>
      </c>
      <c r="B303" s="4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 s="6">
        <v>28</v>
      </c>
      <c r="B304" s="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 s="6">
        <v>31</v>
      </c>
      <c r="B305" s="4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 s="6">
        <v>39</v>
      </c>
      <c r="B306" s="4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 s="6">
        <v>36</v>
      </c>
      <c r="B307" s="4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 s="6">
        <v>32</v>
      </c>
      <c r="B308" s="4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 s="6">
        <v>38</v>
      </c>
      <c r="B309" s="4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 s="6">
        <v>58</v>
      </c>
      <c r="B310" s="4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 s="6">
        <v>31</v>
      </c>
      <c r="B311" s="4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 s="6">
        <v>31</v>
      </c>
      <c r="B312" s="4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 s="6">
        <v>45</v>
      </c>
      <c r="B313" s="4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 s="6">
        <v>31</v>
      </c>
      <c r="B314" s="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 s="6">
        <v>33</v>
      </c>
      <c r="B315" s="4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 s="6">
        <v>39</v>
      </c>
      <c r="B316" s="4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 s="6">
        <v>43</v>
      </c>
      <c r="B317" s="4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 s="6">
        <v>49</v>
      </c>
      <c r="B318" s="4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 s="6">
        <v>52</v>
      </c>
      <c r="B319" s="4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 s="6">
        <v>27</v>
      </c>
      <c r="B320" s="4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 s="6">
        <v>32</v>
      </c>
      <c r="B321" s="4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 s="6">
        <v>27</v>
      </c>
      <c r="B322" s="4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 s="6">
        <v>31</v>
      </c>
      <c r="B323" s="4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 s="6">
        <v>32</v>
      </c>
      <c r="B324" s="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 s="6">
        <v>28</v>
      </c>
      <c r="B325" s="4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 s="6">
        <v>30</v>
      </c>
      <c r="B326" s="4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 s="6">
        <v>31</v>
      </c>
      <c r="B327" s="4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 s="6">
        <v>39</v>
      </c>
      <c r="B328" s="4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 s="6">
        <v>39</v>
      </c>
      <c r="B329" s="4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 s="6">
        <v>33</v>
      </c>
      <c r="B330" s="4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 s="6">
        <v>47</v>
      </c>
      <c r="B331" s="4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 s="6">
        <v>43</v>
      </c>
      <c r="B332" s="4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 s="6">
        <v>27</v>
      </c>
      <c r="B333" s="4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 s="6">
        <v>54</v>
      </c>
      <c r="B334" s="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 s="6">
        <v>43</v>
      </c>
      <c r="B335" s="4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 s="6">
        <v>45</v>
      </c>
      <c r="B336" s="4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 s="6">
        <v>40</v>
      </c>
      <c r="B337" s="4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 s="6">
        <v>29</v>
      </c>
      <c r="B338" s="4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 s="6">
        <v>29</v>
      </c>
      <c r="B339" s="4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 s="6">
        <v>30</v>
      </c>
      <c r="B340" s="4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 s="6">
        <v>27</v>
      </c>
      <c r="B341" s="4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 s="6">
        <v>37</v>
      </c>
      <c r="B342" s="4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 s="6">
        <v>38</v>
      </c>
      <c r="B343" s="4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 s="6">
        <v>31</v>
      </c>
      <c r="B344" s="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 s="6">
        <v>29</v>
      </c>
      <c r="B345" s="4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 s="6">
        <v>35</v>
      </c>
      <c r="B346" s="4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 s="6">
        <v>23</v>
      </c>
      <c r="B347" s="4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 s="6">
        <v>41</v>
      </c>
      <c r="B348" s="4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 s="6">
        <v>47</v>
      </c>
      <c r="B349" s="4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 s="6">
        <v>42</v>
      </c>
      <c r="B350" s="4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 s="6">
        <v>29</v>
      </c>
      <c r="B351" s="4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 s="6">
        <v>42</v>
      </c>
      <c r="B352" s="4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 s="6">
        <v>32</v>
      </c>
      <c r="B353" s="4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 s="6">
        <v>48</v>
      </c>
      <c r="B354" s="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 s="6">
        <v>37</v>
      </c>
      <c r="B355" s="4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 s="6">
        <v>30</v>
      </c>
      <c r="B356" s="4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 s="6">
        <v>26</v>
      </c>
      <c r="B357" s="4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 s="6">
        <v>42</v>
      </c>
      <c r="B358" s="4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 s="6">
        <v>21</v>
      </c>
      <c r="B359" s="4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 s="6">
        <v>36</v>
      </c>
      <c r="B360" s="4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 s="6">
        <v>36</v>
      </c>
      <c r="B361" s="4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 s="6">
        <v>57</v>
      </c>
      <c r="B362" s="4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 s="6">
        <v>40</v>
      </c>
      <c r="B363" s="4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 s="6">
        <v>21</v>
      </c>
      <c r="B364" s="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 s="6">
        <v>33</v>
      </c>
      <c r="B365" s="4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 s="6">
        <v>37</v>
      </c>
      <c r="B366" s="4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 s="6">
        <v>46</v>
      </c>
      <c r="B367" s="4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 s="6">
        <v>41</v>
      </c>
      <c r="B368" s="4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 s="6">
        <v>50</v>
      </c>
      <c r="B369" s="4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 s="6">
        <v>40</v>
      </c>
      <c r="B370" s="4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 s="6">
        <v>31</v>
      </c>
      <c r="B371" s="4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 s="6">
        <v>21</v>
      </c>
      <c r="B372" s="4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 s="6">
        <v>29</v>
      </c>
      <c r="B373" s="4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 s="6">
        <v>35</v>
      </c>
      <c r="B374" s="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 s="6">
        <v>27</v>
      </c>
      <c r="B375" s="4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 s="6">
        <v>28</v>
      </c>
      <c r="B376" s="4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 s="6">
        <v>49</v>
      </c>
      <c r="B377" s="4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 s="6">
        <v>51</v>
      </c>
      <c r="B378" s="4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 s="6">
        <v>36</v>
      </c>
      <c r="B379" s="4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 s="6">
        <v>34</v>
      </c>
      <c r="B380" s="4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 s="6">
        <v>55</v>
      </c>
      <c r="B381" s="4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 s="6">
        <v>24</v>
      </c>
      <c r="B382" s="4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 s="6">
        <v>30</v>
      </c>
      <c r="B383" s="4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 s="6">
        <v>26</v>
      </c>
      <c r="B384" s="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 s="6">
        <v>22</v>
      </c>
      <c r="B385" s="4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 s="6">
        <v>36</v>
      </c>
      <c r="B386" s="4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 s="6">
        <v>30</v>
      </c>
      <c r="B387" s="4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 s="6">
        <v>37</v>
      </c>
      <c r="B388" s="4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 s="6">
        <v>40</v>
      </c>
      <c r="B389" s="4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 s="6">
        <v>42</v>
      </c>
      <c r="B390" s="4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 s="6">
        <v>37</v>
      </c>
      <c r="B391" s="4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 s="6">
        <v>43</v>
      </c>
      <c r="B392" s="4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 s="6">
        <v>40</v>
      </c>
      <c r="B393" s="4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 s="6">
        <v>54</v>
      </c>
      <c r="B394" s="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 s="6">
        <v>34</v>
      </c>
      <c r="B395" s="4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 s="6">
        <v>31</v>
      </c>
      <c r="B396" s="4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 s="6">
        <v>43</v>
      </c>
      <c r="B397" s="4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 s="6">
        <v>43</v>
      </c>
      <c r="B398" s="4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 s="6">
        <v>25</v>
      </c>
      <c r="B399" s="4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 s="6">
        <v>37</v>
      </c>
      <c r="B400" s="4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 s="6">
        <v>31</v>
      </c>
      <c r="B401" s="4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 s="6">
        <v>39</v>
      </c>
      <c r="B402" s="4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 s="6">
        <v>56</v>
      </c>
      <c r="B403" s="4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 s="6">
        <v>30</v>
      </c>
      <c r="B404" s="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 s="6">
        <v>41</v>
      </c>
      <c r="B405" s="4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 s="6">
        <v>28</v>
      </c>
      <c r="B406" s="4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 s="6">
        <v>25</v>
      </c>
      <c r="B407" s="4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 s="6">
        <v>52</v>
      </c>
      <c r="B408" s="4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 s="6">
        <v>45</v>
      </c>
      <c r="B409" s="4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 s="6">
        <v>52</v>
      </c>
      <c r="B410" s="4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 s="6">
        <v>42</v>
      </c>
      <c r="B411" s="4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 s="6">
        <v>30</v>
      </c>
      <c r="B412" s="4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 s="6">
        <v>60</v>
      </c>
      <c r="B413" s="4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 s="6">
        <v>46</v>
      </c>
      <c r="B414" s="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 s="6">
        <v>42</v>
      </c>
      <c r="B415" s="4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 s="6">
        <v>24</v>
      </c>
      <c r="B416" s="4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 s="6">
        <v>34</v>
      </c>
      <c r="B417" s="4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 s="6">
        <v>38</v>
      </c>
      <c r="B418" s="4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 s="6">
        <v>40</v>
      </c>
      <c r="B419" s="4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 s="6">
        <v>26</v>
      </c>
      <c r="B420" s="4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 s="6">
        <v>30</v>
      </c>
      <c r="B421" s="4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 s="6">
        <v>29</v>
      </c>
      <c r="B422" s="4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 s="6">
        <v>29</v>
      </c>
      <c r="B423" s="4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 s="6">
        <v>19</v>
      </c>
      <c r="B424" s="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 s="6">
        <v>30</v>
      </c>
      <c r="B425" s="4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 s="6">
        <v>57</v>
      </c>
      <c r="B426" s="4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 s="6">
        <v>50</v>
      </c>
      <c r="B427" s="4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 s="6">
        <v>30</v>
      </c>
      <c r="B428" s="4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 s="6">
        <v>60</v>
      </c>
      <c r="B429" s="4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 s="6">
        <v>47</v>
      </c>
      <c r="B430" s="4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 s="6">
        <v>46</v>
      </c>
      <c r="B431" s="4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 s="6">
        <v>35</v>
      </c>
      <c r="B432" s="4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 s="6">
        <v>54</v>
      </c>
      <c r="B433" s="4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 s="6">
        <v>34</v>
      </c>
      <c r="B434" s="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 s="6">
        <v>46</v>
      </c>
      <c r="B435" s="4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 s="6">
        <v>31</v>
      </c>
      <c r="B436" s="4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 s="6">
        <v>33</v>
      </c>
      <c r="B437" s="4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 s="6">
        <v>33</v>
      </c>
      <c r="B438" s="4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 s="6">
        <v>30</v>
      </c>
      <c r="B439" s="4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 s="6">
        <v>35</v>
      </c>
      <c r="B440" s="4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 s="6">
        <v>31</v>
      </c>
      <c r="B441" s="4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 s="6">
        <v>34</v>
      </c>
      <c r="B442" s="4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 s="6">
        <v>42</v>
      </c>
      <c r="B443" s="4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 s="6">
        <v>36</v>
      </c>
      <c r="B444" s="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 s="6">
        <v>22</v>
      </c>
      <c r="B445" s="4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 s="6">
        <v>48</v>
      </c>
      <c r="B446" s="4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 s="6">
        <v>55</v>
      </c>
      <c r="B447" s="4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 s="6">
        <v>41</v>
      </c>
      <c r="B448" s="4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 s="6">
        <v>35</v>
      </c>
      <c r="B449" s="4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 s="6">
        <v>40</v>
      </c>
      <c r="B450" s="4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 s="6">
        <v>39</v>
      </c>
      <c r="B451" s="4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 s="6">
        <v>31</v>
      </c>
      <c r="B452" s="4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 s="6">
        <v>42</v>
      </c>
      <c r="B453" s="4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 s="6">
        <v>45</v>
      </c>
      <c r="B454" s="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 s="6">
        <v>26</v>
      </c>
      <c r="B455" s="4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 s="6">
        <v>29</v>
      </c>
      <c r="B456" s="4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 s="6">
        <v>33</v>
      </c>
      <c r="B457" s="4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 s="6">
        <v>31</v>
      </c>
      <c r="B458" s="4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 s="6">
        <v>18</v>
      </c>
      <c r="B459" s="4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 s="6">
        <v>40</v>
      </c>
      <c r="B460" s="4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 s="6">
        <v>41</v>
      </c>
      <c r="B461" s="4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 s="6">
        <v>26</v>
      </c>
      <c r="B462" s="4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 s="6">
        <v>35</v>
      </c>
      <c r="B463" s="4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 s="6">
        <v>34</v>
      </c>
      <c r="B464" s="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 s="6">
        <v>26</v>
      </c>
      <c r="B465" s="4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 s="6">
        <v>37</v>
      </c>
      <c r="B466" s="4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 s="6">
        <v>46</v>
      </c>
      <c r="B467" s="4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 s="6">
        <v>41</v>
      </c>
      <c r="B468" s="4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 s="6">
        <v>37</v>
      </c>
      <c r="B469" s="4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 s="6">
        <v>52</v>
      </c>
      <c r="B470" s="4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 s="6">
        <v>32</v>
      </c>
      <c r="B471" s="4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 s="6">
        <v>24</v>
      </c>
      <c r="B472" s="4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 s="6">
        <v>38</v>
      </c>
      <c r="B473" s="4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 s="6">
        <v>37</v>
      </c>
      <c r="B474" s="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 s="6">
        <v>49</v>
      </c>
      <c r="B475" s="4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 s="6">
        <v>24</v>
      </c>
      <c r="B476" s="4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 s="6">
        <v>26</v>
      </c>
      <c r="B477" s="4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 s="6">
        <v>24</v>
      </c>
      <c r="B478" s="4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 s="6">
        <v>50</v>
      </c>
      <c r="B479" s="4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 s="6">
        <v>25</v>
      </c>
      <c r="B480" s="4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 s="6">
        <v>24</v>
      </c>
      <c r="B481" s="4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 s="6">
        <v>30</v>
      </c>
      <c r="B482" s="4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 s="6">
        <v>34</v>
      </c>
      <c r="B483" s="4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 s="6">
        <v>31</v>
      </c>
      <c r="B484" s="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 s="6">
        <v>35</v>
      </c>
      <c r="B485" s="4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 s="6">
        <v>31</v>
      </c>
      <c r="B486" s="4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 s="6">
        <v>27</v>
      </c>
      <c r="B487" s="4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 s="6">
        <v>37</v>
      </c>
      <c r="B488" s="4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 s="6">
        <v>20</v>
      </c>
      <c r="B489" s="4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 s="6">
        <v>42</v>
      </c>
      <c r="B490" s="4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 s="6">
        <v>43</v>
      </c>
      <c r="B491" s="4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 s="6">
        <v>38</v>
      </c>
      <c r="B492" s="4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 s="6">
        <v>43</v>
      </c>
      <c r="B493" s="4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 s="6">
        <v>48</v>
      </c>
      <c r="B494" s="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 s="6">
        <v>44</v>
      </c>
      <c r="B495" s="4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 s="6">
        <v>34</v>
      </c>
      <c r="B496" s="4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 s="6">
        <v>27</v>
      </c>
      <c r="B497" s="4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 s="6">
        <v>21</v>
      </c>
      <c r="B498" s="4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 s="6">
        <v>44</v>
      </c>
      <c r="B499" s="4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 s="6">
        <v>22</v>
      </c>
      <c r="B500" s="4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 s="6">
        <v>33</v>
      </c>
      <c r="B501" s="4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 s="6">
        <v>32</v>
      </c>
      <c r="B502" s="4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 s="6">
        <v>30</v>
      </c>
      <c r="B503" s="4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 s="6">
        <v>53</v>
      </c>
      <c r="B504" s="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 s="6">
        <v>34</v>
      </c>
      <c r="B505" s="4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 s="6">
        <v>45</v>
      </c>
      <c r="B506" s="4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 s="6">
        <v>26</v>
      </c>
      <c r="B507" s="4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 s="6">
        <v>37</v>
      </c>
      <c r="B508" s="4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 s="6">
        <v>29</v>
      </c>
      <c r="B509" s="4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 s="6">
        <v>35</v>
      </c>
      <c r="B510" s="4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 s="6">
        <v>33</v>
      </c>
      <c r="B511" s="4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 s="6">
        <v>54</v>
      </c>
      <c r="B512" s="4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 s="6">
        <v>36</v>
      </c>
      <c r="B513" s="4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 s="6">
        <v>27</v>
      </c>
      <c r="B514" s="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 s="6">
        <v>20</v>
      </c>
      <c r="B515" s="4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 s="6">
        <v>33</v>
      </c>
      <c r="B516" s="4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 s="6">
        <v>35</v>
      </c>
      <c r="B517" s="4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 s="6">
        <v>23</v>
      </c>
      <c r="B518" s="4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 s="6">
        <v>25</v>
      </c>
      <c r="B519" s="4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 s="6">
        <v>38</v>
      </c>
      <c r="B520" s="4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 s="6">
        <v>29</v>
      </c>
      <c r="B521" s="4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 s="6">
        <v>48</v>
      </c>
      <c r="B522" s="4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 s="6">
        <v>27</v>
      </c>
      <c r="B523" s="4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 s="6">
        <v>37</v>
      </c>
      <c r="B524" s="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 s="6">
        <v>50</v>
      </c>
      <c r="B525" s="4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 s="6">
        <v>34</v>
      </c>
      <c r="B526" s="4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 s="6">
        <v>24</v>
      </c>
      <c r="B527" s="4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 s="6">
        <v>39</v>
      </c>
      <c r="B528" s="4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 s="6">
        <v>32</v>
      </c>
      <c r="B529" s="4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 s="6">
        <v>50</v>
      </c>
      <c r="B530" s="4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 s="6">
        <v>38</v>
      </c>
      <c r="B531" s="4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 s="6">
        <v>27</v>
      </c>
      <c r="B532" s="4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 s="6">
        <v>32</v>
      </c>
      <c r="B533" s="4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 s="6">
        <v>47</v>
      </c>
      <c r="B534" s="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 s="6">
        <v>40</v>
      </c>
      <c r="B535" s="4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 s="6">
        <v>53</v>
      </c>
      <c r="B536" s="4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 s="6">
        <v>41</v>
      </c>
      <c r="B537" s="4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 s="6">
        <v>60</v>
      </c>
      <c r="B538" s="4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 s="6">
        <v>27</v>
      </c>
      <c r="B539" s="4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 s="6">
        <v>41</v>
      </c>
      <c r="B540" s="4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 s="6">
        <v>50</v>
      </c>
      <c r="B541" s="4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 s="6">
        <v>28</v>
      </c>
      <c r="B542" s="4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 s="6">
        <v>36</v>
      </c>
      <c r="B543" s="4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 s="6">
        <v>38</v>
      </c>
      <c r="B544" s="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 s="6">
        <v>44</v>
      </c>
      <c r="B545" s="4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 s="6">
        <v>47</v>
      </c>
      <c r="B546" s="4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 s="6">
        <v>30</v>
      </c>
      <c r="B547" s="4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 s="6">
        <v>29</v>
      </c>
      <c r="B548" s="4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 s="6">
        <v>42</v>
      </c>
      <c r="B549" s="4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 s="6">
        <v>43</v>
      </c>
      <c r="B550" s="4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 s="6">
        <v>34</v>
      </c>
      <c r="B551" s="4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 s="6">
        <v>23</v>
      </c>
      <c r="B552" s="4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 s="6">
        <v>39</v>
      </c>
      <c r="B553" s="4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 s="6">
        <v>56</v>
      </c>
      <c r="B554" s="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 s="6">
        <v>40</v>
      </c>
      <c r="B555" s="4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 s="6">
        <v>27</v>
      </c>
      <c r="B556" s="4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 s="6">
        <v>29</v>
      </c>
      <c r="B557" s="4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 s="6">
        <v>53</v>
      </c>
      <c r="B558" s="4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 s="6">
        <v>35</v>
      </c>
      <c r="B559" s="4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 s="6">
        <v>32</v>
      </c>
      <c r="B560" s="4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 s="6">
        <v>38</v>
      </c>
      <c r="B561" s="4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 s="6">
        <v>34</v>
      </c>
      <c r="B562" s="4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 s="6">
        <v>52</v>
      </c>
      <c r="B563" s="4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 s="6">
        <v>33</v>
      </c>
      <c r="B564" s="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 s="6">
        <v>25</v>
      </c>
      <c r="B565" s="4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 s="6">
        <v>45</v>
      </c>
      <c r="B566" s="4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 s="6">
        <v>23</v>
      </c>
      <c r="B567" s="4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 s="6">
        <v>47</v>
      </c>
      <c r="B568" s="4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 s="6">
        <v>34</v>
      </c>
      <c r="B569" s="4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 s="6">
        <v>55</v>
      </c>
      <c r="B570" s="4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 s="6">
        <v>36</v>
      </c>
      <c r="B571" s="4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 s="6">
        <v>52</v>
      </c>
      <c r="B572" s="4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 s="6">
        <v>26</v>
      </c>
      <c r="B573" s="4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 s="6">
        <v>29</v>
      </c>
      <c r="B574" s="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 s="6">
        <v>26</v>
      </c>
      <c r="B575" s="4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 s="6">
        <v>34</v>
      </c>
      <c r="B576" s="4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 s="6">
        <v>54</v>
      </c>
      <c r="B577" s="4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 s="6">
        <v>27</v>
      </c>
      <c r="B578" s="4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 s="6">
        <v>37</v>
      </c>
      <c r="B579" s="4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 s="6">
        <v>38</v>
      </c>
      <c r="B580" s="4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 s="6">
        <v>34</v>
      </c>
      <c r="B581" s="4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 s="6">
        <v>35</v>
      </c>
      <c r="B582" s="4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 s="6">
        <v>30</v>
      </c>
      <c r="B583" s="4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 s="6">
        <v>40</v>
      </c>
      <c r="B584" s="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 s="6">
        <v>34</v>
      </c>
      <c r="B585" s="4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 s="6">
        <v>42</v>
      </c>
      <c r="B586" s="4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 s="6">
        <v>23</v>
      </c>
      <c r="B587" s="4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 s="6">
        <v>24</v>
      </c>
      <c r="B588" s="4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 s="6">
        <v>52</v>
      </c>
      <c r="B589" s="4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 s="6">
        <v>50</v>
      </c>
      <c r="B590" s="4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 s="6">
        <v>29</v>
      </c>
      <c r="B591" s="4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 s="6">
        <v>33</v>
      </c>
      <c r="B592" s="4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 s="6">
        <v>33</v>
      </c>
      <c r="B593" s="4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 s="6">
        <v>47</v>
      </c>
      <c r="B594" s="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 s="6">
        <v>36</v>
      </c>
      <c r="B595" s="4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 s="6">
        <v>29</v>
      </c>
      <c r="B596" s="4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 s="6">
        <v>58</v>
      </c>
      <c r="B597" s="4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 s="6">
        <v>35</v>
      </c>
      <c r="B598" s="4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 s="6">
        <v>42</v>
      </c>
      <c r="B599" s="4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 s="6">
        <v>28</v>
      </c>
      <c r="B600" s="4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 s="6">
        <v>36</v>
      </c>
      <c r="B601" s="4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 s="6">
        <v>32</v>
      </c>
      <c r="B602" s="4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 s="6">
        <v>40</v>
      </c>
      <c r="B603" s="4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 s="6">
        <v>30</v>
      </c>
      <c r="B604" s="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 s="6">
        <v>45</v>
      </c>
      <c r="B605" s="4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 s="6">
        <v>42</v>
      </c>
      <c r="B606" s="4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 s="6">
        <v>38</v>
      </c>
      <c r="B607" s="4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 s="6">
        <v>34</v>
      </c>
      <c r="B608" s="4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 s="6">
        <v>49</v>
      </c>
      <c r="B609" s="4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 s="6">
        <v>55</v>
      </c>
      <c r="B610" s="4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 s="6">
        <v>43</v>
      </c>
      <c r="B611" s="4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 s="6">
        <v>27</v>
      </c>
      <c r="B612" s="4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 s="6">
        <v>35</v>
      </c>
      <c r="B613" s="4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 s="6">
        <v>28</v>
      </c>
      <c r="B614" s="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 s="6">
        <v>34</v>
      </c>
      <c r="B615" s="4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 s="6">
        <v>26</v>
      </c>
      <c r="B616" s="4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 s="6">
        <v>27</v>
      </c>
      <c r="B617" s="4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 s="6">
        <v>51</v>
      </c>
      <c r="B618" s="4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 s="6">
        <v>44</v>
      </c>
      <c r="B619" s="4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 s="6">
        <v>25</v>
      </c>
      <c r="B620" s="4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 s="6">
        <v>33</v>
      </c>
      <c r="B621" s="4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 s="6">
        <v>35</v>
      </c>
      <c r="B622" s="4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 s="6">
        <v>36</v>
      </c>
      <c r="B623" s="4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 s="6">
        <v>32</v>
      </c>
      <c r="B624" s="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 s="6">
        <v>30</v>
      </c>
      <c r="B625" s="4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 s="6">
        <v>53</v>
      </c>
      <c r="B626" s="4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 s="6">
        <v>45</v>
      </c>
      <c r="B627" s="4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 s="6">
        <v>32</v>
      </c>
      <c r="B628" s="4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 s="6">
        <v>52</v>
      </c>
      <c r="B629" s="4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 s="6">
        <v>37</v>
      </c>
      <c r="B630" s="4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 s="6">
        <v>28</v>
      </c>
      <c r="B631" s="4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 s="6">
        <v>22</v>
      </c>
      <c r="B632" s="4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 s="6">
        <v>44</v>
      </c>
      <c r="B633" s="4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 s="6">
        <v>42</v>
      </c>
      <c r="B634" s="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 s="6">
        <v>36</v>
      </c>
      <c r="B635" s="4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 s="6">
        <v>25</v>
      </c>
      <c r="B636" s="4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 s="6">
        <v>35</v>
      </c>
      <c r="B637" s="4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 s="6">
        <v>35</v>
      </c>
      <c r="B638" s="4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 s="6">
        <v>32</v>
      </c>
      <c r="B639" s="4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 s="6">
        <v>25</v>
      </c>
      <c r="B640" s="4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 s="6">
        <v>49</v>
      </c>
      <c r="B641" s="4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 s="6">
        <v>24</v>
      </c>
      <c r="B642" s="4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 s="6">
        <v>32</v>
      </c>
      <c r="B643" s="4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 s="6">
        <v>38</v>
      </c>
      <c r="B644" s="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 s="6">
        <v>42</v>
      </c>
      <c r="B645" s="4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 s="6">
        <v>31</v>
      </c>
      <c r="B646" s="4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 s="6">
        <v>29</v>
      </c>
      <c r="B647" s="4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 s="6">
        <v>53</v>
      </c>
      <c r="B648" s="4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 s="6">
        <v>35</v>
      </c>
      <c r="B649" s="4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 s="6">
        <v>37</v>
      </c>
      <c r="B650" s="4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 s="6">
        <v>53</v>
      </c>
      <c r="B651" s="4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 s="6">
        <v>43</v>
      </c>
      <c r="B652" s="4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 s="6">
        <v>47</v>
      </c>
      <c r="B653" s="4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 s="6">
        <v>37</v>
      </c>
      <c r="B654" s="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 s="6">
        <v>50</v>
      </c>
      <c r="B655" s="4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 s="6">
        <v>39</v>
      </c>
      <c r="B656" s="4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 s="6">
        <v>33</v>
      </c>
      <c r="B657" s="4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 s="6">
        <v>32</v>
      </c>
      <c r="B658" s="4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 s="6">
        <v>29</v>
      </c>
      <c r="B659" s="4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 s="6">
        <v>44</v>
      </c>
      <c r="B660" s="4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 s="6">
        <v>28</v>
      </c>
      <c r="B661" s="4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 s="6">
        <v>58</v>
      </c>
      <c r="B662" s="4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 s="6">
        <v>43</v>
      </c>
      <c r="B663" s="4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 s="6">
        <v>20</v>
      </c>
      <c r="B664" s="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 s="6">
        <v>21</v>
      </c>
      <c r="B665" s="4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 s="6">
        <v>36</v>
      </c>
      <c r="B666" s="4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 s="6">
        <v>47</v>
      </c>
      <c r="B667" s="4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 s="6">
        <v>22</v>
      </c>
      <c r="B668" s="4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 s="6">
        <v>41</v>
      </c>
      <c r="B669" s="4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 s="6">
        <v>28</v>
      </c>
      <c r="B670" s="4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 s="6">
        <v>39</v>
      </c>
      <c r="B671" s="4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 s="6">
        <v>27</v>
      </c>
      <c r="B672" s="4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 s="6">
        <v>34</v>
      </c>
      <c r="B673" s="4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 s="6">
        <v>42</v>
      </c>
      <c r="B674" s="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 s="6">
        <v>33</v>
      </c>
      <c r="B675" s="4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 s="6">
        <v>58</v>
      </c>
      <c r="B676" s="4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 s="6">
        <v>31</v>
      </c>
      <c r="B677" s="4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 s="6">
        <v>35</v>
      </c>
      <c r="B678" s="4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 s="6">
        <v>49</v>
      </c>
      <c r="B679" s="4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 s="6">
        <v>48</v>
      </c>
      <c r="B680" s="4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 s="6">
        <v>31</v>
      </c>
      <c r="B681" s="4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 s="6">
        <v>36</v>
      </c>
      <c r="B682" s="4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 s="6">
        <v>38</v>
      </c>
      <c r="B683" s="4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 s="6">
        <v>32</v>
      </c>
      <c r="B684" s="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 s="6">
        <v>25</v>
      </c>
      <c r="B685" s="4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 s="6">
        <v>40</v>
      </c>
      <c r="B686" s="4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 s="6">
        <v>26</v>
      </c>
      <c r="B687" s="4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 s="6">
        <v>41</v>
      </c>
      <c r="B688" s="4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 s="6">
        <v>36</v>
      </c>
      <c r="B689" s="4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 s="6">
        <v>19</v>
      </c>
      <c r="B690" s="4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 s="6">
        <v>20</v>
      </c>
      <c r="B691" s="4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 s="6">
        <v>31</v>
      </c>
      <c r="B692" s="4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 s="6">
        <v>40</v>
      </c>
      <c r="B693" s="4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 s="6">
        <v>32</v>
      </c>
      <c r="B694" s="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 s="6">
        <v>36</v>
      </c>
      <c r="B695" s="4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 s="6">
        <v>33</v>
      </c>
      <c r="B696" s="4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 s="6">
        <v>37</v>
      </c>
      <c r="B697" s="4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 s="6">
        <v>45</v>
      </c>
      <c r="B698" s="4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 s="6">
        <v>29</v>
      </c>
      <c r="B699" s="4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 s="6">
        <v>35</v>
      </c>
      <c r="B700" s="4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 s="6">
        <v>52</v>
      </c>
      <c r="B701" s="4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 s="6">
        <v>58</v>
      </c>
      <c r="B702" s="4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 s="6">
        <v>53</v>
      </c>
      <c r="B703" s="4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 s="6">
        <v>30</v>
      </c>
      <c r="B704" s="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 s="6">
        <v>38</v>
      </c>
      <c r="B705" s="4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 s="6">
        <v>35</v>
      </c>
      <c r="B706" s="4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 s="6">
        <v>39</v>
      </c>
      <c r="B707" s="4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 s="6">
        <v>40</v>
      </c>
      <c r="B708" s="4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 s="6">
        <v>47</v>
      </c>
      <c r="B709" s="4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 s="6">
        <v>36</v>
      </c>
      <c r="B710" s="4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 s="6">
        <v>31</v>
      </c>
      <c r="B711" s="4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 s="6">
        <v>33</v>
      </c>
      <c r="B712" s="4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 s="6">
        <v>29</v>
      </c>
      <c r="B713" s="4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 s="6">
        <v>33</v>
      </c>
      <c r="B714" s="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 s="6">
        <v>45</v>
      </c>
      <c r="B715" s="4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 s="6">
        <v>50</v>
      </c>
      <c r="B716" s="4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 s="6">
        <v>33</v>
      </c>
      <c r="B717" s="4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 s="6">
        <v>41</v>
      </c>
      <c r="B718" s="4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 s="6">
        <v>27</v>
      </c>
      <c r="B719" s="4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 s="6">
        <v>45</v>
      </c>
      <c r="B720" s="4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 s="6">
        <v>47</v>
      </c>
      <c r="B721" s="4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 s="6">
        <v>30</v>
      </c>
      <c r="B722" s="4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 s="6">
        <v>50</v>
      </c>
      <c r="B723" s="4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 s="6">
        <v>38</v>
      </c>
      <c r="B724" s="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 s="6">
        <v>46</v>
      </c>
      <c r="B725" s="4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 s="6">
        <v>24</v>
      </c>
      <c r="B726" s="4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 s="6">
        <v>35</v>
      </c>
      <c r="B727" s="4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 s="6">
        <v>31</v>
      </c>
      <c r="B728" s="4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 s="6">
        <v>18</v>
      </c>
      <c r="B729" s="4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 s="6">
        <v>54</v>
      </c>
      <c r="B730" s="4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 s="6">
        <v>35</v>
      </c>
      <c r="B731" s="4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 s="6">
        <v>30</v>
      </c>
      <c r="B732" s="4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 s="6">
        <v>20</v>
      </c>
      <c r="B733" s="4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 s="6">
        <v>30</v>
      </c>
      <c r="B734" s="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 s="6">
        <v>26</v>
      </c>
      <c r="B735" s="4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 s="6">
        <v>22</v>
      </c>
      <c r="B736" s="4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 s="6">
        <v>48</v>
      </c>
      <c r="B737" s="4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 s="6">
        <v>48</v>
      </c>
      <c r="B738" s="4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 s="6">
        <v>41</v>
      </c>
      <c r="B739" s="4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 s="6">
        <v>39</v>
      </c>
      <c r="B740" s="4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 s="6">
        <v>27</v>
      </c>
      <c r="B741" s="4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 s="6">
        <v>35</v>
      </c>
      <c r="B742" s="4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 s="6">
        <v>42</v>
      </c>
      <c r="B743" s="4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 s="6">
        <v>50</v>
      </c>
      <c r="B744" s="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 s="6">
        <v>59</v>
      </c>
      <c r="B745" s="4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 s="6">
        <v>37</v>
      </c>
      <c r="B746" s="4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 s="6">
        <v>55</v>
      </c>
      <c r="B747" s="4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 s="6">
        <v>41</v>
      </c>
      <c r="B748" s="4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 s="6">
        <v>38</v>
      </c>
      <c r="B749" s="4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 s="6">
        <v>26</v>
      </c>
      <c r="B750" s="4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 s="6">
        <v>52</v>
      </c>
      <c r="B751" s="4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 s="6">
        <v>44</v>
      </c>
      <c r="B752" s="4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 s="6">
        <v>50</v>
      </c>
      <c r="B753" s="4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 s="6">
        <v>36</v>
      </c>
      <c r="B754" s="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 s="6">
        <v>39</v>
      </c>
      <c r="B755" s="4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 s="6">
        <v>33</v>
      </c>
      <c r="B756" s="4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 s="6">
        <v>45</v>
      </c>
      <c r="B757" s="4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 s="6">
        <v>32</v>
      </c>
      <c r="B758" s="4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 s="6">
        <v>34</v>
      </c>
      <c r="B759" s="4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 s="6">
        <v>59</v>
      </c>
      <c r="B760" s="4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 s="6">
        <v>45</v>
      </c>
      <c r="B761" s="4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 s="6">
        <v>53</v>
      </c>
      <c r="B762" s="4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 s="6">
        <v>36</v>
      </c>
      <c r="B763" s="4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 s="6">
        <v>26</v>
      </c>
      <c r="B764" s="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 s="6">
        <v>34</v>
      </c>
      <c r="B765" s="4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 s="6">
        <v>28</v>
      </c>
      <c r="B766" s="4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 s="6">
        <v>38</v>
      </c>
      <c r="B767" s="4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 s="6">
        <v>50</v>
      </c>
      <c r="B768" s="4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 s="6">
        <v>37</v>
      </c>
      <c r="B769" s="4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 s="6">
        <v>40</v>
      </c>
      <c r="B770" s="4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 s="6">
        <v>26</v>
      </c>
      <c r="B771" s="4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 s="6">
        <v>46</v>
      </c>
      <c r="B772" s="4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 s="6">
        <v>54</v>
      </c>
      <c r="B773" s="4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 s="6">
        <v>56</v>
      </c>
      <c r="B774" s="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 s="6">
        <v>36</v>
      </c>
      <c r="B775" s="4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 s="6">
        <v>55</v>
      </c>
      <c r="B776" s="4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 s="6">
        <v>43</v>
      </c>
      <c r="B777" s="4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 s="6">
        <v>20</v>
      </c>
      <c r="B778" s="4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 s="6">
        <v>21</v>
      </c>
      <c r="B779" s="4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 s="6">
        <v>46</v>
      </c>
      <c r="B780" s="4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 s="6">
        <v>51</v>
      </c>
      <c r="B781" s="4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 s="6">
        <v>28</v>
      </c>
      <c r="B782" s="4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 s="6">
        <v>26</v>
      </c>
      <c r="B783" s="4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 s="6">
        <v>30</v>
      </c>
      <c r="B784" s="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 s="6">
        <v>41</v>
      </c>
      <c r="B785" s="4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 s="6">
        <v>38</v>
      </c>
      <c r="B786" s="4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 s="6">
        <v>40</v>
      </c>
      <c r="B787" s="4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 s="6">
        <v>27</v>
      </c>
      <c r="B788" s="4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 s="6">
        <v>55</v>
      </c>
      <c r="B789" s="4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 s="6">
        <v>28</v>
      </c>
      <c r="B790" s="4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 s="6">
        <v>44</v>
      </c>
      <c r="B791" s="4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 s="6">
        <v>33</v>
      </c>
      <c r="B792" s="4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 s="6">
        <v>35</v>
      </c>
      <c r="B793" s="4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 s="6">
        <v>33</v>
      </c>
      <c r="B794" s="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 s="6">
        <v>28</v>
      </c>
      <c r="B795" s="4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 s="6">
        <v>34</v>
      </c>
      <c r="B796" s="4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 s="6">
        <v>37</v>
      </c>
      <c r="B797" s="4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 s="6">
        <v>25</v>
      </c>
      <c r="B798" s="4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 s="6">
        <v>26</v>
      </c>
      <c r="B799" s="4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 s="6">
        <v>33</v>
      </c>
      <c r="B800" s="4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 s="6">
        <v>42</v>
      </c>
      <c r="B801" s="4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 s="6">
        <v>28</v>
      </c>
      <c r="B802" s="4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 s="6">
        <v>50</v>
      </c>
      <c r="B803" s="4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 s="6">
        <v>33</v>
      </c>
      <c r="B804" s="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 s="6">
        <v>34</v>
      </c>
      <c r="B805" s="4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 s="6">
        <v>48</v>
      </c>
      <c r="B806" s="4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 s="6">
        <v>45</v>
      </c>
      <c r="B807" s="4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 s="6">
        <v>52</v>
      </c>
      <c r="B808" s="4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 s="6">
        <v>38</v>
      </c>
      <c r="B809" s="4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 s="6">
        <v>29</v>
      </c>
      <c r="B810" s="4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 s="6">
        <v>28</v>
      </c>
      <c r="B811" s="4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 s="6">
        <v>46</v>
      </c>
      <c r="B812" s="4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 s="6">
        <v>38</v>
      </c>
      <c r="B813" s="4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 s="6">
        <v>43</v>
      </c>
      <c r="B814" s="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 s="6">
        <v>39</v>
      </c>
      <c r="B815" s="4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 s="6">
        <v>40</v>
      </c>
      <c r="B816" s="4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 s="6">
        <v>21</v>
      </c>
      <c r="B817" s="4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 s="6">
        <v>39</v>
      </c>
      <c r="B818" s="4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 s="6">
        <v>36</v>
      </c>
      <c r="B819" s="4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 s="6">
        <v>31</v>
      </c>
      <c r="B820" s="4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 s="6">
        <v>28</v>
      </c>
      <c r="B821" s="4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 s="6">
        <v>35</v>
      </c>
      <c r="B822" s="4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 s="6">
        <v>49</v>
      </c>
      <c r="B823" s="4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 s="6">
        <v>34</v>
      </c>
      <c r="B824" s="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 s="6">
        <v>29</v>
      </c>
      <c r="B825" s="4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 s="6">
        <v>42</v>
      </c>
      <c r="B826" s="4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 s="6">
        <v>29</v>
      </c>
      <c r="B827" s="4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 s="6">
        <v>38</v>
      </c>
      <c r="B828" s="4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 s="6">
        <v>28</v>
      </c>
      <c r="B829" s="4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 s="6">
        <v>18</v>
      </c>
      <c r="B830" s="4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 s="6">
        <v>33</v>
      </c>
      <c r="B831" s="4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 s="6">
        <v>41</v>
      </c>
      <c r="B832" s="4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 s="6">
        <v>31</v>
      </c>
      <c r="B833" s="4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 s="6">
        <v>37</v>
      </c>
      <c r="B834" s="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 s="6">
        <v>27</v>
      </c>
      <c r="B835" s="4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 s="6">
        <v>34</v>
      </c>
      <c r="B836" s="4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 s="6">
        <v>35</v>
      </c>
      <c r="B837" s="4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 s="6">
        <v>29</v>
      </c>
      <c r="B838" s="4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 s="6">
        <v>40</v>
      </c>
      <c r="B839" s="4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 s="6">
        <v>42</v>
      </c>
      <c r="B840" s="4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 s="6">
        <v>42</v>
      </c>
      <c r="B841" s="4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 s="6">
        <v>35</v>
      </c>
      <c r="B842" s="4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 s="6">
        <v>24</v>
      </c>
      <c r="B843" s="4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 s="6">
        <v>28</v>
      </c>
      <c r="B844" s="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 s="6">
        <v>26</v>
      </c>
      <c r="B845" s="4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 s="6">
        <v>30</v>
      </c>
      <c r="B846" s="4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 s="6">
        <v>40</v>
      </c>
      <c r="B847" s="4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 s="6">
        <v>35</v>
      </c>
      <c r="B848" s="4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 s="6">
        <v>34</v>
      </c>
      <c r="B849" s="4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 s="6">
        <v>35</v>
      </c>
      <c r="B850" s="4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 s="6">
        <v>43</v>
      </c>
      <c r="B851" s="4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 s="6">
        <v>32</v>
      </c>
      <c r="B852" s="4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 s="6">
        <v>56</v>
      </c>
      <c r="B853" s="4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 s="6">
        <v>29</v>
      </c>
      <c r="B854" s="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 s="6">
        <v>19</v>
      </c>
      <c r="B855" s="4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 s="6">
        <v>45</v>
      </c>
      <c r="B856" s="4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 s="6">
        <v>37</v>
      </c>
      <c r="B857" s="4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 s="6">
        <v>20</v>
      </c>
      <c r="B858" s="4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 s="6">
        <v>44</v>
      </c>
      <c r="B859" s="4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 s="6">
        <v>53</v>
      </c>
      <c r="B860" s="4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 s="6">
        <v>29</v>
      </c>
      <c r="B861" s="4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 s="6">
        <v>22</v>
      </c>
      <c r="B862" s="4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 s="6">
        <v>46</v>
      </c>
      <c r="B863" s="4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 s="6">
        <v>44</v>
      </c>
      <c r="B864" s="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 s="6">
        <v>33</v>
      </c>
      <c r="B865" s="4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 s="6">
        <v>41</v>
      </c>
      <c r="B866" s="4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 s="6">
        <v>30</v>
      </c>
      <c r="B867" s="4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 s="6">
        <v>40</v>
      </c>
      <c r="B868" s="4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 s="6">
        <v>50</v>
      </c>
      <c r="B869" s="4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 s="6">
        <v>28</v>
      </c>
      <c r="B870" s="4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 s="6">
        <v>46</v>
      </c>
      <c r="B871" s="4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 s="6">
        <v>35</v>
      </c>
      <c r="B872" s="4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 s="6">
        <v>24</v>
      </c>
      <c r="B873" s="4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 s="6">
        <v>33</v>
      </c>
      <c r="B874" s="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 s="6">
        <v>36</v>
      </c>
      <c r="B875" s="4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 s="6">
        <v>30</v>
      </c>
      <c r="B876" s="4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 s="6">
        <v>44</v>
      </c>
      <c r="B877" s="4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 s="6">
        <v>20</v>
      </c>
      <c r="B878" s="4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 s="6">
        <v>46</v>
      </c>
      <c r="B879" s="4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 s="6">
        <v>42</v>
      </c>
      <c r="B880" s="4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 s="6">
        <v>60</v>
      </c>
      <c r="B881" s="4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 s="6">
        <v>32</v>
      </c>
      <c r="B882" s="4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 s="6">
        <v>32</v>
      </c>
      <c r="B883" s="4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 s="6">
        <v>36</v>
      </c>
      <c r="B884" s="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 s="6">
        <v>33</v>
      </c>
      <c r="B885" s="4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 s="6">
        <v>40</v>
      </c>
      <c r="B886" s="4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 s="6">
        <v>25</v>
      </c>
      <c r="B887" s="4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 s="6">
        <v>30</v>
      </c>
      <c r="B888" s="4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 s="6">
        <v>42</v>
      </c>
      <c r="B889" s="4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 s="6">
        <v>35</v>
      </c>
      <c r="B890" s="4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 s="6">
        <v>27</v>
      </c>
      <c r="B891" s="4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 s="6">
        <v>54</v>
      </c>
      <c r="B892" s="4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 s="6">
        <v>44</v>
      </c>
      <c r="B893" s="4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 s="6">
        <v>19</v>
      </c>
      <c r="B894" s="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 s="6">
        <v>29</v>
      </c>
      <c r="B895" s="4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 s="6">
        <v>54</v>
      </c>
      <c r="B896" s="4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 s="6">
        <v>31</v>
      </c>
      <c r="B897" s="4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 s="6">
        <v>31</v>
      </c>
      <c r="B898" s="4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 s="6">
        <v>59</v>
      </c>
      <c r="B899" s="4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 s="6">
        <v>43</v>
      </c>
      <c r="B900" s="4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 s="6">
        <v>49</v>
      </c>
      <c r="B901" s="4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 s="6">
        <v>36</v>
      </c>
      <c r="B902" s="4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 s="6">
        <v>48</v>
      </c>
      <c r="B903" s="4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 s="6">
        <v>27</v>
      </c>
      <c r="B904" s="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 s="6">
        <v>29</v>
      </c>
      <c r="B905" s="4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 s="6">
        <v>48</v>
      </c>
      <c r="B906" s="4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 s="6">
        <v>29</v>
      </c>
      <c r="B907" s="4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 s="6">
        <v>34</v>
      </c>
      <c r="B908" s="4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 s="6">
        <v>44</v>
      </c>
      <c r="B909" s="4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 s="6">
        <v>33</v>
      </c>
      <c r="B910" s="4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 s="6">
        <v>19</v>
      </c>
      <c r="B911" s="4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 s="6">
        <v>23</v>
      </c>
      <c r="B912" s="4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 s="6">
        <v>25</v>
      </c>
      <c r="B913" s="4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 s="6">
        <v>26</v>
      </c>
      <c r="B914" s="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 s="6">
        <v>45</v>
      </c>
      <c r="B915" s="4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 s="6">
        <v>55</v>
      </c>
      <c r="B916" s="4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 s="6">
        <v>21</v>
      </c>
      <c r="B917" s="4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 s="6">
        <v>46</v>
      </c>
      <c r="B918" s="4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 s="6">
        <v>34</v>
      </c>
      <c r="B919" s="4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 s="6">
        <v>51</v>
      </c>
      <c r="B920" s="4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 s="6">
        <v>59</v>
      </c>
      <c r="B921" s="4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 s="6">
        <v>34</v>
      </c>
      <c r="B922" s="4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 s="6">
        <v>28</v>
      </c>
      <c r="B923" s="4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 s="6">
        <v>44</v>
      </c>
      <c r="B924" s="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 s="6">
        <v>34</v>
      </c>
      <c r="B925" s="4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 s="6">
        <v>35</v>
      </c>
      <c r="B926" s="4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 s="6">
        <v>42</v>
      </c>
      <c r="B927" s="4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 s="6">
        <v>43</v>
      </c>
      <c r="B928" s="4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 s="6">
        <v>36</v>
      </c>
      <c r="B929" s="4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 s="6">
        <v>44</v>
      </c>
      <c r="B930" s="4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 s="6">
        <v>28</v>
      </c>
      <c r="B931" s="4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 s="6">
        <v>51</v>
      </c>
      <c r="B932" s="4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 s="6">
        <v>30</v>
      </c>
      <c r="B933" s="4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 s="6">
        <v>29</v>
      </c>
      <c r="B934" s="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 s="6">
        <v>28</v>
      </c>
      <c r="B935" s="4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 s="6">
        <v>25</v>
      </c>
      <c r="B936" s="4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 s="6">
        <v>32</v>
      </c>
      <c r="B937" s="4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 s="6">
        <v>45</v>
      </c>
      <c r="B938" s="4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 s="6">
        <v>39</v>
      </c>
      <c r="B939" s="4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 s="6">
        <v>58</v>
      </c>
      <c r="B940" s="4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 s="6">
        <v>32</v>
      </c>
      <c r="B941" s="4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 s="6">
        <v>39</v>
      </c>
      <c r="B942" s="4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 s="6">
        <v>30</v>
      </c>
      <c r="B943" s="4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 s="6">
        <v>36</v>
      </c>
      <c r="B944" s="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 s="6">
        <v>46</v>
      </c>
      <c r="B945" s="4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 s="6">
        <v>28</v>
      </c>
      <c r="B946" s="4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 s="6">
        <v>50</v>
      </c>
      <c r="B947" s="4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 s="6">
        <v>40</v>
      </c>
      <c r="B948" s="4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 s="6">
        <v>52</v>
      </c>
      <c r="B949" s="4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 s="6">
        <v>30</v>
      </c>
      <c r="B950" s="4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 s="6">
        <v>39</v>
      </c>
      <c r="B951" s="4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 s="6">
        <v>31</v>
      </c>
      <c r="B952" s="4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 s="6">
        <v>41</v>
      </c>
      <c r="B953" s="4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 s="6">
        <v>31</v>
      </c>
      <c r="B954" s="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 s="6">
        <v>44</v>
      </c>
      <c r="B955" s="4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 s="6">
        <v>42</v>
      </c>
      <c r="B956" s="4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 s="6">
        <v>55</v>
      </c>
      <c r="B957" s="4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 s="6">
        <v>56</v>
      </c>
      <c r="B958" s="4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 s="6">
        <v>40</v>
      </c>
      <c r="B959" s="4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 s="6">
        <v>34</v>
      </c>
      <c r="B960" s="4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 s="6">
        <v>40</v>
      </c>
      <c r="B961" s="4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 s="6">
        <v>41</v>
      </c>
      <c r="B962" s="4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 s="6">
        <v>35</v>
      </c>
      <c r="B963" s="4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 s="6">
        <v>51</v>
      </c>
      <c r="B964" s="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 s="6">
        <v>38</v>
      </c>
      <c r="B965" s="4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 s="6">
        <v>34</v>
      </c>
      <c r="B966" s="4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 s="6">
        <v>25</v>
      </c>
      <c r="B967" s="4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 s="6">
        <v>58</v>
      </c>
      <c r="B968" s="4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 s="6">
        <v>40</v>
      </c>
      <c r="B969" s="4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 s="6">
        <v>36</v>
      </c>
      <c r="B970" s="4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 s="6">
        <v>48</v>
      </c>
      <c r="B971" s="4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 s="6">
        <v>27</v>
      </c>
      <c r="B972" s="4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 s="6">
        <v>51</v>
      </c>
      <c r="B973" s="4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 s="6">
        <v>18</v>
      </c>
      <c r="B974" s="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 s="6">
        <v>35</v>
      </c>
      <c r="B975" s="4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 s="6">
        <v>27</v>
      </c>
      <c r="B976" s="4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 s="6">
        <v>55</v>
      </c>
      <c r="B977" s="4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 s="6">
        <v>56</v>
      </c>
      <c r="B978" s="4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 s="6">
        <v>34</v>
      </c>
      <c r="B979" s="4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 s="6">
        <v>40</v>
      </c>
      <c r="B980" s="4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 s="6">
        <v>34</v>
      </c>
      <c r="B981" s="4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 s="6">
        <v>31</v>
      </c>
      <c r="B982" s="4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 s="6">
        <v>35</v>
      </c>
      <c r="B983" s="4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 s="6">
        <v>38</v>
      </c>
      <c r="B984" s="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 s="6">
        <v>34</v>
      </c>
      <c r="B985" s="4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 s="6">
        <v>28</v>
      </c>
      <c r="B986" s="4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 s="6">
        <v>31</v>
      </c>
      <c r="B987" s="4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 s="6">
        <v>39</v>
      </c>
      <c r="B988" s="4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 s="6">
        <v>51</v>
      </c>
      <c r="B989" s="4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 s="6">
        <v>41</v>
      </c>
      <c r="B990" s="4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 s="6">
        <v>37</v>
      </c>
      <c r="B991" s="4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 s="6">
        <v>33</v>
      </c>
      <c r="B992" s="4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 s="6">
        <v>32</v>
      </c>
      <c r="B993" s="4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 s="6">
        <v>39</v>
      </c>
      <c r="B994" s="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 s="6">
        <v>25</v>
      </c>
      <c r="B995" s="4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 s="6">
        <v>52</v>
      </c>
      <c r="B996" s="4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 s="6">
        <v>43</v>
      </c>
      <c r="B997" s="4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 s="6">
        <v>27</v>
      </c>
      <c r="B998" s="4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 s="6">
        <v>27</v>
      </c>
      <c r="B999" s="4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 s="6">
        <v>26</v>
      </c>
      <c r="B1000" s="4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 s="6">
        <v>42</v>
      </c>
      <c r="B1001" s="4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 s="6">
        <v>52</v>
      </c>
      <c r="B1002" s="4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 s="6">
        <v>37</v>
      </c>
      <c r="B1003" s="4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 s="6">
        <v>35</v>
      </c>
      <c r="B1004" s="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 s="6">
        <v>25</v>
      </c>
      <c r="B1005" s="4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 s="6">
        <v>26</v>
      </c>
      <c r="B1006" s="4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 s="6">
        <v>29</v>
      </c>
      <c r="B1007" s="4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 s="6">
        <v>49</v>
      </c>
      <c r="B1008" s="4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 s="6">
        <v>29</v>
      </c>
      <c r="B1009" s="4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 s="6">
        <v>54</v>
      </c>
      <c r="B1010" s="4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 s="6">
        <v>58</v>
      </c>
      <c r="B1011" s="4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 s="6">
        <v>55</v>
      </c>
      <c r="B1012" s="4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 s="6">
        <v>36</v>
      </c>
      <c r="B1013" s="4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 s="6">
        <v>31</v>
      </c>
      <c r="B1014" s="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 s="6">
        <v>30</v>
      </c>
      <c r="B1015" s="4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 s="6">
        <v>31</v>
      </c>
      <c r="B1016" s="4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 s="6">
        <v>34</v>
      </c>
      <c r="B1017" s="4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 s="6">
        <v>31</v>
      </c>
      <c r="B1018" s="4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 s="6">
        <v>27</v>
      </c>
      <c r="B1019" s="4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 s="6">
        <v>36</v>
      </c>
      <c r="B1020" s="4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 s="6">
        <v>36</v>
      </c>
      <c r="B1021" s="4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 s="6">
        <v>47</v>
      </c>
      <c r="B1022" s="4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 s="6">
        <v>25</v>
      </c>
      <c r="B1023" s="4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 s="6">
        <v>37</v>
      </c>
      <c r="B1024" s="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 s="6">
        <v>56</v>
      </c>
      <c r="B1025" s="4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 s="6">
        <v>47</v>
      </c>
      <c r="B1026" s="4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 s="6">
        <v>24</v>
      </c>
      <c r="B1027" s="4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 s="6">
        <v>32</v>
      </c>
      <c r="B1028" s="4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 s="6">
        <v>34</v>
      </c>
      <c r="B1029" s="4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 s="6">
        <v>41</v>
      </c>
      <c r="B1030" s="4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 s="6">
        <v>40</v>
      </c>
      <c r="B1031" s="4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 s="6">
        <v>31</v>
      </c>
      <c r="B1032" s="4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 s="6">
        <v>46</v>
      </c>
      <c r="B1033" s="4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 s="6">
        <v>39</v>
      </c>
      <c r="B1034" s="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 s="6">
        <v>31</v>
      </c>
      <c r="B1035" s="4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 s="6">
        <v>45</v>
      </c>
      <c r="B1036" s="4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 s="6">
        <v>31</v>
      </c>
      <c r="B1037" s="4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 s="6">
        <v>31</v>
      </c>
      <c r="B1038" s="4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 s="6">
        <v>45</v>
      </c>
      <c r="B1039" s="4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 s="6">
        <v>48</v>
      </c>
      <c r="B1040" s="4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 s="6">
        <v>34</v>
      </c>
      <c r="B1041" s="4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 s="6">
        <v>40</v>
      </c>
      <c r="B1042" s="4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 s="6">
        <v>28</v>
      </c>
      <c r="B1043" s="4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 s="6">
        <v>44</v>
      </c>
      <c r="B1044" s="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 s="6">
        <v>53</v>
      </c>
      <c r="B1045" s="4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 s="6">
        <v>49</v>
      </c>
      <c r="B1046" s="4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 s="6">
        <v>40</v>
      </c>
      <c r="B1047" s="4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 s="6">
        <v>44</v>
      </c>
      <c r="B1048" s="4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 s="6">
        <v>33</v>
      </c>
      <c r="B1049" s="4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 s="6">
        <v>34</v>
      </c>
      <c r="B1050" s="4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 s="6">
        <v>30</v>
      </c>
      <c r="B1051" s="4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 s="6">
        <v>42</v>
      </c>
      <c r="B1052" s="4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 s="6">
        <v>44</v>
      </c>
      <c r="B1053" s="4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 s="6">
        <v>30</v>
      </c>
      <c r="B1054" s="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 s="6">
        <v>57</v>
      </c>
      <c r="B1055" s="4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 s="6">
        <v>49</v>
      </c>
      <c r="B1056" s="4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 s="6">
        <v>34</v>
      </c>
      <c r="B1057" s="4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 s="6">
        <v>28</v>
      </c>
      <c r="B1058" s="4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 s="6">
        <v>29</v>
      </c>
      <c r="B1059" s="4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 s="6">
        <v>34</v>
      </c>
      <c r="B1060" s="4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 s="6">
        <v>35</v>
      </c>
      <c r="B1061" s="4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 s="6">
        <v>24</v>
      </c>
      <c r="B1062" s="4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 s="6">
        <v>24</v>
      </c>
      <c r="B1063" s="4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 s="6">
        <v>44</v>
      </c>
      <c r="B1064" s="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 s="6">
        <v>29</v>
      </c>
      <c r="B1065" s="4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 s="6">
        <v>30</v>
      </c>
      <c r="B1066" s="4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 s="6">
        <v>55</v>
      </c>
      <c r="B1067" s="4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 s="6">
        <v>33</v>
      </c>
      <c r="B1068" s="4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 s="6">
        <v>47</v>
      </c>
      <c r="B1069" s="4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 s="6">
        <v>28</v>
      </c>
      <c r="B1070" s="4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 s="6">
        <v>28</v>
      </c>
      <c r="B1071" s="4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 s="6">
        <v>28</v>
      </c>
      <c r="B1072" s="4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 s="6">
        <v>49</v>
      </c>
      <c r="B1073" s="4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 s="6">
        <v>29</v>
      </c>
      <c r="B1074" s="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 s="6">
        <v>28</v>
      </c>
      <c r="B1075" s="4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 s="6">
        <v>33</v>
      </c>
      <c r="B1076" s="4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 s="6">
        <v>32</v>
      </c>
      <c r="B1077" s="4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 s="6">
        <v>54</v>
      </c>
      <c r="B1078" s="4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 s="6">
        <v>29</v>
      </c>
      <c r="B1079" s="4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 s="6">
        <v>44</v>
      </c>
      <c r="B1080" s="4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 s="6">
        <v>39</v>
      </c>
      <c r="B1081" s="4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 s="6">
        <v>46</v>
      </c>
      <c r="B1082" s="4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 s="6">
        <v>35</v>
      </c>
      <c r="B1083" s="4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 s="6">
        <v>23</v>
      </c>
      <c r="B1084" s="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 s="6">
        <v>40</v>
      </c>
      <c r="B1085" s="4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 s="6">
        <v>34</v>
      </c>
      <c r="B1086" s="4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 s="6">
        <v>31</v>
      </c>
      <c r="B1087" s="4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 s="6">
        <v>50</v>
      </c>
      <c r="B1088" s="4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 s="6">
        <v>34</v>
      </c>
      <c r="B1089" s="4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 s="6">
        <v>42</v>
      </c>
      <c r="B1090" s="4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 s="6">
        <v>37</v>
      </c>
      <c r="B1091" s="4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 s="6">
        <v>29</v>
      </c>
      <c r="B1092" s="4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 s="6">
        <v>33</v>
      </c>
      <c r="B1093" s="4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 s="6">
        <v>45</v>
      </c>
      <c r="B1094" s="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 s="6">
        <v>42</v>
      </c>
      <c r="B1095" s="4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 s="6">
        <v>40</v>
      </c>
      <c r="B1096" s="4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 s="6">
        <v>33</v>
      </c>
      <c r="B1097" s="4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 s="6">
        <v>40</v>
      </c>
      <c r="B1098" s="4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 s="6">
        <v>24</v>
      </c>
      <c r="B1099" s="4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 s="6">
        <v>40</v>
      </c>
      <c r="B1100" s="4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 s="6">
        <v>45</v>
      </c>
      <c r="B1101" s="4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 s="6">
        <v>35</v>
      </c>
      <c r="B1102" s="4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 s="6">
        <v>32</v>
      </c>
      <c r="B1103" s="4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 s="6">
        <v>36</v>
      </c>
      <c r="B1104" s="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 s="6">
        <v>48</v>
      </c>
      <c r="B1105" s="4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 s="6">
        <v>29</v>
      </c>
      <c r="B1106" s="4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 s="6">
        <v>33</v>
      </c>
      <c r="B1107" s="4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 s="6">
        <v>30</v>
      </c>
      <c r="B1108" s="4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 s="6">
        <v>38</v>
      </c>
      <c r="B1109" s="4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 s="6">
        <v>35</v>
      </c>
      <c r="B1110" s="4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 s="6">
        <v>30</v>
      </c>
      <c r="B1111" s="4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 s="6">
        <v>35</v>
      </c>
      <c r="B1112" s="4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 s="6">
        <v>53</v>
      </c>
      <c r="B1113" s="4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 s="6">
        <v>38</v>
      </c>
      <c r="B1114" s="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 s="6">
        <v>32</v>
      </c>
      <c r="B1115" s="4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 s="6">
        <v>48</v>
      </c>
      <c r="B1116" s="4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 s="6">
        <v>34</v>
      </c>
      <c r="B1117" s="4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 s="6">
        <v>55</v>
      </c>
      <c r="B1118" s="4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 s="6">
        <v>34</v>
      </c>
      <c r="B1119" s="4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 s="6">
        <v>26</v>
      </c>
      <c r="B1120" s="4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 s="6">
        <v>38</v>
      </c>
      <c r="B1121" s="4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 s="6">
        <v>38</v>
      </c>
      <c r="B1122" s="4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 s="6">
        <v>36</v>
      </c>
      <c r="B1123" s="4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 s="6">
        <v>29</v>
      </c>
      <c r="B1124" s="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 s="6">
        <v>35</v>
      </c>
      <c r="B1125" s="4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 s="6">
        <v>39</v>
      </c>
      <c r="B1126" s="4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 s="6">
        <v>29</v>
      </c>
      <c r="B1127" s="4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 s="6">
        <v>50</v>
      </c>
      <c r="B1128" s="4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 s="6">
        <v>23</v>
      </c>
      <c r="B1129" s="4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 s="6">
        <v>36</v>
      </c>
      <c r="B1130" s="4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 s="6">
        <v>42</v>
      </c>
      <c r="B1131" s="4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 s="6">
        <v>35</v>
      </c>
      <c r="B1132" s="4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 s="6">
        <v>34</v>
      </c>
      <c r="B1133" s="4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 s="6">
        <v>40</v>
      </c>
      <c r="B1134" s="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 s="6">
        <v>43</v>
      </c>
      <c r="B1135" s="4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 s="6">
        <v>35</v>
      </c>
      <c r="B1136" s="4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 s="6">
        <v>46</v>
      </c>
      <c r="B1137" s="4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 s="6">
        <v>28</v>
      </c>
      <c r="B1138" s="4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 s="6">
        <v>22</v>
      </c>
      <c r="B1139" s="4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 s="6">
        <v>50</v>
      </c>
      <c r="B1140" s="4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 s="6">
        <v>32</v>
      </c>
      <c r="B1141" s="4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 s="6">
        <v>44</v>
      </c>
      <c r="B1142" s="4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 s="6">
        <v>30</v>
      </c>
      <c r="B1143" s="4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 s="6">
        <v>45</v>
      </c>
      <c r="B1144" s="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 s="6">
        <v>45</v>
      </c>
      <c r="B1145" s="4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 s="6">
        <v>31</v>
      </c>
      <c r="B1146" s="4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 s="6">
        <v>36</v>
      </c>
      <c r="B1147" s="4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 s="6">
        <v>34</v>
      </c>
      <c r="B1148" s="4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 s="6">
        <v>49</v>
      </c>
      <c r="B1149" s="4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 s="6">
        <v>39</v>
      </c>
      <c r="B1150" s="4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 s="6">
        <v>27</v>
      </c>
      <c r="B1151" s="4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 s="6">
        <v>35</v>
      </c>
      <c r="B1152" s="4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 s="6">
        <v>28</v>
      </c>
      <c r="B1153" s="4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 s="6">
        <v>21</v>
      </c>
      <c r="B1154" s="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 s="6">
        <v>18</v>
      </c>
      <c r="B1155" s="4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 s="6">
        <v>47</v>
      </c>
      <c r="B1156" s="4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 s="6">
        <v>39</v>
      </c>
      <c r="B1157" s="4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 s="6">
        <v>40</v>
      </c>
      <c r="B1158" s="4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 s="6">
        <v>35</v>
      </c>
      <c r="B1159" s="4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 s="6">
        <v>37</v>
      </c>
      <c r="B1160" s="4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 s="6">
        <v>39</v>
      </c>
      <c r="B1161" s="4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 s="6">
        <v>45</v>
      </c>
      <c r="B1162" s="4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 s="6">
        <v>38</v>
      </c>
      <c r="B1163" s="4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 s="6">
        <v>35</v>
      </c>
      <c r="B1164" s="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 s="6">
        <v>37</v>
      </c>
      <c r="B1165" s="4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 s="6">
        <v>40</v>
      </c>
      <c r="B1166" s="4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 s="6">
        <v>44</v>
      </c>
      <c r="B1167" s="4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 s="6">
        <v>48</v>
      </c>
      <c r="B1168" s="4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 s="6">
        <v>35</v>
      </c>
      <c r="B1169" s="4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 s="6">
        <v>24</v>
      </c>
      <c r="B1170" s="4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 s="6">
        <v>27</v>
      </c>
      <c r="B1171" s="4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 s="6">
        <v>27</v>
      </c>
      <c r="B1172" s="4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 s="6">
        <v>40</v>
      </c>
      <c r="B1173" s="4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 s="6">
        <v>29</v>
      </c>
      <c r="B1174" s="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 s="6">
        <v>36</v>
      </c>
      <c r="B1175" s="4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 s="6">
        <v>25</v>
      </c>
      <c r="B1176" s="4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 s="6">
        <v>39</v>
      </c>
      <c r="B1177" s="4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 s="6">
        <v>49</v>
      </c>
      <c r="B1178" s="4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 s="6">
        <v>50</v>
      </c>
      <c r="B1179" s="4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 s="6">
        <v>20</v>
      </c>
      <c r="B1180" s="4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 s="6">
        <v>34</v>
      </c>
      <c r="B1181" s="4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 s="6">
        <v>36</v>
      </c>
      <c r="B1182" s="4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 s="6">
        <v>49</v>
      </c>
      <c r="B1183" s="4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 s="6">
        <v>36</v>
      </c>
      <c r="B1184" s="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 s="6">
        <v>36</v>
      </c>
      <c r="B1185" s="4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 s="6">
        <v>54</v>
      </c>
      <c r="B1186" s="4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 s="6">
        <v>43</v>
      </c>
      <c r="B1187" s="4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 s="6">
        <v>35</v>
      </c>
      <c r="B1188" s="4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 s="6">
        <v>38</v>
      </c>
      <c r="B1189" s="4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 s="6">
        <v>29</v>
      </c>
      <c r="B1190" s="4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 s="6">
        <v>33</v>
      </c>
      <c r="B1191" s="4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 s="6">
        <v>32</v>
      </c>
      <c r="B1192" s="4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 s="6">
        <v>31</v>
      </c>
      <c r="B1193" s="4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 s="6">
        <v>49</v>
      </c>
      <c r="B1194" s="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 s="6">
        <v>38</v>
      </c>
      <c r="B1195" s="4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 s="6">
        <v>47</v>
      </c>
      <c r="B1196" s="4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 s="6">
        <v>49</v>
      </c>
      <c r="B1197" s="4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 s="6">
        <v>41</v>
      </c>
      <c r="B1198" s="4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 s="6">
        <v>20</v>
      </c>
      <c r="B1199" s="4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 s="6">
        <v>33</v>
      </c>
      <c r="B1200" s="4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 s="6">
        <v>36</v>
      </c>
      <c r="B1201" s="4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 s="6">
        <v>44</v>
      </c>
      <c r="B1202" s="4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 s="6">
        <v>23</v>
      </c>
      <c r="B1203" s="4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 s="6">
        <v>38</v>
      </c>
      <c r="B1204" s="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 s="6">
        <v>53</v>
      </c>
      <c r="B1205" s="4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 s="6">
        <v>48</v>
      </c>
      <c r="B1206" s="4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 s="6">
        <v>32</v>
      </c>
      <c r="B1207" s="4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 s="6">
        <v>26</v>
      </c>
      <c r="B1208" s="4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 s="6">
        <v>55</v>
      </c>
      <c r="B1209" s="4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 s="6">
        <v>34</v>
      </c>
      <c r="B1210" s="4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 s="6">
        <v>60</v>
      </c>
      <c r="B1211" s="4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 s="6">
        <v>33</v>
      </c>
      <c r="B1212" s="4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 s="6">
        <v>37</v>
      </c>
      <c r="B1213" s="4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 s="6">
        <v>34</v>
      </c>
      <c r="B1214" s="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 s="6">
        <v>23</v>
      </c>
      <c r="B1215" s="4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 s="6">
        <v>44</v>
      </c>
      <c r="B1216" s="4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 s="6">
        <v>35</v>
      </c>
      <c r="B1217" s="4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 s="6">
        <v>43</v>
      </c>
      <c r="B1218" s="4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 s="6">
        <v>24</v>
      </c>
      <c r="B1219" s="4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 s="6">
        <v>41</v>
      </c>
      <c r="B1220" s="4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 s="6">
        <v>29</v>
      </c>
      <c r="B1221" s="4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 s="6">
        <v>36</v>
      </c>
      <c r="B1222" s="4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 s="6">
        <v>45</v>
      </c>
      <c r="B1223" s="4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 s="6">
        <v>24</v>
      </c>
      <c r="B1224" s="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 s="6">
        <v>47</v>
      </c>
      <c r="B1225" s="4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 s="6">
        <v>26</v>
      </c>
      <c r="B1226" s="4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 s="6">
        <v>45</v>
      </c>
      <c r="B1227" s="4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 s="6">
        <v>32</v>
      </c>
      <c r="B1228" s="4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 s="6">
        <v>31</v>
      </c>
      <c r="B1229" s="4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 s="6">
        <v>41</v>
      </c>
      <c r="B1230" s="4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 s="6">
        <v>40</v>
      </c>
      <c r="B1231" s="4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 s="6">
        <v>24</v>
      </c>
      <c r="B1232" s="4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 s="6">
        <v>46</v>
      </c>
      <c r="B1233" s="4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 s="6">
        <v>35</v>
      </c>
      <c r="B1234" s="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 s="6">
        <v>30</v>
      </c>
      <c r="B1235" s="4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 s="6">
        <v>47</v>
      </c>
      <c r="B1236" s="4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 s="6">
        <v>46</v>
      </c>
      <c r="B1237" s="4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 s="6">
        <v>36</v>
      </c>
      <c r="B1238" s="4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 s="6">
        <v>32</v>
      </c>
      <c r="B1239" s="4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 s="6">
        <v>23</v>
      </c>
      <c r="B1240" s="4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 s="6">
        <v>31</v>
      </c>
      <c r="B1241" s="4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 s="6">
        <v>39</v>
      </c>
      <c r="B1242" s="4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 s="6">
        <v>32</v>
      </c>
      <c r="B1243" s="4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 s="6">
        <v>40</v>
      </c>
      <c r="B1244" s="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 s="6">
        <v>45</v>
      </c>
      <c r="B1245" s="4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 s="6">
        <v>30</v>
      </c>
      <c r="B1246" s="4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 s="6">
        <v>24</v>
      </c>
      <c r="B1247" s="4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 s="6">
        <v>30</v>
      </c>
      <c r="B1248" s="4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 s="6">
        <v>31</v>
      </c>
      <c r="B1249" s="4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 s="6">
        <v>27</v>
      </c>
      <c r="B1250" s="4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 s="6">
        <v>29</v>
      </c>
      <c r="B1251" s="4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 s="6">
        <v>29</v>
      </c>
      <c r="B1252" s="4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 s="6">
        <v>30</v>
      </c>
      <c r="B1253" s="4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 s="6">
        <v>34</v>
      </c>
      <c r="B1254" s="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 s="6">
        <v>33</v>
      </c>
      <c r="B1255" s="4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 s="6">
        <v>49</v>
      </c>
      <c r="B1256" s="4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 s="6">
        <v>33</v>
      </c>
      <c r="B1257" s="4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 s="6">
        <v>38</v>
      </c>
      <c r="B1258" s="4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 s="6">
        <v>31</v>
      </c>
      <c r="B1259" s="4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 s="6">
        <v>29</v>
      </c>
      <c r="B1260" s="4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 s="6">
        <v>30</v>
      </c>
      <c r="B1261" s="4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 s="6">
        <v>32</v>
      </c>
      <c r="B1262" s="4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 s="6">
        <v>38</v>
      </c>
      <c r="B1263" s="4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 s="6">
        <v>43</v>
      </c>
      <c r="B1264" s="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 s="6">
        <v>42</v>
      </c>
      <c r="B1265" s="4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 s="6">
        <v>55</v>
      </c>
      <c r="B1266" s="4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 s="6">
        <v>33</v>
      </c>
      <c r="B1267" s="4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 s="6">
        <v>41</v>
      </c>
      <c r="B1268" s="4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 s="6">
        <v>34</v>
      </c>
      <c r="B1269" s="4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 s="6">
        <v>53</v>
      </c>
      <c r="B1270" s="4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 s="6">
        <v>43</v>
      </c>
      <c r="B1271" s="4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 s="6">
        <v>34</v>
      </c>
      <c r="B1272" s="4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 s="6">
        <v>21</v>
      </c>
      <c r="B1273" s="4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 s="6">
        <v>38</v>
      </c>
      <c r="B1274" s="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 s="6">
        <v>22</v>
      </c>
      <c r="B1275" s="4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 s="6">
        <v>31</v>
      </c>
      <c r="B1276" s="4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 s="6">
        <v>51</v>
      </c>
      <c r="B1277" s="4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 s="6">
        <v>37</v>
      </c>
      <c r="B1278" s="4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 s="6">
        <v>46</v>
      </c>
      <c r="B1279" s="4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 s="6">
        <v>36</v>
      </c>
      <c r="B1280" s="4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 s="6">
        <v>44</v>
      </c>
      <c r="B1281" s="4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 s="6">
        <v>37</v>
      </c>
      <c r="B1282" s="4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 s="6">
        <v>35</v>
      </c>
      <c r="B1283" s="4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 s="6">
        <v>33</v>
      </c>
      <c r="B1284" s="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 s="6">
        <v>28</v>
      </c>
      <c r="B1285" s="4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 s="6">
        <v>39</v>
      </c>
      <c r="B1286" s="4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 s="6">
        <v>46</v>
      </c>
      <c r="B1287" s="4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 s="6">
        <v>40</v>
      </c>
      <c r="B1288" s="4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 s="6">
        <v>42</v>
      </c>
      <c r="B1289" s="4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 s="6">
        <v>35</v>
      </c>
      <c r="B1290" s="4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 s="6">
        <v>38</v>
      </c>
      <c r="B1291" s="4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 s="6">
        <v>34</v>
      </c>
      <c r="B1292" s="4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 s="6">
        <v>37</v>
      </c>
      <c r="B1293" s="4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 s="6">
        <v>39</v>
      </c>
      <c r="B1294" s="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 s="6">
        <v>43</v>
      </c>
      <c r="B1295" s="4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 s="6">
        <v>41</v>
      </c>
      <c r="B1296" s="4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 s="6">
        <v>41</v>
      </c>
      <c r="B1297" s="4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 s="6">
        <v>30</v>
      </c>
      <c r="B1298" s="4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 s="6">
        <v>26</v>
      </c>
      <c r="B1299" s="4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 s="6">
        <v>46</v>
      </c>
      <c r="B1300" s="4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 s="6">
        <v>40</v>
      </c>
      <c r="B1301" s="4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 s="6">
        <v>34</v>
      </c>
      <c r="B1302" s="4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 s="6">
        <v>58</v>
      </c>
      <c r="B1303" s="4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 s="6">
        <v>35</v>
      </c>
      <c r="B1304" s="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 s="6">
        <v>47</v>
      </c>
      <c r="B1305" s="4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 s="6">
        <v>40</v>
      </c>
      <c r="B1306" s="4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 s="6">
        <v>54</v>
      </c>
      <c r="B1307" s="4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 s="6">
        <v>31</v>
      </c>
      <c r="B1308" s="4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 s="6">
        <v>28</v>
      </c>
      <c r="B1309" s="4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 s="6">
        <v>38</v>
      </c>
      <c r="B1310" s="4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 s="6">
        <v>26</v>
      </c>
      <c r="B1311" s="4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 s="6">
        <v>58</v>
      </c>
      <c r="B1312" s="4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 s="6">
        <v>18</v>
      </c>
      <c r="B1313" s="4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 s="6">
        <v>31</v>
      </c>
      <c r="B1314" s="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 s="6">
        <v>29</v>
      </c>
      <c r="B1315" s="4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 s="6">
        <v>45</v>
      </c>
      <c r="B1316" s="4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 s="6">
        <v>36</v>
      </c>
      <c r="B1317" s="4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 s="6">
        <v>43</v>
      </c>
      <c r="B1318" s="4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 s="6">
        <v>27</v>
      </c>
      <c r="B1319" s="4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 s="6">
        <v>29</v>
      </c>
      <c r="B1320" s="4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 s="6">
        <v>32</v>
      </c>
      <c r="B1321" s="4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 s="6">
        <v>42</v>
      </c>
      <c r="B1322" s="4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 s="6">
        <v>47</v>
      </c>
      <c r="B1323" s="4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 s="6">
        <v>46</v>
      </c>
      <c r="B1324" s="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 s="6">
        <v>28</v>
      </c>
      <c r="B1325" s="4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 s="6">
        <v>29</v>
      </c>
      <c r="B1326" s="4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 s="6">
        <v>42</v>
      </c>
      <c r="B1327" s="4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 s="6">
        <v>32</v>
      </c>
      <c r="B1328" s="4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 s="6">
        <v>46</v>
      </c>
      <c r="B1329" s="4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 s="6">
        <v>27</v>
      </c>
      <c r="B1330" s="4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 s="6">
        <v>29</v>
      </c>
      <c r="B1331" s="4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 s="6">
        <v>43</v>
      </c>
      <c r="B1332" s="4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 s="6">
        <v>48</v>
      </c>
      <c r="B1333" s="4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 s="6">
        <v>29</v>
      </c>
      <c r="B1334" s="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 s="6">
        <v>46</v>
      </c>
      <c r="B1335" s="4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 s="6">
        <v>27</v>
      </c>
      <c r="B1336" s="4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 s="6">
        <v>39</v>
      </c>
      <c r="B1337" s="4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 s="6">
        <v>55</v>
      </c>
      <c r="B1338" s="4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 s="6">
        <v>28</v>
      </c>
      <c r="B1339" s="4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 s="6">
        <v>30</v>
      </c>
      <c r="B1340" s="4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 s="6">
        <v>22</v>
      </c>
      <c r="B1341" s="4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 s="6">
        <v>36</v>
      </c>
      <c r="B1342" s="4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 s="6">
        <v>31</v>
      </c>
      <c r="B1343" s="4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 s="6">
        <v>34</v>
      </c>
      <c r="B1344" s="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 s="6">
        <v>29</v>
      </c>
      <c r="B1345" s="4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 s="6">
        <v>37</v>
      </c>
      <c r="B1346" s="4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 s="6">
        <v>35</v>
      </c>
      <c r="B1347" s="4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 s="6">
        <v>45</v>
      </c>
      <c r="B1348" s="4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 s="6">
        <v>36</v>
      </c>
      <c r="B1349" s="4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 s="6">
        <v>40</v>
      </c>
      <c r="B1350" s="4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 s="6">
        <v>26</v>
      </c>
      <c r="B1351" s="4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 s="6">
        <v>27</v>
      </c>
      <c r="B1352" s="4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 s="6">
        <v>48</v>
      </c>
      <c r="B1353" s="4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 s="6">
        <v>44</v>
      </c>
      <c r="B1354" s="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 s="6">
        <v>34</v>
      </c>
      <c r="B1355" s="4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 s="6">
        <v>56</v>
      </c>
      <c r="B1356" s="4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 s="6">
        <v>36</v>
      </c>
      <c r="B1357" s="4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 s="6">
        <v>41</v>
      </c>
      <c r="B1358" s="4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 s="6">
        <v>42</v>
      </c>
      <c r="B1359" s="4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 s="6">
        <v>31</v>
      </c>
      <c r="B1360" s="4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 s="6">
        <v>34</v>
      </c>
      <c r="B1361" s="4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 s="6">
        <v>31</v>
      </c>
      <c r="B1362" s="4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 s="6">
        <v>26</v>
      </c>
      <c r="B1363" s="4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 s="6">
        <v>45</v>
      </c>
      <c r="B1364" s="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 s="6">
        <v>33</v>
      </c>
      <c r="B1365" s="4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 s="6">
        <v>28</v>
      </c>
      <c r="B1366" s="4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 s="6">
        <v>29</v>
      </c>
      <c r="B1367" s="4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 s="6">
        <v>39</v>
      </c>
      <c r="B1368" s="4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 s="6">
        <v>27</v>
      </c>
      <c r="B1369" s="4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 s="6">
        <v>34</v>
      </c>
      <c r="B1370" s="4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 s="6">
        <v>28</v>
      </c>
      <c r="B1371" s="4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 s="6">
        <v>47</v>
      </c>
      <c r="B1372" s="4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 s="6">
        <v>56</v>
      </c>
      <c r="B1373" s="4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 s="6">
        <v>39</v>
      </c>
      <c r="B1374" s="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 s="6">
        <v>38</v>
      </c>
      <c r="B1375" s="4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 s="6">
        <v>58</v>
      </c>
      <c r="B1376" s="4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 s="6">
        <v>32</v>
      </c>
      <c r="B1377" s="4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 s="6">
        <v>38</v>
      </c>
      <c r="B1378" s="4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 s="6">
        <v>49</v>
      </c>
      <c r="B1379" s="4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 s="6">
        <v>42</v>
      </c>
      <c r="B1380" s="4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 s="6">
        <v>27</v>
      </c>
      <c r="B1381" s="4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 s="6">
        <v>35</v>
      </c>
      <c r="B1382" s="4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 s="6">
        <v>28</v>
      </c>
      <c r="B1383" s="4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 s="6">
        <v>31</v>
      </c>
      <c r="B1384" s="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 s="6">
        <v>36</v>
      </c>
      <c r="B1385" s="4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 s="6">
        <v>34</v>
      </c>
      <c r="B1386" s="4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 s="6">
        <v>34</v>
      </c>
      <c r="B1387" s="4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 s="6">
        <v>26</v>
      </c>
      <c r="B1388" s="4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 s="6">
        <v>29</v>
      </c>
      <c r="B1389" s="4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 s="6">
        <v>32</v>
      </c>
      <c r="B1390" s="4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 s="6">
        <v>31</v>
      </c>
      <c r="B1391" s="4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 s="6">
        <v>28</v>
      </c>
      <c r="B1392" s="4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 s="6">
        <v>38</v>
      </c>
      <c r="B1393" s="4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 s="6">
        <v>35</v>
      </c>
      <c r="B1394" s="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 s="6">
        <v>27</v>
      </c>
      <c r="B1395" s="4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 s="6">
        <v>32</v>
      </c>
      <c r="B1396" s="4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 s="6">
        <v>31</v>
      </c>
      <c r="B1397" s="4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 s="6">
        <v>53</v>
      </c>
      <c r="B1398" s="4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 s="6">
        <v>54</v>
      </c>
      <c r="B1399" s="4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 s="6">
        <v>33</v>
      </c>
      <c r="B1400" s="4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 s="6">
        <v>43</v>
      </c>
      <c r="B1401" s="4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 s="6">
        <v>38</v>
      </c>
      <c r="B1402" s="4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 s="6">
        <v>55</v>
      </c>
      <c r="B1403" s="4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 s="6">
        <v>31</v>
      </c>
      <c r="B1404" s="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 s="6">
        <v>39</v>
      </c>
      <c r="B1405" s="4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 s="6">
        <v>42</v>
      </c>
      <c r="B1406" s="4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 s="6">
        <v>31</v>
      </c>
      <c r="B1407" s="4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 s="6">
        <v>54</v>
      </c>
      <c r="B1408" s="4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 s="6">
        <v>24</v>
      </c>
      <c r="B1409" s="4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 s="6">
        <v>23</v>
      </c>
      <c r="B1410" s="4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 s="6">
        <v>40</v>
      </c>
      <c r="B1411" s="4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 s="6">
        <v>40</v>
      </c>
      <c r="B1412" s="4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 s="6">
        <v>25</v>
      </c>
      <c r="B1413" s="4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 s="6">
        <v>30</v>
      </c>
      <c r="B1414" s="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 s="6">
        <v>25</v>
      </c>
      <c r="B1415" s="4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 s="6">
        <v>47</v>
      </c>
      <c r="B1416" s="4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 s="6">
        <v>33</v>
      </c>
      <c r="B1417" s="4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 s="6">
        <v>38</v>
      </c>
      <c r="B1418" s="4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 s="6">
        <v>31</v>
      </c>
      <c r="B1419" s="4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 s="6">
        <v>38</v>
      </c>
      <c r="B1420" s="4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 s="6">
        <v>42</v>
      </c>
      <c r="B1421" s="4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 s="6">
        <v>41</v>
      </c>
      <c r="B1422" s="4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 s="6">
        <v>47</v>
      </c>
      <c r="B1423" s="4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 s="6">
        <v>35</v>
      </c>
      <c r="B1424" s="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 s="6">
        <v>22</v>
      </c>
      <c r="B1425" s="4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 s="6">
        <v>35</v>
      </c>
      <c r="B1426" s="4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 s="6">
        <v>33</v>
      </c>
      <c r="B1427" s="4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 s="6">
        <v>32</v>
      </c>
      <c r="B1428" s="4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 s="6">
        <v>40</v>
      </c>
      <c r="B1429" s="4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 s="6">
        <v>32</v>
      </c>
      <c r="B1430" s="4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 s="6">
        <v>39</v>
      </c>
      <c r="B1431" s="4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 s="6">
        <v>38</v>
      </c>
      <c r="B1432" s="4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 s="6">
        <v>32</v>
      </c>
      <c r="B1433" s="4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 s="6">
        <v>37</v>
      </c>
      <c r="B1434" s="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 s="6">
        <v>25</v>
      </c>
      <c r="B1435" s="4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 s="6">
        <v>52</v>
      </c>
      <c r="B1436" s="4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 s="6">
        <v>44</v>
      </c>
      <c r="B1437" s="4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 s="6">
        <v>21</v>
      </c>
      <c r="B1438" s="4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 s="6">
        <v>39</v>
      </c>
      <c r="B1439" s="4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 s="6">
        <v>23</v>
      </c>
      <c r="B1440" s="4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 s="6">
        <v>36</v>
      </c>
      <c r="B1441" s="4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 s="6">
        <v>36</v>
      </c>
      <c r="B1442" s="4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 s="6">
        <v>56</v>
      </c>
      <c r="B1443" s="4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 s="6">
        <v>29</v>
      </c>
      <c r="B1444" s="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 s="6">
        <v>42</v>
      </c>
      <c r="B1445" s="4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 s="6">
        <v>56</v>
      </c>
      <c r="B1446" s="4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 s="6">
        <v>41</v>
      </c>
      <c r="B1447" s="4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 s="6">
        <v>34</v>
      </c>
      <c r="B1448" s="4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 s="6">
        <v>36</v>
      </c>
      <c r="B1449" s="4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 s="6">
        <v>41</v>
      </c>
      <c r="B1450" s="4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 s="6">
        <v>32</v>
      </c>
      <c r="B1451" s="4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 s="6">
        <v>35</v>
      </c>
      <c r="B1452" s="4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 s="6">
        <v>38</v>
      </c>
      <c r="B1453" s="4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 s="6">
        <v>50</v>
      </c>
      <c r="B1454" s="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 s="6">
        <v>36</v>
      </c>
      <c r="B1455" s="4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 s="6">
        <v>45</v>
      </c>
      <c r="B1456" s="4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 s="6">
        <v>40</v>
      </c>
      <c r="B1457" s="4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 s="6">
        <v>35</v>
      </c>
      <c r="B1458" s="4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 s="6">
        <v>40</v>
      </c>
      <c r="B1459" s="4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 s="6">
        <v>35</v>
      </c>
      <c r="B1460" s="4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 s="6">
        <v>29</v>
      </c>
      <c r="B1461" s="4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 s="6">
        <v>29</v>
      </c>
      <c r="B1462" s="4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 s="6">
        <v>50</v>
      </c>
      <c r="B1463" s="4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 s="6">
        <v>39</v>
      </c>
      <c r="B1464" s="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 s="6">
        <v>31</v>
      </c>
      <c r="B1465" s="4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 s="6">
        <v>26</v>
      </c>
      <c r="B1466" s="4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 s="6">
        <v>36</v>
      </c>
      <c r="B1467" s="4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 s="6">
        <v>39</v>
      </c>
      <c r="B1468" s="4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 s="6">
        <v>27</v>
      </c>
      <c r="B1469" s="4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 s="6">
        <v>49</v>
      </c>
      <c r="B1470" s="4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 s="6">
        <v>34</v>
      </c>
      <c r="B1471" s="4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71"/>
  <sheetViews>
    <sheetView tabSelected="1" zoomScaleNormal="100" workbookViewId="0">
      <selection activeCell="AS16" sqref="AS16"/>
    </sheetView>
  </sheetViews>
  <sheetFormatPr defaultRowHeight="15" x14ac:dyDescent="0.25"/>
  <cols>
    <col min="1" max="1" width="9" style="6" bestFit="1" customWidth="1"/>
    <col min="2" max="2" width="13.140625" style="4" bestFit="1" customWidth="1"/>
    <col min="3" max="3" width="18.85546875" bestFit="1" customWidth="1"/>
    <col min="4" max="4" width="14" bestFit="1" customWidth="1"/>
    <col min="5" max="5" width="23.85546875" bestFit="1" customWidth="1"/>
    <col min="6" max="6" width="23.28515625" bestFit="1" customWidth="1"/>
    <col min="7" max="7" width="14.28515625" bestFit="1" customWidth="1"/>
    <col min="8" max="8" width="18.85546875" bestFit="1" customWidth="1"/>
    <col min="9" max="9" width="19.85546875" bestFit="1" customWidth="1"/>
    <col min="10" max="10" width="22" bestFit="1" customWidth="1"/>
    <col min="11" max="11" width="27.7109375" bestFit="1" customWidth="1"/>
    <col min="12" max="12" width="12.28515625" bestFit="1" customWidth="1"/>
    <col min="13" max="13" width="15.42578125" bestFit="1" customWidth="1"/>
    <col min="14" max="14" width="20" bestFit="1" customWidth="1"/>
    <col min="15" max="15" width="13.28515625" bestFit="1" customWidth="1"/>
    <col min="16" max="16" width="25" bestFit="1" customWidth="1"/>
    <col min="17" max="17" width="19" bestFit="1" customWidth="1"/>
    <col min="18" max="18" width="17.42578125" bestFit="1" customWidth="1"/>
    <col min="19" max="19" width="19.85546875" bestFit="1" customWidth="1"/>
    <col min="20" max="20" width="17.140625" bestFit="1" customWidth="1"/>
    <col min="21" max="21" width="27.28515625" bestFit="1" customWidth="1"/>
    <col min="22" max="22" width="11.85546875" bestFit="1" customWidth="1"/>
    <col min="23" max="23" width="14.28515625" bestFit="1" customWidth="1"/>
    <col min="24" max="24" width="22" bestFit="1" customWidth="1"/>
    <col min="25" max="25" width="22.85546875" bestFit="1" customWidth="1"/>
    <col min="26" max="26" width="27.42578125" bestFit="1" customWidth="1"/>
    <col min="27" max="27" width="18.7109375" bestFit="1" customWidth="1"/>
    <col min="28" max="28" width="21.28515625" bestFit="1" customWidth="1"/>
    <col min="29" max="29" width="22.7109375" bestFit="1" customWidth="1"/>
    <col min="30" max="30" width="25.7109375" bestFit="1" customWidth="1"/>
    <col min="31" max="31" width="20.7109375" bestFit="1" customWidth="1"/>
    <col min="32" max="32" width="20.85546875" bestFit="1" customWidth="1"/>
    <col min="33" max="33" width="23.140625" bestFit="1" customWidth="1"/>
    <col min="34" max="34" width="28.42578125" bestFit="1" customWidth="1"/>
    <col min="35" max="35" width="26.85546875" bestFit="1" customWidth="1"/>
    <col min="36" max="36" width="15" style="11" customWidth="1"/>
    <col min="37" max="37" width="17.5703125" style="11" customWidth="1"/>
    <col min="38" max="38" width="23" style="11" customWidth="1"/>
    <col min="39" max="39" width="22.7109375" customWidth="1"/>
    <col min="40" max="40" width="27.42578125" customWidth="1"/>
    <col min="41" max="41" width="24.140625" customWidth="1"/>
    <col min="42" max="42" width="25.85546875" customWidth="1"/>
  </cols>
  <sheetData>
    <row r="1" spans="1:42" x14ac:dyDescent="0.25">
      <c r="A1" s="28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9" t="s">
        <v>79</v>
      </c>
      <c r="AK1" s="29" t="s">
        <v>266</v>
      </c>
      <c r="AL1" s="29" t="s">
        <v>267</v>
      </c>
      <c r="AM1" s="29" t="s">
        <v>268</v>
      </c>
      <c r="AN1" s="29" t="s">
        <v>269</v>
      </c>
      <c r="AO1" s="29" t="s">
        <v>270</v>
      </c>
      <c r="AP1" s="29" t="s">
        <v>271</v>
      </c>
    </row>
    <row r="2" spans="1:42" x14ac:dyDescent="0.25">
      <c r="A2" s="6">
        <v>41</v>
      </c>
      <c r="B2" s="4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s="11" t="str">
        <f>IF(HR_Data[[#This Row],[Age]]&lt;=25,"18-25",IF(HR_Data[[#This Row],[Age]]&lt;=35,"26-35",IF(HR_Data[[#This Row],[Age]]&lt;=45,"36-45",IF(HR_Data[[#This Row],[Age]]&lt;=55,"46-55","56+"))))</f>
        <v>36-45</v>
      </c>
      <c r="AK2" s="11" t="str">
        <f>IF(HR_Data[[#This Row],[MonthlyIncome]]&lt;3000,"Low",IF(HR_Data[[#This Row],[MonthlyIncome]]&lt;6000,"Medium",IF(HR_Data[[#This Row],[MonthlyIncome]]&lt;10000,"High","Very High")))</f>
        <v>Medium</v>
      </c>
      <c r="AL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" t="str">
        <f>IF(HR_Data[[#This Row],[TotalWorkingYears]]&lt;=5,"Junior",IF(HR_Data[[#This Row],[TotalWorkingYears]]&lt;=15,"Mid-Level","Senior"))</f>
        <v>Mid-Level</v>
      </c>
      <c r="AN2" s="11" t="str">
        <f>IF(HR_Data[[#This Row],[PerformanceRating]]=3,"Standard","Excellent")</f>
        <v>Standard</v>
      </c>
      <c r="AO2" s="11" t="str">
        <f>IF(HR_Data[[#This Row],[JobSatisfaction]]&lt;=2,"Low","High")</f>
        <v>High</v>
      </c>
      <c r="AP2" s="11" t="str">
        <f>IF(AND(HR_Data[[#This Row],[OverTime]]="Yes",HR_Data[[#This Row],[JobSatisfaction]]&lt;=2,HR_Data[[#This Row],[YearsAtCompany]]&lt;=2),"High Risk","Normal")</f>
        <v>Normal</v>
      </c>
    </row>
    <row r="3" spans="1:42" x14ac:dyDescent="0.25">
      <c r="A3" s="6">
        <v>49</v>
      </c>
      <c r="B3" s="4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s="11" t="str">
        <f>IF(HR_Data[[#This Row],[Age]]&lt;=25,"18-25",IF(HR_Data[[#This Row],[Age]]&lt;=35,"26-35",IF(HR_Data[[#This Row],[Age]]&lt;=45,"36-45",IF(HR_Data[[#This Row],[Age]]&lt;=55,"46-55","56+"))))</f>
        <v>46-55</v>
      </c>
      <c r="AK3" s="11" t="str">
        <f>IF(HR_Data[[#This Row],[MonthlyIncome]]&lt;3000,"Low",IF(HR_Data[[#This Row],[MonthlyIncome]]&lt;6000,"Medium",IF(HR_Data[[#This Row],[MonthlyIncome]]&lt;10000,"High","Very High")))</f>
        <v>Medium</v>
      </c>
      <c r="AL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" t="str">
        <f>IF(HR_Data[[#This Row],[TotalWorkingYears]]&lt;=5,"Junior",IF(HR_Data[[#This Row],[TotalWorkingYears]]&lt;=15,"Mid-Level","Senior"))</f>
        <v>Mid-Level</v>
      </c>
      <c r="AN3" s="11" t="str">
        <f>IF(HR_Data[[#This Row],[PerformanceRating]]=3,"Standard","Excellent")</f>
        <v>Excellent</v>
      </c>
      <c r="AO3" s="11" t="str">
        <f>IF(HR_Data[[#This Row],[JobSatisfaction]]&lt;=2,"Low","High")</f>
        <v>Low</v>
      </c>
      <c r="AP3" s="11" t="str">
        <f>IF(AND(HR_Data[[#This Row],[OverTime]]="Yes",HR_Data[[#This Row],[JobSatisfaction]]&lt;=2,HR_Data[[#This Row],[YearsAtCompany]]&lt;=2),"High Risk","Normal")</f>
        <v>Normal</v>
      </c>
    </row>
    <row r="4" spans="1:42" x14ac:dyDescent="0.25">
      <c r="A4" s="6">
        <v>37</v>
      </c>
      <c r="B4" s="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s="11" t="str">
        <f>IF(HR_Data[[#This Row],[Age]]&lt;=25,"18-25",IF(HR_Data[[#This Row],[Age]]&lt;=35,"26-35",IF(HR_Data[[#This Row],[Age]]&lt;=45,"36-45",IF(HR_Data[[#This Row],[Age]]&lt;=55,"46-55","56+"))))</f>
        <v>36-45</v>
      </c>
      <c r="AK4" s="11" t="str">
        <f>IF(HR_Data[[#This Row],[MonthlyIncome]]&lt;3000,"Low",IF(HR_Data[[#This Row],[MonthlyIncome]]&lt;6000,"Medium",IF(HR_Data[[#This Row],[MonthlyIncome]]&lt;10000,"High","Very High")))</f>
        <v>Low</v>
      </c>
      <c r="AL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" t="str">
        <f>IF(HR_Data[[#This Row],[TotalWorkingYears]]&lt;=5,"Junior",IF(HR_Data[[#This Row],[TotalWorkingYears]]&lt;=15,"Mid-Level","Senior"))</f>
        <v>Mid-Level</v>
      </c>
      <c r="AN4" s="11" t="str">
        <f>IF(HR_Data[[#This Row],[PerformanceRating]]=3,"Standard","Excellent")</f>
        <v>Standard</v>
      </c>
      <c r="AO4" s="11" t="str">
        <f>IF(HR_Data[[#This Row],[JobSatisfaction]]&lt;=2,"Low","High")</f>
        <v>High</v>
      </c>
      <c r="AP4" s="11" t="str">
        <f>IF(AND(HR_Data[[#This Row],[OverTime]]="Yes",HR_Data[[#This Row],[JobSatisfaction]]&lt;=2,HR_Data[[#This Row],[YearsAtCompany]]&lt;=2),"High Risk","Normal")</f>
        <v>Normal</v>
      </c>
    </row>
    <row r="5" spans="1:42" x14ac:dyDescent="0.25">
      <c r="A5" s="6">
        <v>33</v>
      </c>
      <c r="B5" s="4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s="11" t="str">
        <f>IF(HR_Data[[#This Row],[Age]]&lt;=25,"18-25",IF(HR_Data[[#This Row],[Age]]&lt;=35,"26-35",IF(HR_Data[[#This Row],[Age]]&lt;=45,"36-45",IF(HR_Data[[#This Row],[Age]]&lt;=55,"46-55","56+"))))</f>
        <v>26-35</v>
      </c>
      <c r="AK5" s="11" t="str">
        <f>IF(HR_Data[[#This Row],[MonthlyIncome]]&lt;3000,"Low",IF(HR_Data[[#This Row],[MonthlyIncome]]&lt;6000,"Medium",IF(HR_Data[[#This Row],[MonthlyIncome]]&lt;10000,"High","Very High")))</f>
        <v>Low</v>
      </c>
      <c r="AL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" t="str">
        <f>IF(HR_Data[[#This Row],[TotalWorkingYears]]&lt;=5,"Junior",IF(HR_Data[[#This Row],[TotalWorkingYears]]&lt;=15,"Mid-Level","Senior"))</f>
        <v>Mid-Level</v>
      </c>
      <c r="AN5" s="11" t="str">
        <f>IF(HR_Data[[#This Row],[PerformanceRating]]=3,"Standard","Excellent")</f>
        <v>Standard</v>
      </c>
      <c r="AO5" s="11" t="str">
        <f>IF(HR_Data[[#This Row],[JobSatisfaction]]&lt;=2,"Low","High")</f>
        <v>High</v>
      </c>
      <c r="AP5" s="11" t="str">
        <f>IF(AND(HR_Data[[#This Row],[OverTime]]="Yes",HR_Data[[#This Row],[JobSatisfaction]]&lt;=2,HR_Data[[#This Row],[YearsAtCompany]]&lt;=2),"High Risk","Normal")</f>
        <v>Normal</v>
      </c>
    </row>
    <row r="6" spans="1:42" x14ac:dyDescent="0.25">
      <c r="A6" s="6">
        <v>27</v>
      </c>
      <c r="B6" s="4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s="11" t="str">
        <f>IF(HR_Data[[#This Row],[Age]]&lt;=25,"18-25",IF(HR_Data[[#This Row],[Age]]&lt;=35,"26-35",IF(HR_Data[[#This Row],[Age]]&lt;=45,"36-45",IF(HR_Data[[#This Row],[Age]]&lt;=55,"46-55","56+"))))</f>
        <v>26-35</v>
      </c>
      <c r="AK6" s="11" t="str">
        <f>IF(HR_Data[[#This Row],[MonthlyIncome]]&lt;3000,"Low",IF(HR_Data[[#This Row],[MonthlyIncome]]&lt;6000,"Medium",IF(HR_Data[[#This Row],[MonthlyIncome]]&lt;10000,"High","Very High")))</f>
        <v>Medium</v>
      </c>
      <c r="AL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" t="str">
        <f>IF(HR_Data[[#This Row],[TotalWorkingYears]]&lt;=5,"Junior",IF(HR_Data[[#This Row],[TotalWorkingYears]]&lt;=15,"Mid-Level","Senior"))</f>
        <v>Mid-Level</v>
      </c>
      <c r="AN6" s="11" t="str">
        <f>IF(HR_Data[[#This Row],[PerformanceRating]]=3,"Standard","Excellent")</f>
        <v>Standard</v>
      </c>
      <c r="AO6" s="11" t="str">
        <f>IF(HR_Data[[#This Row],[JobSatisfaction]]&lt;=2,"Low","High")</f>
        <v>Low</v>
      </c>
      <c r="AP6" s="11" t="str">
        <f>IF(AND(HR_Data[[#This Row],[OverTime]]="Yes",HR_Data[[#This Row],[JobSatisfaction]]&lt;=2,HR_Data[[#This Row],[YearsAtCompany]]&lt;=2),"High Risk","Normal")</f>
        <v>Normal</v>
      </c>
    </row>
    <row r="7" spans="1:42" x14ac:dyDescent="0.25">
      <c r="A7" s="6">
        <v>32</v>
      </c>
      <c r="B7" s="4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s="11" t="str">
        <f>IF(HR_Data[[#This Row],[Age]]&lt;=25,"18-25",IF(HR_Data[[#This Row],[Age]]&lt;=35,"26-35",IF(HR_Data[[#This Row],[Age]]&lt;=45,"36-45",IF(HR_Data[[#This Row],[Age]]&lt;=55,"46-55","56+"))))</f>
        <v>26-35</v>
      </c>
      <c r="AK7" s="11" t="str">
        <f>IF(HR_Data[[#This Row],[MonthlyIncome]]&lt;3000,"Low",IF(HR_Data[[#This Row],[MonthlyIncome]]&lt;6000,"Medium",IF(HR_Data[[#This Row],[MonthlyIncome]]&lt;10000,"High","Very High")))</f>
        <v>Medium</v>
      </c>
      <c r="AL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" t="str">
        <f>IF(HR_Data[[#This Row],[TotalWorkingYears]]&lt;=5,"Junior",IF(HR_Data[[#This Row],[TotalWorkingYears]]&lt;=15,"Mid-Level","Senior"))</f>
        <v>Mid-Level</v>
      </c>
      <c r="AN7" s="11" t="str">
        <f>IF(HR_Data[[#This Row],[PerformanceRating]]=3,"Standard","Excellent")</f>
        <v>Standard</v>
      </c>
      <c r="AO7" s="11" t="str">
        <f>IF(HR_Data[[#This Row],[JobSatisfaction]]&lt;=2,"Low","High")</f>
        <v>High</v>
      </c>
      <c r="AP7" s="11" t="str">
        <f>IF(AND(HR_Data[[#This Row],[OverTime]]="Yes",HR_Data[[#This Row],[JobSatisfaction]]&lt;=2,HR_Data[[#This Row],[YearsAtCompany]]&lt;=2),"High Risk","Normal")</f>
        <v>Normal</v>
      </c>
    </row>
    <row r="8" spans="1:42" x14ac:dyDescent="0.25">
      <c r="A8" s="6">
        <v>59</v>
      </c>
      <c r="B8" s="4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s="11" t="str">
        <f>IF(HR_Data[[#This Row],[Age]]&lt;=25,"18-25",IF(HR_Data[[#This Row],[Age]]&lt;=35,"26-35",IF(HR_Data[[#This Row],[Age]]&lt;=45,"36-45",IF(HR_Data[[#This Row],[Age]]&lt;=55,"46-55","56+"))))</f>
        <v>56+</v>
      </c>
      <c r="AK8" s="11" t="str">
        <f>IF(HR_Data[[#This Row],[MonthlyIncome]]&lt;3000,"Low",IF(HR_Data[[#This Row],[MonthlyIncome]]&lt;6000,"Medium",IF(HR_Data[[#This Row],[MonthlyIncome]]&lt;10000,"High","Very High")))</f>
        <v>Low</v>
      </c>
      <c r="AL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" t="str">
        <f>IF(HR_Data[[#This Row],[TotalWorkingYears]]&lt;=5,"Junior",IF(HR_Data[[#This Row],[TotalWorkingYears]]&lt;=15,"Mid-Level","Senior"))</f>
        <v>Mid-Level</v>
      </c>
      <c r="AN8" s="11" t="str">
        <f>IF(HR_Data[[#This Row],[PerformanceRating]]=3,"Standard","Excellent")</f>
        <v>Excellent</v>
      </c>
      <c r="AO8" s="11" t="str">
        <f>IF(HR_Data[[#This Row],[JobSatisfaction]]&lt;=2,"Low","High")</f>
        <v>Low</v>
      </c>
      <c r="AP8" s="11" t="str">
        <f>IF(AND(HR_Data[[#This Row],[OverTime]]="Yes",HR_Data[[#This Row],[JobSatisfaction]]&lt;=2,HR_Data[[#This Row],[YearsAtCompany]]&lt;=2),"High Risk","Normal")</f>
        <v>High Risk</v>
      </c>
    </row>
    <row r="9" spans="1:42" x14ac:dyDescent="0.25">
      <c r="A9" s="6">
        <v>30</v>
      </c>
      <c r="B9" s="4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s="11" t="str">
        <f>IF(HR_Data[[#This Row],[Age]]&lt;=25,"18-25",IF(HR_Data[[#This Row],[Age]]&lt;=35,"26-35",IF(HR_Data[[#This Row],[Age]]&lt;=45,"36-45",IF(HR_Data[[#This Row],[Age]]&lt;=55,"46-55","56+"))))</f>
        <v>26-35</v>
      </c>
      <c r="AK9" s="11" t="str">
        <f>IF(HR_Data[[#This Row],[MonthlyIncome]]&lt;3000,"Low",IF(HR_Data[[#This Row],[MonthlyIncome]]&lt;6000,"Medium",IF(HR_Data[[#This Row],[MonthlyIncome]]&lt;10000,"High","Very High")))</f>
        <v>Low</v>
      </c>
      <c r="AL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" t="str">
        <f>IF(HR_Data[[#This Row],[TotalWorkingYears]]&lt;=5,"Junior",IF(HR_Data[[#This Row],[TotalWorkingYears]]&lt;=15,"Mid-Level","Senior"))</f>
        <v>Junior</v>
      </c>
      <c r="AN9" s="11" t="str">
        <f>IF(HR_Data[[#This Row],[PerformanceRating]]=3,"Standard","Excellent")</f>
        <v>Excellent</v>
      </c>
      <c r="AO9" s="11" t="str">
        <f>IF(HR_Data[[#This Row],[JobSatisfaction]]&lt;=2,"Low","High")</f>
        <v>High</v>
      </c>
      <c r="AP9" s="11" t="str">
        <f>IF(AND(HR_Data[[#This Row],[OverTime]]="Yes",HR_Data[[#This Row],[JobSatisfaction]]&lt;=2,HR_Data[[#This Row],[YearsAtCompany]]&lt;=2),"High Risk","Normal")</f>
        <v>Normal</v>
      </c>
    </row>
    <row r="10" spans="1:42" x14ac:dyDescent="0.25">
      <c r="A10" s="6">
        <v>38</v>
      </c>
      <c r="B10" s="4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s="11" t="str">
        <f>IF(HR_Data[[#This Row],[Age]]&lt;=25,"18-25",IF(HR_Data[[#This Row],[Age]]&lt;=35,"26-35",IF(HR_Data[[#This Row],[Age]]&lt;=45,"36-45",IF(HR_Data[[#This Row],[Age]]&lt;=55,"46-55","56+"))))</f>
        <v>36-45</v>
      </c>
      <c r="AK10" s="11" t="str">
        <f>IF(HR_Data[[#This Row],[MonthlyIncome]]&lt;3000,"Low",IF(HR_Data[[#This Row],[MonthlyIncome]]&lt;6000,"Medium",IF(HR_Data[[#This Row],[MonthlyIncome]]&lt;10000,"High","Very High")))</f>
        <v>High</v>
      </c>
      <c r="AL1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" t="str">
        <f>IF(HR_Data[[#This Row],[TotalWorkingYears]]&lt;=5,"Junior",IF(HR_Data[[#This Row],[TotalWorkingYears]]&lt;=15,"Mid-Level","Senior"))</f>
        <v>Mid-Level</v>
      </c>
      <c r="AN10" s="11" t="str">
        <f>IF(HR_Data[[#This Row],[PerformanceRating]]=3,"Standard","Excellent")</f>
        <v>Excellent</v>
      </c>
      <c r="AO10" s="11" t="str">
        <f>IF(HR_Data[[#This Row],[JobSatisfaction]]&lt;=2,"Low","High")</f>
        <v>High</v>
      </c>
      <c r="AP10" s="11" t="str">
        <f>IF(AND(HR_Data[[#This Row],[OverTime]]="Yes",HR_Data[[#This Row],[JobSatisfaction]]&lt;=2,HR_Data[[#This Row],[YearsAtCompany]]&lt;=2),"High Risk","Normal")</f>
        <v>Normal</v>
      </c>
    </row>
    <row r="11" spans="1:42" x14ac:dyDescent="0.25">
      <c r="A11" s="6">
        <v>36</v>
      </c>
      <c r="B11" s="4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s="11" t="str">
        <f>IF(HR_Data[[#This Row],[Age]]&lt;=25,"18-25",IF(HR_Data[[#This Row],[Age]]&lt;=35,"26-35",IF(HR_Data[[#This Row],[Age]]&lt;=45,"36-45",IF(HR_Data[[#This Row],[Age]]&lt;=55,"46-55","56+"))))</f>
        <v>36-45</v>
      </c>
      <c r="AK11" s="11" t="str">
        <f>IF(HR_Data[[#This Row],[MonthlyIncome]]&lt;3000,"Low",IF(HR_Data[[#This Row],[MonthlyIncome]]&lt;6000,"Medium",IF(HR_Data[[#This Row],[MonthlyIncome]]&lt;10000,"High","Very High")))</f>
        <v>Medium</v>
      </c>
      <c r="AL1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" t="str">
        <f>IF(HR_Data[[#This Row],[TotalWorkingYears]]&lt;=5,"Junior",IF(HR_Data[[#This Row],[TotalWorkingYears]]&lt;=15,"Mid-Level","Senior"))</f>
        <v>Senior</v>
      </c>
      <c r="AN11" s="11" t="str">
        <f>IF(HR_Data[[#This Row],[PerformanceRating]]=3,"Standard","Excellent")</f>
        <v>Standard</v>
      </c>
      <c r="AO11" s="11" t="str">
        <f>IF(HR_Data[[#This Row],[JobSatisfaction]]&lt;=2,"Low","High")</f>
        <v>High</v>
      </c>
      <c r="AP11" s="11" t="str">
        <f>IF(AND(HR_Data[[#This Row],[OverTime]]="Yes",HR_Data[[#This Row],[JobSatisfaction]]&lt;=2,HR_Data[[#This Row],[YearsAtCompany]]&lt;=2),"High Risk","Normal")</f>
        <v>Normal</v>
      </c>
    </row>
    <row r="12" spans="1:42" x14ac:dyDescent="0.25">
      <c r="A12" s="6">
        <v>35</v>
      </c>
      <c r="B12" s="4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s="11" t="str">
        <f>IF(HR_Data[[#This Row],[Age]]&lt;=25,"18-25",IF(HR_Data[[#This Row],[Age]]&lt;=35,"26-35",IF(HR_Data[[#This Row],[Age]]&lt;=45,"36-45",IF(HR_Data[[#This Row],[Age]]&lt;=55,"46-55","56+"))))</f>
        <v>26-35</v>
      </c>
      <c r="AK12" s="11" t="str">
        <f>IF(HR_Data[[#This Row],[MonthlyIncome]]&lt;3000,"Low",IF(HR_Data[[#This Row],[MonthlyIncome]]&lt;6000,"Medium",IF(HR_Data[[#This Row],[MonthlyIncome]]&lt;10000,"High","Very High")))</f>
        <v>Low</v>
      </c>
      <c r="AL1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" t="str">
        <f>IF(HR_Data[[#This Row],[TotalWorkingYears]]&lt;=5,"Junior",IF(HR_Data[[#This Row],[TotalWorkingYears]]&lt;=15,"Mid-Level","Senior"))</f>
        <v>Mid-Level</v>
      </c>
      <c r="AN12" s="11" t="str">
        <f>IF(HR_Data[[#This Row],[PerformanceRating]]=3,"Standard","Excellent")</f>
        <v>Standard</v>
      </c>
      <c r="AO12" s="11" t="str">
        <f>IF(HR_Data[[#This Row],[JobSatisfaction]]&lt;=2,"Low","High")</f>
        <v>Low</v>
      </c>
      <c r="AP12" s="11" t="str">
        <f>IF(AND(HR_Data[[#This Row],[OverTime]]="Yes",HR_Data[[#This Row],[JobSatisfaction]]&lt;=2,HR_Data[[#This Row],[YearsAtCompany]]&lt;=2),"High Risk","Normal")</f>
        <v>Normal</v>
      </c>
    </row>
    <row r="13" spans="1:42" x14ac:dyDescent="0.25">
      <c r="A13" s="6">
        <v>29</v>
      </c>
      <c r="B13" s="4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s="11" t="str">
        <f>IF(HR_Data[[#This Row],[Age]]&lt;=25,"18-25",IF(HR_Data[[#This Row],[Age]]&lt;=35,"26-35",IF(HR_Data[[#This Row],[Age]]&lt;=45,"36-45",IF(HR_Data[[#This Row],[Age]]&lt;=55,"46-55","56+"))))</f>
        <v>26-35</v>
      </c>
      <c r="AK13" s="11" t="str">
        <f>IF(HR_Data[[#This Row],[MonthlyIncome]]&lt;3000,"Low",IF(HR_Data[[#This Row],[MonthlyIncome]]&lt;6000,"Medium",IF(HR_Data[[#This Row],[MonthlyIncome]]&lt;10000,"High","Very High")))</f>
        <v>Medium</v>
      </c>
      <c r="AL1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" t="str">
        <f>IF(HR_Data[[#This Row],[TotalWorkingYears]]&lt;=5,"Junior",IF(HR_Data[[#This Row],[TotalWorkingYears]]&lt;=15,"Mid-Level","Senior"))</f>
        <v>Mid-Level</v>
      </c>
      <c r="AN13" s="11" t="str">
        <f>IF(HR_Data[[#This Row],[PerformanceRating]]=3,"Standard","Excellent")</f>
        <v>Standard</v>
      </c>
      <c r="AO13" s="11" t="str">
        <f>IF(HR_Data[[#This Row],[JobSatisfaction]]&lt;=2,"Low","High")</f>
        <v>High</v>
      </c>
      <c r="AP13" s="11" t="str">
        <f>IF(AND(HR_Data[[#This Row],[OverTime]]="Yes",HR_Data[[#This Row],[JobSatisfaction]]&lt;=2,HR_Data[[#This Row],[YearsAtCompany]]&lt;=2),"High Risk","Normal")</f>
        <v>Normal</v>
      </c>
    </row>
    <row r="14" spans="1:42" x14ac:dyDescent="0.25">
      <c r="A14" s="6">
        <v>31</v>
      </c>
      <c r="B14" s="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s="11" t="str">
        <f>IF(HR_Data[[#This Row],[Age]]&lt;=25,"18-25",IF(HR_Data[[#This Row],[Age]]&lt;=35,"26-35",IF(HR_Data[[#This Row],[Age]]&lt;=45,"36-45",IF(HR_Data[[#This Row],[Age]]&lt;=55,"46-55","56+"))))</f>
        <v>26-35</v>
      </c>
      <c r="AK14" s="11" t="str">
        <f>IF(HR_Data[[#This Row],[MonthlyIncome]]&lt;3000,"Low",IF(HR_Data[[#This Row],[MonthlyIncome]]&lt;6000,"Medium",IF(HR_Data[[#This Row],[MonthlyIncome]]&lt;10000,"High","Very High")))</f>
        <v>Low</v>
      </c>
      <c r="AL1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" t="str">
        <f>IF(HR_Data[[#This Row],[TotalWorkingYears]]&lt;=5,"Junior",IF(HR_Data[[#This Row],[TotalWorkingYears]]&lt;=15,"Mid-Level","Senior"))</f>
        <v>Junior</v>
      </c>
      <c r="AN14" s="11" t="str">
        <f>IF(HR_Data[[#This Row],[PerformanceRating]]=3,"Standard","Excellent")</f>
        <v>Standard</v>
      </c>
      <c r="AO14" s="11" t="str">
        <f>IF(HR_Data[[#This Row],[JobSatisfaction]]&lt;=2,"Low","High")</f>
        <v>High</v>
      </c>
      <c r="AP14" s="11" t="str">
        <f>IF(AND(HR_Data[[#This Row],[OverTime]]="Yes",HR_Data[[#This Row],[JobSatisfaction]]&lt;=2,HR_Data[[#This Row],[YearsAtCompany]]&lt;=2),"High Risk","Normal")</f>
        <v>Normal</v>
      </c>
    </row>
    <row r="15" spans="1:42" x14ac:dyDescent="0.25">
      <c r="A15" s="6">
        <v>34</v>
      </c>
      <c r="B15" s="4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s="11" t="str">
        <f>IF(HR_Data[[#This Row],[Age]]&lt;=25,"18-25",IF(HR_Data[[#This Row],[Age]]&lt;=35,"26-35",IF(HR_Data[[#This Row],[Age]]&lt;=45,"36-45",IF(HR_Data[[#This Row],[Age]]&lt;=55,"46-55","56+"))))</f>
        <v>26-35</v>
      </c>
      <c r="AK15" s="11" t="str">
        <f>IF(HR_Data[[#This Row],[MonthlyIncome]]&lt;3000,"Low",IF(HR_Data[[#This Row],[MonthlyIncome]]&lt;6000,"Medium",IF(HR_Data[[#This Row],[MonthlyIncome]]&lt;10000,"High","Very High")))</f>
        <v>Low</v>
      </c>
      <c r="AL1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5" t="str">
        <f>IF(HR_Data[[#This Row],[TotalWorkingYears]]&lt;=5,"Junior",IF(HR_Data[[#This Row],[TotalWorkingYears]]&lt;=15,"Mid-Level","Senior"))</f>
        <v>Junior</v>
      </c>
      <c r="AN15" s="11" t="str">
        <f>IF(HR_Data[[#This Row],[PerformanceRating]]=3,"Standard","Excellent")</f>
        <v>Standard</v>
      </c>
      <c r="AO15" s="11" t="str">
        <f>IF(HR_Data[[#This Row],[JobSatisfaction]]&lt;=2,"Low","High")</f>
        <v>High</v>
      </c>
      <c r="AP15" s="11" t="str">
        <f>IF(AND(HR_Data[[#This Row],[OverTime]]="Yes",HR_Data[[#This Row],[JobSatisfaction]]&lt;=2,HR_Data[[#This Row],[YearsAtCompany]]&lt;=2),"High Risk","Normal")</f>
        <v>Normal</v>
      </c>
    </row>
    <row r="16" spans="1:42" x14ac:dyDescent="0.25">
      <c r="A16" s="6">
        <v>28</v>
      </c>
      <c r="B16" s="4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s="11" t="str">
        <f>IF(HR_Data[[#This Row],[Age]]&lt;=25,"18-25",IF(HR_Data[[#This Row],[Age]]&lt;=35,"26-35",IF(HR_Data[[#This Row],[Age]]&lt;=45,"36-45",IF(HR_Data[[#This Row],[Age]]&lt;=55,"46-55","56+"))))</f>
        <v>26-35</v>
      </c>
      <c r="AK16" s="11" t="str">
        <f>IF(HR_Data[[#This Row],[MonthlyIncome]]&lt;3000,"Low",IF(HR_Data[[#This Row],[MonthlyIncome]]&lt;6000,"Medium",IF(HR_Data[[#This Row],[MonthlyIncome]]&lt;10000,"High","Very High")))</f>
        <v>Low</v>
      </c>
      <c r="AL1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6" t="str">
        <f>IF(HR_Data[[#This Row],[TotalWorkingYears]]&lt;=5,"Junior",IF(HR_Data[[#This Row],[TotalWorkingYears]]&lt;=15,"Mid-Level","Senior"))</f>
        <v>Mid-Level</v>
      </c>
      <c r="AN16" s="11" t="str">
        <f>IF(HR_Data[[#This Row],[PerformanceRating]]=3,"Standard","Excellent")</f>
        <v>Standard</v>
      </c>
      <c r="AO16" s="11" t="str">
        <f>IF(HR_Data[[#This Row],[JobSatisfaction]]&lt;=2,"Low","High")</f>
        <v>High</v>
      </c>
      <c r="AP16" s="11" t="str">
        <f>IF(AND(HR_Data[[#This Row],[OverTime]]="Yes",HR_Data[[#This Row],[JobSatisfaction]]&lt;=2,HR_Data[[#This Row],[YearsAtCompany]]&lt;=2),"High Risk","Normal")</f>
        <v>Normal</v>
      </c>
    </row>
    <row r="17" spans="1:42" x14ac:dyDescent="0.25">
      <c r="A17" s="6">
        <v>29</v>
      </c>
      <c r="B17" s="4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s="11" t="str">
        <f>IF(HR_Data[[#This Row],[Age]]&lt;=25,"18-25",IF(HR_Data[[#This Row],[Age]]&lt;=35,"26-35",IF(HR_Data[[#This Row],[Age]]&lt;=45,"36-45",IF(HR_Data[[#This Row],[Age]]&lt;=55,"46-55","56+"))))</f>
        <v>26-35</v>
      </c>
      <c r="AK17" s="11" t="str">
        <f>IF(HR_Data[[#This Row],[MonthlyIncome]]&lt;3000,"Low",IF(HR_Data[[#This Row],[MonthlyIncome]]&lt;6000,"Medium",IF(HR_Data[[#This Row],[MonthlyIncome]]&lt;10000,"High","Very High")))</f>
        <v>High</v>
      </c>
      <c r="AL1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7" t="str">
        <f>IF(HR_Data[[#This Row],[TotalWorkingYears]]&lt;=5,"Junior",IF(HR_Data[[#This Row],[TotalWorkingYears]]&lt;=15,"Mid-Level","Senior"))</f>
        <v>Mid-Level</v>
      </c>
      <c r="AN17" s="11" t="str">
        <f>IF(HR_Data[[#This Row],[PerformanceRating]]=3,"Standard","Excellent")</f>
        <v>Standard</v>
      </c>
      <c r="AO17" s="11" t="str">
        <f>IF(HR_Data[[#This Row],[JobSatisfaction]]&lt;=2,"Low","High")</f>
        <v>Low</v>
      </c>
      <c r="AP17" s="11" t="str">
        <f>IF(AND(HR_Data[[#This Row],[OverTime]]="Yes",HR_Data[[#This Row],[JobSatisfaction]]&lt;=2,HR_Data[[#This Row],[YearsAtCompany]]&lt;=2),"High Risk","Normal")</f>
        <v>Normal</v>
      </c>
    </row>
    <row r="18" spans="1:42" x14ac:dyDescent="0.25">
      <c r="A18" s="6">
        <v>32</v>
      </c>
      <c r="B18" s="4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s="11" t="str">
        <f>IF(HR_Data[[#This Row],[Age]]&lt;=25,"18-25",IF(HR_Data[[#This Row],[Age]]&lt;=35,"26-35",IF(HR_Data[[#This Row],[Age]]&lt;=45,"36-45",IF(HR_Data[[#This Row],[Age]]&lt;=55,"46-55","56+"))))</f>
        <v>26-35</v>
      </c>
      <c r="AK18" s="11" t="str">
        <f>IF(HR_Data[[#This Row],[MonthlyIncome]]&lt;3000,"Low",IF(HR_Data[[#This Row],[MonthlyIncome]]&lt;6000,"Medium",IF(HR_Data[[#This Row],[MonthlyIncome]]&lt;10000,"High","Very High")))</f>
        <v>Medium</v>
      </c>
      <c r="AL1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8" t="str">
        <f>IF(HR_Data[[#This Row],[TotalWorkingYears]]&lt;=5,"Junior",IF(HR_Data[[#This Row],[TotalWorkingYears]]&lt;=15,"Mid-Level","Senior"))</f>
        <v>Mid-Level</v>
      </c>
      <c r="AN18" s="11" t="str">
        <f>IF(HR_Data[[#This Row],[PerformanceRating]]=3,"Standard","Excellent")</f>
        <v>Standard</v>
      </c>
      <c r="AO18" s="11" t="str">
        <f>IF(HR_Data[[#This Row],[JobSatisfaction]]&lt;=2,"Low","High")</f>
        <v>Low</v>
      </c>
      <c r="AP18" s="11" t="str">
        <f>IF(AND(HR_Data[[#This Row],[OverTime]]="Yes",HR_Data[[#This Row],[JobSatisfaction]]&lt;=2,HR_Data[[#This Row],[YearsAtCompany]]&lt;=2),"High Risk","Normal")</f>
        <v>Normal</v>
      </c>
    </row>
    <row r="19" spans="1:42" x14ac:dyDescent="0.25">
      <c r="A19" s="6">
        <v>22</v>
      </c>
      <c r="B19" s="4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s="11" t="str">
        <f>IF(HR_Data[[#This Row],[Age]]&lt;=25,"18-25",IF(HR_Data[[#This Row],[Age]]&lt;=35,"26-35",IF(HR_Data[[#This Row],[Age]]&lt;=45,"36-45",IF(HR_Data[[#This Row],[Age]]&lt;=55,"46-55","56+"))))</f>
        <v>18-25</v>
      </c>
      <c r="AK19" s="11" t="str">
        <f>IF(HR_Data[[#This Row],[MonthlyIncome]]&lt;3000,"Low",IF(HR_Data[[#This Row],[MonthlyIncome]]&lt;6000,"Medium",IF(HR_Data[[#This Row],[MonthlyIncome]]&lt;10000,"High","Very High")))</f>
        <v>Low</v>
      </c>
      <c r="AL1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9" t="str">
        <f>IF(HR_Data[[#This Row],[TotalWorkingYears]]&lt;=5,"Junior",IF(HR_Data[[#This Row],[TotalWorkingYears]]&lt;=15,"Mid-Level","Senior"))</f>
        <v>Junior</v>
      </c>
      <c r="AN19" s="11" t="str">
        <f>IF(HR_Data[[#This Row],[PerformanceRating]]=3,"Standard","Excellent")</f>
        <v>Standard</v>
      </c>
      <c r="AO19" s="11" t="str">
        <f>IF(HR_Data[[#This Row],[JobSatisfaction]]&lt;=2,"Low","High")</f>
        <v>High</v>
      </c>
      <c r="AP19" s="11" t="str">
        <f>IF(AND(HR_Data[[#This Row],[OverTime]]="Yes",HR_Data[[#This Row],[JobSatisfaction]]&lt;=2,HR_Data[[#This Row],[YearsAtCompany]]&lt;=2),"High Risk","Normal")</f>
        <v>Normal</v>
      </c>
    </row>
    <row r="20" spans="1:42" x14ac:dyDescent="0.25">
      <c r="A20" s="6">
        <v>53</v>
      </c>
      <c r="B20" s="4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s="11" t="str">
        <f>IF(HR_Data[[#This Row],[Age]]&lt;=25,"18-25",IF(HR_Data[[#This Row],[Age]]&lt;=35,"26-35",IF(HR_Data[[#This Row],[Age]]&lt;=45,"36-45",IF(HR_Data[[#This Row],[Age]]&lt;=55,"46-55","56+"))))</f>
        <v>46-55</v>
      </c>
      <c r="AK20" s="11" t="str">
        <f>IF(HR_Data[[#This Row],[MonthlyIncome]]&lt;3000,"Low",IF(HR_Data[[#This Row],[MonthlyIncome]]&lt;6000,"Medium",IF(HR_Data[[#This Row],[MonthlyIncome]]&lt;10000,"High","Very High")))</f>
        <v>Very High</v>
      </c>
      <c r="AL2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0" t="str">
        <f>IF(HR_Data[[#This Row],[TotalWorkingYears]]&lt;=5,"Junior",IF(HR_Data[[#This Row],[TotalWorkingYears]]&lt;=15,"Mid-Level","Senior"))</f>
        <v>Senior</v>
      </c>
      <c r="AN20" s="11" t="str">
        <f>IF(HR_Data[[#This Row],[PerformanceRating]]=3,"Standard","Excellent")</f>
        <v>Standard</v>
      </c>
      <c r="AO20" s="11" t="str">
        <f>IF(HR_Data[[#This Row],[JobSatisfaction]]&lt;=2,"Low","High")</f>
        <v>High</v>
      </c>
      <c r="AP20" s="11" t="str">
        <f>IF(AND(HR_Data[[#This Row],[OverTime]]="Yes",HR_Data[[#This Row],[JobSatisfaction]]&lt;=2,HR_Data[[#This Row],[YearsAtCompany]]&lt;=2),"High Risk","Normal")</f>
        <v>Normal</v>
      </c>
    </row>
    <row r="21" spans="1:42" x14ac:dyDescent="0.25">
      <c r="A21" s="6">
        <v>38</v>
      </c>
      <c r="B21" s="4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s="11" t="str">
        <f>IF(HR_Data[[#This Row],[Age]]&lt;=25,"18-25",IF(HR_Data[[#This Row],[Age]]&lt;=35,"26-35",IF(HR_Data[[#This Row],[Age]]&lt;=45,"36-45",IF(HR_Data[[#This Row],[Age]]&lt;=55,"46-55","56+"))))</f>
        <v>36-45</v>
      </c>
      <c r="AK21" s="11" t="str">
        <f>IF(HR_Data[[#This Row],[MonthlyIncome]]&lt;3000,"Low",IF(HR_Data[[#This Row],[MonthlyIncome]]&lt;6000,"Medium",IF(HR_Data[[#This Row],[MonthlyIncome]]&lt;10000,"High","Very High")))</f>
        <v>Medium</v>
      </c>
      <c r="AL2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1" t="str">
        <f>IF(HR_Data[[#This Row],[TotalWorkingYears]]&lt;=5,"Junior",IF(HR_Data[[#This Row],[TotalWorkingYears]]&lt;=15,"Mid-Level","Senior"))</f>
        <v>Mid-Level</v>
      </c>
      <c r="AN21" s="11" t="str">
        <f>IF(HR_Data[[#This Row],[PerformanceRating]]=3,"Standard","Excellent")</f>
        <v>Standard</v>
      </c>
      <c r="AO21" s="11" t="str">
        <f>IF(HR_Data[[#This Row],[JobSatisfaction]]&lt;=2,"Low","High")</f>
        <v>High</v>
      </c>
      <c r="AP21" s="11" t="str">
        <f>IF(AND(HR_Data[[#This Row],[OverTime]]="Yes",HR_Data[[#This Row],[JobSatisfaction]]&lt;=2,HR_Data[[#This Row],[YearsAtCompany]]&lt;=2),"High Risk","Normal")</f>
        <v>Normal</v>
      </c>
    </row>
    <row r="22" spans="1:42" x14ac:dyDescent="0.25">
      <c r="A22" s="6">
        <v>24</v>
      </c>
      <c r="B22" s="4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s="11" t="str">
        <f>IF(HR_Data[[#This Row],[Age]]&lt;=25,"18-25",IF(HR_Data[[#This Row],[Age]]&lt;=35,"26-35",IF(HR_Data[[#This Row],[Age]]&lt;=45,"36-45",IF(HR_Data[[#This Row],[Age]]&lt;=55,"46-55","56+"))))</f>
        <v>18-25</v>
      </c>
      <c r="AK22" s="11" t="str">
        <f>IF(HR_Data[[#This Row],[MonthlyIncome]]&lt;3000,"Low",IF(HR_Data[[#This Row],[MonthlyIncome]]&lt;6000,"Medium",IF(HR_Data[[#This Row],[MonthlyIncome]]&lt;10000,"High","Very High")))</f>
        <v>Medium</v>
      </c>
      <c r="AL2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2" t="str">
        <f>IF(HR_Data[[#This Row],[TotalWorkingYears]]&lt;=5,"Junior",IF(HR_Data[[#This Row],[TotalWorkingYears]]&lt;=15,"Mid-Level","Senior"))</f>
        <v>Junior</v>
      </c>
      <c r="AN22" s="11" t="str">
        <f>IF(HR_Data[[#This Row],[PerformanceRating]]=3,"Standard","Excellent")</f>
        <v>Standard</v>
      </c>
      <c r="AO22" s="11" t="str">
        <f>IF(HR_Data[[#This Row],[JobSatisfaction]]&lt;=2,"Low","High")</f>
        <v>High</v>
      </c>
      <c r="AP22" s="11" t="str">
        <f>IF(AND(HR_Data[[#This Row],[OverTime]]="Yes",HR_Data[[#This Row],[JobSatisfaction]]&lt;=2,HR_Data[[#This Row],[YearsAtCompany]]&lt;=2),"High Risk","Normal")</f>
        <v>Normal</v>
      </c>
    </row>
    <row r="23" spans="1:42" x14ac:dyDescent="0.25">
      <c r="A23" s="6">
        <v>36</v>
      </c>
      <c r="B23" s="4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s="11" t="str">
        <f>IF(HR_Data[[#This Row],[Age]]&lt;=25,"18-25",IF(HR_Data[[#This Row],[Age]]&lt;=35,"26-35",IF(HR_Data[[#This Row],[Age]]&lt;=45,"36-45",IF(HR_Data[[#This Row],[Age]]&lt;=55,"46-55","56+"))))</f>
        <v>36-45</v>
      </c>
      <c r="AK23" s="11" t="str">
        <f>IF(HR_Data[[#This Row],[MonthlyIncome]]&lt;3000,"Low",IF(HR_Data[[#This Row],[MonthlyIncome]]&lt;6000,"Medium",IF(HR_Data[[#This Row],[MonthlyIncome]]&lt;10000,"High","Very High")))</f>
        <v>Medium</v>
      </c>
      <c r="AL2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3" t="str">
        <f>IF(HR_Data[[#This Row],[TotalWorkingYears]]&lt;=5,"Junior",IF(HR_Data[[#This Row],[TotalWorkingYears]]&lt;=15,"Mid-Level","Senior"))</f>
        <v>Mid-Level</v>
      </c>
      <c r="AN23" s="11" t="str">
        <f>IF(HR_Data[[#This Row],[PerformanceRating]]=3,"Standard","Excellent")</f>
        <v>Excellent</v>
      </c>
      <c r="AO23" s="11" t="str">
        <f>IF(HR_Data[[#This Row],[JobSatisfaction]]&lt;=2,"Low","High")</f>
        <v>Low</v>
      </c>
      <c r="AP23" s="11" t="str">
        <f>IF(AND(HR_Data[[#This Row],[OverTime]]="Yes",HR_Data[[#This Row],[JobSatisfaction]]&lt;=2,HR_Data[[#This Row],[YearsAtCompany]]&lt;=2),"High Risk","Normal")</f>
        <v>Normal</v>
      </c>
    </row>
    <row r="24" spans="1:42" x14ac:dyDescent="0.25">
      <c r="A24" s="6">
        <v>34</v>
      </c>
      <c r="B24" s="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s="11" t="str">
        <f>IF(HR_Data[[#This Row],[Age]]&lt;=25,"18-25",IF(HR_Data[[#This Row],[Age]]&lt;=35,"26-35",IF(HR_Data[[#This Row],[Age]]&lt;=45,"36-45",IF(HR_Data[[#This Row],[Age]]&lt;=55,"46-55","56+"))))</f>
        <v>26-35</v>
      </c>
      <c r="AK24" s="11" t="str">
        <f>IF(HR_Data[[#This Row],[MonthlyIncome]]&lt;3000,"Low",IF(HR_Data[[#This Row],[MonthlyIncome]]&lt;6000,"Medium",IF(HR_Data[[#This Row],[MonthlyIncome]]&lt;10000,"High","Very High")))</f>
        <v>Very High</v>
      </c>
      <c r="AL24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24" t="str">
        <f>IF(HR_Data[[#This Row],[TotalWorkingYears]]&lt;=5,"Junior",IF(HR_Data[[#This Row],[TotalWorkingYears]]&lt;=15,"Mid-Level","Senior"))</f>
        <v>Mid-Level</v>
      </c>
      <c r="AN24" s="11" t="str">
        <f>IF(HR_Data[[#This Row],[PerformanceRating]]=3,"Standard","Excellent")</f>
        <v>Standard</v>
      </c>
      <c r="AO24" s="11" t="str">
        <f>IF(HR_Data[[#This Row],[JobSatisfaction]]&lt;=2,"Low","High")</f>
        <v>Low</v>
      </c>
      <c r="AP24" s="11" t="str">
        <f>IF(AND(HR_Data[[#This Row],[OverTime]]="Yes",HR_Data[[#This Row],[JobSatisfaction]]&lt;=2,HR_Data[[#This Row],[YearsAtCompany]]&lt;=2),"High Risk","Normal")</f>
        <v>Normal</v>
      </c>
    </row>
    <row r="25" spans="1:42" x14ac:dyDescent="0.25">
      <c r="A25" s="6">
        <v>21</v>
      </c>
      <c r="B25" s="4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s="11" t="str">
        <f>IF(HR_Data[[#This Row],[Age]]&lt;=25,"18-25",IF(HR_Data[[#This Row],[Age]]&lt;=35,"26-35",IF(HR_Data[[#This Row],[Age]]&lt;=45,"36-45",IF(HR_Data[[#This Row],[Age]]&lt;=55,"46-55","56+"))))</f>
        <v>18-25</v>
      </c>
      <c r="AK25" s="11" t="str">
        <f>IF(HR_Data[[#This Row],[MonthlyIncome]]&lt;3000,"Low",IF(HR_Data[[#This Row],[MonthlyIncome]]&lt;6000,"Medium",IF(HR_Data[[#This Row],[MonthlyIncome]]&lt;10000,"High","Very High")))</f>
        <v>Low</v>
      </c>
      <c r="AL2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5" t="str">
        <f>IF(HR_Data[[#This Row],[TotalWorkingYears]]&lt;=5,"Junior",IF(HR_Data[[#This Row],[TotalWorkingYears]]&lt;=15,"Mid-Level","Senior"))</f>
        <v>Junior</v>
      </c>
      <c r="AN25" s="11" t="str">
        <f>IF(HR_Data[[#This Row],[PerformanceRating]]=3,"Standard","Excellent")</f>
        <v>Standard</v>
      </c>
      <c r="AO25" s="11" t="str">
        <f>IF(HR_Data[[#This Row],[JobSatisfaction]]&lt;=2,"Low","High")</f>
        <v>High</v>
      </c>
      <c r="AP25" s="11" t="str">
        <f>IF(AND(HR_Data[[#This Row],[OverTime]]="Yes",HR_Data[[#This Row],[JobSatisfaction]]&lt;=2,HR_Data[[#This Row],[YearsAtCompany]]&lt;=2),"High Risk","Normal")</f>
        <v>Normal</v>
      </c>
    </row>
    <row r="26" spans="1:42" x14ac:dyDescent="0.25">
      <c r="A26" s="6">
        <v>34</v>
      </c>
      <c r="B26" s="4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s="11" t="str">
        <f>IF(HR_Data[[#This Row],[Age]]&lt;=25,"18-25",IF(HR_Data[[#This Row],[Age]]&lt;=35,"26-35",IF(HR_Data[[#This Row],[Age]]&lt;=45,"36-45",IF(HR_Data[[#This Row],[Age]]&lt;=55,"46-55","56+"))))</f>
        <v>26-35</v>
      </c>
      <c r="AK26" s="11" t="str">
        <f>IF(HR_Data[[#This Row],[MonthlyIncome]]&lt;3000,"Low",IF(HR_Data[[#This Row],[MonthlyIncome]]&lt;6000,"Medium",IF(HR_Data[[#This Row],[MonthlyIncome]]&lt;10000,"High","Very High")))</f>
        <v>Low</v>
      </c>
      <c r="AL2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6" t="str">
        <f>IF(HR_Data[[#This Row],[TotalWorkingYears]]&lt;=5,"Junior",IF(HR_Data[[#This Row],[TotalWorkingYears]]&lt;=15,"Mid-Level","Senior"))</f>
        <v>Mid-Level</v>
      </c>
      <c r="AN26" s="11" t="str">
        <f>IF(HR_Data[[#This Row],[PerformanceRating]]=3,"Standard","Excellent")</f>
        <v>Standard</v>
      </c>
      <c r="AO26" s="11" t="str">
        <f>IF(HR_Data[[#This Row],[JobSatisfaction]]&lt;=2,"Low","High")</f>
        <v>Low</v>
      </c>
      <c r="AP26" s="11" t="str">
        <f>IF(AND(HR_Data[[#This Row],[OverTime]]="Yes",HR_Data[[#This Row],[JobSatisfaction]]&lt;=2,HR_Data[[#This Row],[YearsAtCompany]]&lt;=2),"High Risk","Normal")</f>
        <v>Normal</v>
      </c>
    </row>
    <row r="27" spans="1:42" x14ac:dyDescent="0.25">
      <c r="A27" s="6">
        <v>53</v>
      </c>
      <c r="B27" s="4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s="11" t="str">
        <f>IF(HR_Data[[#This Row],[Age]]&lt;=25,"18-25",IF(HR_Data[[#This Row],[Age]]&lt;=35,"26-35",IF(HR_Data[[#This Row],[Age]]&lt;=45,"36-45",IF(HR_Data[[#This Row],[Age]]&lt;=55,"46-55","56+"))))</f>
        <v>46-55</v>
      </c>
      <c r="AK27" s="11" t="str">
        <f>IF(HR_Data[[#This Row],[MonthlyIncome]]&lt;3000,"Low",IF(HR_Data[[#This Row],[MonthlyIncome]]&lt;6000,"Medium",IF(HR_Data[[#This Row],[MonthlyIncome]]&lt;10000,"High","Very High")))</f>
        <v>Very High</v>
      </c>
      <c r="AL27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27" t="str">
        <f>IF(HR_Data[[#This Row],[TotalWorkingYears]]&lt;=5,"Junior",IF(HR_Data[[#This Row],[TotalWorkingYears]]&lt;=15,"Mid-Level","Senior"))</f>
        <v>Senior</v>
      </c>
      <c r="AN27" s="11" t="str">
        <f>IF(HR_Data[[#This Row],[PerformanceRating]]=3,"Standard","Excellent")</f>
        <v>Standard</v>
      </c>
      <c r="AO27" s="11" t="str">
        <f>IF(HR_Data[[#This Row],[JobSatisfaction]]&lt;=2,"Low","High")</f>
        <v>High</v>
      </c>
      <c r="AP27" s="11" t="str">
        <f>IF(AND(HR_Data[[#This Row],[OverTime]]="Yes",HR_Data[[#This Row],[JobSatisfaction]]&lt;=2,HR_Data[[#This Row],[YearsAtCompany]]&lt;=2),"High Risk","Normal")</f>
        <v>Normal</v>
      </c>
    </row>
    <row r="28" spans="1:42" x14ac:dyDescent="0.25">
      <c r="A28" s="6">
        <v>32</v>
      </c>
      <c r="B28" s="4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s="11" t="str">
        <f>IF(HR_Data[[#This Row],[Age]]&lt;=25,"18-25",IF(HR_Data[[#This Row],[Age]]&lt;=35,"26-35",IF(HR_Data[[#This Row],[Age]]&lt;=45,"36-45",IF(HR_Data[[#This Row],[Age]]&lt;=55,"46-55","56+"))))</f>
        <v>26-35</v>
      </c>
      <c r="AK28" s="11" t="str">
        <f>IF(HR_Data[[#This Row],[MonthlyIncome]]&lt;3000,"Low",IF(HR_Data[[#This Row],[MonthlyIncome]]&lt;6000,"Medium",IF(HR_Data[[#This Row],[MonthlyIncome]]&lt;10000,"High","Very High")))</f>
        <v>Medium</v>
      </c>
      <c r="AL2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8" t="str">
        <f>IF(HR_Data[[#This Row],[TotalWorkingYears]]&lt;=5,"Junior",IF(HR_Data[[#This Row],[TotalWorkingYears]]&lt;=15,"Mid-Level","Senior"))</f>
        <v>Mid-Level</v>
      </c>
      <c r="AN28" s="11" t="str">
        <f>IF(HR_Data[[#This Row],[PerformanceRating]]=3,"Standard","Excellent")</f>
        <v>Excellent</v>
      </c>
      <c r="AO28" s="11" t="str">
        <f>IF(HR_Data[[#This Row],[JobSatisfaction]]&lt;=2,"Low","High")</f>
        <v>Low</v>
      </c>
      <c r="AP28" s="11" t="str">
        <f>IF(AND(HR_Data[[#This Row],[OverTime]]="Yes",HR_Data[[#This Row],[JobSatisfaction]]&lt;=2,HR_Data[[#This Row],[YearsAtCompany]]&lt;=2),"High Risk","Normal")</f>
        <v>Normal</v>
      </c>
    </row>
    <row r="29" spans="1:42" x14ac:dyDescent="0.25">
      <c r="A29" s="6">
        <v>42</v>
      </c>
      <c r="B29" s="4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s="11" t="str">
        <f>IF(HR_Data[[#This Row],[Age]]&lt;=25,"18-25",IF(HR_Data[[#This Row],[Age]]&lt;=35,"26-35",IF(HR_Data[[#This Row],[Age]]&lt;=45,"36-45",IF(HR_Data[[#This Row],[Age]]&lt;=55,"46-55","56+"))))</f>
        <v>36-45</v>
      </c>
      <c r="AK29" s="11" t="str">
        <f>IF(HR_Data[[#This Row],[MonthlyIncome]]&lt;3000,"Low",IF(HR_Data[[#This Row],[MonthlyIncome]]&lt;6000,"Medium",IF(HR_Data[[#This Row],[MonthlyIncome]]&lt;10000,"High","Very High")))</f>
        <v>High</v>
      </c>
      <c r="AL2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9" t="str">
        <f>IF(HR_Data[[#This Row],[TotalWorkingYears]]&lt;=5,"Junior",IF(HR_Data[[#This Row],[TotalWorkingYears]]&lt;=15,"Mid-Level","Senior"))</f>
        <v>Mid-Level</v>
      </c>
      <c r="AN29" s="11" t="str">
        <f>IF(HR_Data[[#This Row],[PerformanceRating]]=3,"Standard","Excellent")</f>
        <v>Standard</v>
      </c>
      <c r="AO29" s="11" t="str">
        <f>IF(HR_Data[[#This Row],[JobSatisfaction]]&lt;=2,"Low","High")</f>
        <v>Low</v>
      </c>
      <c r="AP29" s="11" t="str">
        <f>IF(AND(HR_Data[[#This Row],[OverTime]]="Yes",HR_Data[[#This Row],[JobSatisfaction]]&lt;=2,HR_Data[[#This Row],[YearsAtCompany]]&lt;=2),"High Risk","Normal")</f>
        <v>Normal</v>
      </c>
    </row>
    <row r="30" spans="1:42" x14ac:dyDescent="0.25">
      <c r="A30" s="6">
        <v>44</v>
      </c>
      <c r="B30" s="4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s="11" t="str">
        <f>IF(HR_Data[[#This Row],[Age]]&lt;=25,"18-25",IF(HR_Data[[#This Row],[Age]]&lt;=35,"26-35",IF(HR_Data[[#This Row],[Age]]&lt;=45,"36-45",IF(HR_Data[[#This Row],[Age]]&lt;=55,"46-55","56+"))))</f>
        <v>36-45</v>
      </c>
      <c r="AK30" s="11" t="str">
        <f>IF(HR_Data[[#This Row],[MonthlyIncome]]&lt;3000,"Low",IF(HR_Data[[#This Row],[MonthlyIncome]]&lt;6000,"Medium",IF(HR_Data[[#This Row],[MonthlyIncome]]&lt;10000,"High","Very High")))</f>
        <v>Very High</v>
      </c>
      <c r="AL3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30" t="str">
        <f>IF(HR_Data[[#This Row],[TotalWorkingYears]]&lt;=5,"Junior",IF(HR_Data[[#This Row],[TotalWorkingYears]]&lt;=15,"Mid-Level","Senior"))</f>
        <v>Senior</v>
      </c>
      <c r="AN30" s="11" t="str">
        <f>IF(HR_Data[[#This Row],[PerformanceRating]]=3,"Standard","Excellent")</f>
        <v>Standard</v>
      </c>
      <c r="AO30" s="11" t="str">
        <f>IF(HR_Data[[#This Row],[JobSatisfaction]]&lt;=2,"Low","High")</f>
        <v>High</v>
      </c>
      <c r="AP30" s="11" t="str">
        <f>IF(AND(HR_Data[[#This Row],[OverTime]]="Yes",HR_Data[[#This Row],[JobSatisfaction]]&lt;=2,HR_Data[[#This Row],[YearsAtCompany]]&lt;=2),"High Risk","Normal")</f>
        <v>Normal</v>
      </c>
    </row>
    <row r="31" spans="1:42" x14ac:dyDescent="0.25">
      <c r="A31" s="6">
        <v>46</v>
      </c>
      <c r="B31" s="4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s="11" t="str">
        <f>IF(HR_Data[[#This Row],[Age]]&lt;=25,"18-25",IF(HR_Data[[#This Row],[Age]]&lt;=35,"26-35",IF(HR_Data[[#This Row],[Age]]&lt;=45,"36-45",IF(HR_Data[[#This Row],[Age]]&lt;=55,"46-55","56+"))))</f>
        <v>46-55</v>
      </c>
      <c r="AK31" s="11" t="str">
        <f>IF(HR_Data[[#This Row],[MonthlyIncome]]&lt;3000,"Low",IF(HR_Data[[#This Row],[MonthlyIncome]]&lt;6000,"Medium",IF(HR_Data[[#This Row],[MonthlyIncome]]&lt;10000,"High","Very High")))</f>
        <v>Very High</v>
      </c>
      <c r="AL3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1" t="str">
        <f>IF(HR_Data[[#This Row],[TotalWorkingYears]]&lt;=5,"Junior",IF(HR_Data[[#This Row],[TotalWorkingYears]]&lt;=15,"Mid-Level","Senior"))</f>
        <v>Senior</v>
      </c>
      <c r="AN31" s="11" t="str">
        <f>IF(HR_Data[[#This Row],[PerformanceRating]]=3,"Standard","Excellent")</f>
        <v>Standard</v>
      </c>
      <c r="AO31" s="11" t="str">
        <f>IF(HR_Data[[#This Row],[JobSatisfaction]]&lt;=2,"Low","High")</f>
        <v>Low</v>
      </c>
      <c r="AP31" s="11" t="str">
        <f>IF(AND(HR_Data[[#This Row],[OverTime]]="Yes",HR_Data[[#This Row],[JobSatisfaction]]&lt;=2,HR_Data[[#This Row],[YearsAtCompany]]&lt;=2),"High Risk","Normal")</f>
        <v>Normal</v>
      </c>
    </row>
    <row r="32" spans="1:42" x14ac:dyDescent="0.25">
      <c r="A32" s="6">
        <v>33</v>
      </c>
      <c r="B32" s="4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s="11" t="str">
        <f>IF(HR_Data[[#This Row],[Age]]&lt;=25,"18-25",IF(HR_Data[[#This Row],[Age]]&lt;=35,"26-35",IF(HR_Data[[#This Row],[Age]]&lt;=45,"36-45",IF(HR_Data[[#This Row],[Age]]&lt;=55,"46-55","56+"))))</f>
        <v>26-35</v>
      </c>
      <c r="AK32" s="11" t="str">
        <f>IF(HR_Data[[#This Row],[MonthlyIncome]]&lt;3000,"Low",IF(HR_Data[[#This Row],[MonthlyIncome]]&lt;6000,"Medium",IF(HR_Data[[#This Row],[MonthlyIncome]]&lt;10000,"High","Very High")))</f>
        <v>Low</v>
      </c>
      <c r="AL3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2" t="str">
        <f>IF(HR_Data[[#This Row],[TotalWorkingYears]]&lt;=5,"Junior",IF(HR_Data[[#This Row],[TotalWorkingYears]]&lt;=15,"Mid-Level","Senior"))</f>
        <v>Mid-Level</v>
      </c>
      <c r="AN32" s="11" t="str">
        <f>IF(HR_Data[[#This Row],[PerformanceRating]]=3,"Standard","Excellent")</f>
        <v>Standard</v>
      </c>
      <c r="AO32" s="11" t="str">
        <f>IF(HR_Data[[#This Row],[JobSatisfaction]]&lt;=2,"Low","High")</f>
        <v>High</v>
      </c>
      <c r="AP32" s="11" t="str">
        <f>IF(AND(HR_Data[[#This Row],[OverTime]]="Yes",HR_Data[[#This Row],[JobSatisfaction]]&lt;=2,HR_Data[[#This Row],[YearsAtCompany]]&lt;=2),"High Risk","Normal")</f>
        <v>Normal</v>
      </c>
    </row>
    <row r="33" spans="1:42" x14ac:dyDescent="0.25">
      <c r="A33" s="6">
        <v>44</v>
      </c>
      <c r="B33" s="4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s="11" t="str">
        <f>IF(HR_Data[[#This Row],[Age]]&lt;=25,"18-25",IF(HR_Data[[#This Row],[Age]]&lt;=35,"26-35",IF(HR_Data[[#This Row],[Age]]&lt;=45,"36-45",IF(HR_Data[[#This Row],[Age]]&lt;=55,"46-55","56+"))))</f>
        <v>36-45</v>
      </c>
      <c r="AK33" s="11" t="str">
        <f>IF(HR_Data[[#This Row],[MonthlyIncome]]&lt;3000,"Low",IF(HR_Data[[#This Row],[MonthlyIncome]]&lt;6000,"Medium",IF(HR_Data[[#This Row],[MonthlyIncome]]&lt;10000,"High","Very High")))</f>
        <v>High</v>
      </c>
      <c r="AL3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3" t="str">
        <f>IF(HR_Data[[#This Row],[TotalWorkingYears]]&lt;=5,"Junior",IF(HR_Data[[#This Row],[TotalWorkingYears]]&lt;=15,"Mid-Level","Senior"))</f>
        <v>Mid-Level</v>
      </c>
      <c r="AN33" s="11" t="str">
        <f>IF(HR_Data[[#This Row],[PerformanceRating]]=3,"Standard","Excellent")</f>
        <v>Standard</v>
      </c>
      <c r="AO33" s="11" t="str">
        <f>IF(HR_Data[[#This Row],[JobSatisfaction]]&lt;=2,"Low","High")</f>
        <v>High</v>
      </c>
      <c r="AP33" s="11" t="str">
        <f>IF(AND(HR_Data[[#This Row],[OverTime]]="Yes",HR_Data[[#This Row],[JobSatisfaction]]&lt;=2,HR_Data[[#This Row],[YearsAtCompany]]&lt;=2),"High Risk","Normal")</f>
        <v>Normal</v>
      </c>
    </row>
    <row r="34" spans="1:42" x14ac:dyDescent="0.25">
      <c r="A34" s="6">
        <v>30</v>
      </c>
      <c r="B34" s="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s="11" t="str">
        <f>IF(HR_Data[[#This Row],[Age]]&lt;=25,"18-25",IF(HR_Data[[#This Row],[Age]]&lt;=35,"26-35",IF(HR_Data[[#This Row],[Age]]&lt;=45,"36-45",IF(HR_Data[[#This Row],[Age]]&lt;=55,"46-55","56+"))))</f>
        <v>26-35</v>
      </c>
      <c r="AK34" s="11" t="str">
        <f>IF(HR_Data[[#This Row],[MonthlyIncome]]&lt;3000,"Low",IF(HR_Data[[#This Row],[MonthlyIncome]]&lt;6000,"Medium",IF(HR_Data[[#This Row],[MonthlyIncome]]&lt;10000,"High","Very High")))</f>
        <v>Low</v>
      </c>
      <c r="AL3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4" t="str">
        <f>IF(HR_Data[[#This Row],[TotalWorkingYears]]&lt;=5,"Junior",IF(HR_Data[[#This Row],[TotalWorkingYears]]&lt;=15,"Mid-Level","Senior"))</f>
        <v>Mid-Level</v>
      </c>
      <c r="AN34" s="11" t="str">
        <f>IF(HR_Data[[#This Row],[PerformanceRating]]=3,"Standard","Excellent")</f>
        <v>Standard</v>
      </c>
      <c r="AO34" s="11" t="str">
        <f>IF(HR_Data[[#This Row],[JobSatisfaction]]&lt;=2,"Low","High")</f>
        <v>High</v>
      </c>
      <c r="AP34" s="11" t="str">
        <f>IF(AND(HR_Data[[#This Row],[OverTime]]="Yes",HR_Data[[#This Row],[JobSatisfaction]]&lt;=2,HR_Data[[#This Row],[YearsAtCompany]]&lt;=2),"High Risk","Normal")</f>
        <v>Normal</v>
      </c>
    </row>
    <row r="35" spans="1:42" x14ac:dyDescent="0.25">
      <c r="A35" s="6">
        <v>39</v>
      </c>
      <c r="B35" s="4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s="11" t="str">
        <f>IF(HR_Data[[#This Row],[Age]]&lt;=25,"18-25",IF(HR_Data[[#This Row],[Age]]&lt;=35,"26-35",IF(HR_Data[[#This Row],[Age]]&lt;=45,"36-45",IF(HR_Data[[#This Row],[Age]]&lt;=55,"46-55","56+"))))</f>
        <v>36-45</v>
      </c>
      <c r="AK35" s="11" t="str">
        <f>IF(HR_Data[[#This Row],[MonthlyIncome]]&lt;3000,"Low",IF(HR_Data[[#This Row],[MonthlyIncome]]&lt;6000,"Medium",IF(HR_Data[[#This Row],[MonthlyIncome]]&lt;10000,"High","Very High")))</f>
        <v>Low</v>
      </c>
      <c r="AL3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5" t="str">
        <f>IF(HR_Data[[#This Row],[TotalWorkingYears]]&lt;=5,"Junior",IF(HR_Data[[#This Row],[TotalWorkingYears]]&lt;=15,"Mid-Level","Senior"))</f>
        <v>Senior</v>
      </c>
      <c r="AN35" s="11" t="str">
        <f>IF(HR_Data[[#This Row],[PerformanceRating]]=3,"Standard","Excellent")</f>
        <v>Standard</v>
      </c>
      <c r="AO35" s="11" t="str">
        <f>IF(HR_Data[[#This Row],[JobSatisfaction]]&lt;=2,"Low","High")</f>
        <v>High</v>
      </c>
      <c r="AP35" s="11" t="str">
        <f>IF(AND(HR_Data[[#This Row],[OverTime]]="Yes",HR_Data[[#This Row],[JobSatisfaction]]&lt;=2,HR_Data[[#This Row],[YearsAtCompany]]&lt;=2),"High Risk","Normal")</f>
        <v>Normal</v>
      </c>
    </row>
    <row r="36" spans="1:42" x14ac:dyDescent="0.25">
      <c r="A36" s="6">
        <v>24</v>
      </c>
      <c r="B36" s="4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s="11" t="str">
        <f>IF(HR_Data[[#This Row],[Age]]&lt;=25,"18-25",IF(HR_Data[[#This Row],[Age]]&lt;=35,"26-35",IF(HR_Data[[#This Row],[Age]]&lt;=45,"36-45",IF(HR_Data[[#This Row],[Age]]&lt;=55,"46-55","56+"))))</f>
        <v>18-25</v>
      </c>
      <c r="AK36" s="11" t="str">
        <f>IF(HR_Data[[#This Row],[MonthlyIncome]]&lt;3000,"Low",IF(HR_Data[[#This Row],[MonthlyIncome]]&lt;6000,"Medium",IF(HR_Data[[#This Row],[MonthlyIncome]]&lt;10000,"High","Very High")))</f>
        <v>Low</v>
      </c>
      <c r="AL3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6" t="str">
        <f>IF(HR_Data[[#This Row],[TotalWorkingYears]]&lt;=5,"Junior",IF(HR_Data[[#This Row],[TotalWorkingYears]]&lt;=15,"Mid-Level","Senior"))</f>
        <v>Mid-Level</v>
      </c>
      <c r="AN36" s="11" t="str">
        <f>IF(HR_Data[[#This Row],[PerformanceRating]]=3,"Standard","Excellent")</f>
        <v>Standard</v>
      </c>
      <c r="AO36" s="11" t="str">
        <f>IF(HR_Data[[#This Row],[JobSatisfaction]]&lt;=2,"Low","High")</f>
        <v>High</v>
      </c>
      <c r="AP36" s="11" t="str">
        <f>IF(AND(HR_Data[[#This Row],[OverTime]]="Yes",HR_Data[[#This Row],[JobSatisfaction]]&lt;=2,HR_Data[[#This Row],[YearsAtCompany]]&lt;=2),"High Risk","Normal")</f>
        <v>Normal</v>
      </c>
    </row>
    <row r="37" spans="1:42" x14ac:dyDescent="0.25">
      <c r="A37" s="6">
        <v>43</v>
      </c>
      <c r="B37" s="4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s="11" t="str">
        <f>IF(HR_Data[[#This Row],[Age]]&lt;=25,"18-25",IF(HR_Data[[#This Row],[Age]]&lt;=35,"26-35",IF(HR_Data[[#This Row],[Age]]&lt;=45,"36-45",IF(HR_Data[[#This Row],[Age]]&lt;=55,"46-55","56+"))))</f>
        <v>36-45</v>
      </c>
      <c r="AK37" s="11" t="str">
        <f>IF(HR_Data[[#This Row],[MonthlyIncome]]&lt;3000,"Low",IF(HR_Data[[#This Row],[MonthlyIncome]]&lt;6000,"Medium",IF(HR_Data[[#This Row],[MonthlyIncome]]&lt;10000,"High","Very High")))</f>
        <v>Low</v>
      </c>
      <c r="AL3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7" t="str">
        <f>IF(HR_Data[[#This Row],[TotalWorkingYears]]&lt;=5,"Junior",IF(HR_Data[[#This Row],[TotalWorkingYears]]&lt;=15,"Mid-Level","Senior"))</f>
        <v>Mid-Level</v>
      </c>
      <c r="AN37" s="11" t="str">
        <f>IF(HR_Data[[#This Row],[PerformanceRating]]=3,"Standard","Excellent")</f>
        <v>Standard</v>
      </c>
      <c r="AO37" s="11" t="str">
        <f>IF(HR_Data[[#This Row],[JobSatisfaction]]&lt;=2,"Low","High")</f>
        <v>High</v>
      </c>
      <c r="AP37" s="11" t="str">
        <f>IF(AND(HR_Data[[#This Row],[OverTime]]="Yes",HR_Data[[#This Row],[JobSatisfaction]]&lt;=2,HR_Data[[#This Row],[YearsAtCompany]]&lt;=2),"High Risk","Normal")</f>
        <v>Normal</v>
      </c>
    </row>
    <row r="38" spans="1:42" x14ac:dyDescent="0.25">
      <c r="A38" s="6">
        <v>50</v>
      </c>
      <c r="B38" s="4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s="11" t="str">
        <f>IF(HR_Data[[#This Row],[Age]]&lt;=25,"18-25",IF(HR_Data[[#This Row],[Age]]&lt;=35,"26-35",IF(HR_Data[[#This Row],[Age]]&lt;=45,"36-45",IF(HR_Data[[#This Row],[Age]]&lt;=55,"46-55","56+"))))</f>
        <v>46-55</v>
      </c>
      <c r="AK38" s="11" t="str">
        <f>IF(HR_Data[[#This Row],[MonthlyIncome]]&lt;3000,"Low",IF(HR_Data[[#This Row],[MonthlyIncome]]&lt;6000,"Medium",IF(HR_Data[[#This Row],[MonthlyIncome]]&lt;10000,"High","Very High")))</f>
        <v>Low</v>
      </c>
      <c r="AL3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8" t="str">
        <f>IF(HR_Data[[#This Row],[TotalWorkingYears]]&lt;=5,"Junior",IF(HR_Data[[#This Row],[TotalWorkingYears]]&lt;=15,"Mid-Level","Senior"))</f>
        <v>Junior</v>
      </c>
      <c r="AN38" s="11" t="str">
        <f>IF(HR_Data[[#This Row],[PerformanceRating]]=3,"Standard","Excellent")</f>
        <v>Standard</v>
      </c>
      <c r="AO38" s="11" t="str">
        <f>IF(HR_Data[[#This Row],[JobSatisfaction]]&lt;=2,"Low","High")</f>
        <v>High</v>
      </c>
      <c r="AP38" s="11" t="str">
        <f>IF(AND(HR_Data[[#This Row],[OverTime]]="Yes",HR_Data[[#This Row],[JobSatisfaction]]&lt;=2,HR_Data[[#This Row],[YearsAtCompany]]&lt;=2),"High Risk","Normal")</f>
        <v>Normal</v>
      </c>
    </row>
    <row r="39" spans="1:42" x14ac:dyDescent="0.25">
      <c r="A39" s="6">
        <v>35</v>
      </c>
      <c r="B39" s="4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s="11" t="str">
        <f>IF(HR_Data[[#This Row],[Age]]&lt;=25,"18-25",IF(HR_Data[[#This Row],[Age]]&lt;=35,"26-35",IF(HR_Data[[#This Row],[Age]]&lt;=45,"36-45",IF(HR_Data[[#This Row],[Age]]&lt;=55,"46-55","56+"))))</f>
        <v>26-35</v>
      </c>
      <c r="AK39" s="11" t="str">
        <f>IF(HR_Data[[#This Row],[MonthlyIncome]]&lt;3000,"Low",IF(HR_Data[[#This Row],[MonthlyIncome]]&lt;6000,"Medium",IF(HR_Data[[#This Row],[MonthlyIncome]]&lt;10000,"High","Very High")))</f>
        <v>Low</v>
      </c>
      <c r="AL3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9" t="str">
        <f>IF(HR_Data[[#This Row],[TotalWorkingYears]]&lt;=5,"Junior",IF(HR_Data[[#This Row],[TotalWorkingYears]]&lt;=15,"Mid-Level","Senior"))</f>
        <v>Junior</v>
      </c>
      <c r="AN39" s="11" t="str">
        <f>IF(HR_Data[[#This Row],[PerformanceRating]]=3,"Standard","Excellent")</f>
        <v>Standard</v>
      </c>
      <c r="AO39" s="11" t="str">
        <f>IF(HR_Data[[#This Row],[JobSatisfaction]]&lt;=2,"Low","High")</f>
        <v>High</v>
      </c>
      <c r="AP39" s="11" t="str">
        <f>IF(AND(HR_Data[[#This Row],[OverTime]]="Yes",HR_Data[[#This Row],[JobSatisfaction]]&lt;=2,HR_Data[[#This Row],[YearsAtCompany]]&lt;=2),"High Risk","Normal")</f>
        <v>Normal</v>
      </c>
    </row>
    <row r="40" spans="1:42" x14ac:dyDescent="0.25">
      <c r="A40" s="6">
        <v>36</v>
      </c>
      <c r="B40" s="4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s="11" t="str">
        <f>IF(HR_Data[[#This Row],[Age]]&lt;=25,"18-25",IF(HR_Data[[#This Row],[Age]]&lt;=35,"26-35",IF(HR_Data[[#This Row],[Age]]&lt;=45,"36-45",IF(HR_Data[[#This Row],[Age]]&lt;=55,"46-55","56+"))))</f>
        <v>36-45</v>
      </c>
      <c r="AK40" s="11" t="str">
        <f>IF(HR_Data[[#This Row],[MonthlyIncome]]&lt;3000,"Low",IF(HR_Data[[#This Row],[MonthlyIncome]]&lt;6000,"Medium",IF(HR_Data[[#This Row],[MonthlyIncome]]&lt;10000,"High","Very High")))</f>
        <v>Medium</v>
      </c>
      <c r="AL4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0" t="str">
        <f>IF(HR_Data[[#This Row],[TotalWorkingYears]]&lt;=5,"Junior",IF(HR_Data[[#This Row],[TotalWorkingYears]]&lt;=15,"Mid-Level","Senior"))</f>
        <v>Mid-Level</v>
      </c>
      <c r="AN40" s="11" t="str">
        <f>IF(HR_Data[[#This Row],[PerformanceRating]]=3,"Standard","Excellent")</f>
        <v>Standard</v>
      </c>
      <c r="AO40" s="11" t="str">
        <f>IF(HR_Data[[#This Row],[JobSatisfaction]]&lt;=2,"Low","High")</f>
        <v>Low</v>
      </c>
      <c r="AP40" s="11" t="str">
        <f>IF(AND(HR_Data[[#This Row],[OverTime]]="Yes",HR_Data[[#This Row],[JobSatisfaction]]&lt;=2,HR_Data[[#This Row],[YearsAtCompany]]&lt;=2),"High Risk","Normal")</f>
        <v>High Risk</v>
      </c>
    </row>
    <row r="41" spans="1:42" x14ac:dyDescent="0.25">
      <c r="A41" s="6">
        <v>33</v>
      </c>
      <c r="B41" s="4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s="11" t="str">
        <f>IF(HR_Data[[#This Row],[Age]]&lt;=25,"18-25",IF(HR_Data[[#This Row],[Age]]&lt;=35,"26-35",IF(HR_Data[[#This Row],[Age]]&lt;=45,"36-45",IF(HR_Data[[#This Row],[Age]]&lt;=55,"46-55","56+"))))</f>
        <v>26-35</v>
      </c>
      <c r="AK41" s="11" t="str">
        <f>IF(HR_Data[[#This Row],[MonthlyIncome]]&lt;3000,"Low",IF(HR_Data[[#This Row],[MonthlyIncome]]&lt;6000,"Medium",IF(HR_Data[[#This Row],[MonthlyIncome]]&lt;10000,"High","Very High")))</f>
        <v>Medium</v>
      </c>
      <c r="AL4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1" t="str">
        <f>IF(HR_Data[[#This Row],[TotalWorkingYears]]&lt;=5,"Junior",IF(HR_Data[[#This Row],[TotalWorkingYears]]&lt;=15,"Mid-Level","Senior"))</f>
        <v>Mid-Level</v>
      </c>
      <c r="AN41" s="11" t="str">
        <f>IF(HR_Data[[#This Row],[PerformanceRating]]=3,"Standard","Excellent")</f>
        <v>Standard</v>
      </c>
      <c r="AO41" s="11" t="str">
        <f>IF(HR_Data[[#This Row],[JobSatisfaction]]&lt;=2,"Low","High")</f>
        <v>Low</v>
      </c>
      <c r="AP41" s="11" t="str">
        <f>IF(AND(HR_Data[[#This Row],[OverTime]]="Yes",HR_Data[[#This Row],[JobSatisfaction]]&lt;=2,HR_Data[[#This Row],[YearsAtCompany]]&lt;=2),"High Risk","Normal")</f>
        <v>Normal</v>
      </c>
    </row>
    <row r="42" spans="1:42" x14ac:dyDescent="0.25">
      <c r="A42" s="6">
        <v>35</v>
      </c>
      <c r="B42" s="4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s="11" t="str">
        <f>IF(HR_Data[[#This Row],[Age]]&lt;=25,"18-25",IF(HR_Data[[#This Row],[Age]]&lt;=35,"26-35",IF(HR_Data[[#This Row],[Age]]&lt;=45,"36-45",IF(HR_Data[[#This Row],[Age]]&lt;=55,"46-55","56+"))))</f>
        <v>26-35</v>
      </c>
      <c r="AK42" s="11" t="str">
        <f>IF(HR_Data[[#This Row],[MonthlyIncome]]&lt;3000,"Low",IF(HR_Data[[#This Row],[MonthlyIncome]]&lt;6000,"Medium",IF(HR_Data[[#This Row],[MonthlyIncome]]&lt;10000,"High","Very High")))</f>
        <v>Low</v>
      </c>
      <c r="AL4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2" t="str">
        <f>IF(HR_Data[[#This Row],[TotalWorkingYears]]&lt;=5,"Junior",IF(HR_Data[[#This Row],[TotalWorkingYears]]&lt;=15,"Mid-Level","Senior"))</f>
        <v>Junior</v>
      </c>
      <c r="AN42" s="11" t="str">
        <f>IF(HR_Data[[#This Row],[PerformanceRating]]=3,"Standard","Excellent")</f>
        <v>Standard</v>
      </c>
      <c r="AO42" s="11" t="str">
        <f>IF(HR_Data[[#This Row],[JobSatisfaction]]&lt;=2,"Low","High")</f>
        <v>High</v>
      </c>
      <c r="AP42" s="11" t="str">
        <f>IF(AND(HR_Data[[#This Row],[OverTime]]="Yes",HR_Data[[#This Row],[JobSatisfaction]]&lt;=2,HR_Data[[#This Row],[YearsAtCompany]]&lt;=2),"High Risk","Normal")</f>
        <v>Normal</v>
      </c>
    </row>
    <row r="43" spans="1:42" x14ac:dyDescent="0.25">
      <c r="A43" s="6">
        <v>27</v>
      </c>
      <c r="B43" s="4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s="11" t="str">
        <f>IF(HR_Data[[#This Row],[Age]]&lt;=25,"18-25",IF(HR_Data[[#This Row],[Age]]&lt;=35,"26-35",IF(HR_Data[[#This Row],[Age]]&lt;=45,"36-45",IF(HR_Data[[#This Row],[Age]]&lt;=55,"46-55","56+"))))</f>
        <v>26-35</v>
      </c>
      <c r="AK43" s="11" t="str">
        <f>IF(HR_Data[[#This Row],[MonthlyIncome]]&lt;3000,"Low",IF(HR_Data[[#This Row],[MonthlyIncome]]&lt;6000,"Medium",IF(HR_Data[[#This Row],[MonthlyIncome]]&lt;10000,"High","Very High")))</f>
        <v>Low</v>
      </c>
      <c r="AL4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3" t="str">
        <f>IF(HR_Data[[#This Row],[TotalWorkingYears]]&lt;=5,"Junior",IF(HR_Data[[#This Row],[TotalWorkingYears]]&lt;=15,"Mid-Level","Senior"))</f>
        <v>Junior</v>
      </c>
      <c r="AN43" s="11" t="str">
        <f>IF(HR_Data[[#This Row],[PerformanceRating]]=3,"Standard","Excellent")</f>
        <v>Standard</v>
      </c>
      <c r="AO43" s="11" t="str">
        <f>IF(HR_Data[[#This Row],[JobSatisfaction]]&lt;=2,"Low","High")</f>
        <v>Low</v>
      </c>
      <c r="AP43" s="11" t="str">
        <f>IF(AND(HR_Data[[#This Row],[OverTime]]="Yes",HR_Data[[#This Row],[JobSatisfaction]]&lt;=2,HR_Data[[#This Row],[YearsAtCompany]]&lt;=2),"High Risk","Normal")</f>
        <v>Normal</v>
      </c>
    </row>
    <row r="44" spans="1:42" x14ac:dyDescent="0.25">
      <c r="A44" s="6">
        <v>26</v>
      </c>
      <c r="B44" s="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s="11" t="str">
        <f>IF(HR_Data[[#This Row],[Age]]&lt;=25,"18-25",IF(HR_Data[[#This Row],[Age]]&lt;=35,"26-35",IF(HR_Data[[#This Row],[Age]]&lt;=45,"36-45",IF(HR_Data[[#This Row],[Age]]&lt;=55,"46-55","56+"))))</f>
        <v>26-35</v>
      </c>
      <c r="AK44" s="11" t="str">
        <f>IF(HR_Data[[#This Row],[MonthlyIncome]]&lt;3000,"Low",IF(HR_Data[[#This Row],[MonthlyIncome]]&lt;6000,"Medium",IF(HR_Data[[#This Row],[MonthlyIncome]]&lt;10000,"High","Very High")))</f>
        <v>Low</v>
      </c>
      <c r="AL4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4" t="str">
        <f>IF(HR_Data[[#This Row],[TotalWorkingYears]]&lt;=5,"Junior",IF(HR_Data[[#This Row],[TotalWorkingYears]]&lt;=15,"Mid-Level","Senior"))</f>
        <v>Junior</v>
      </c>
      <c r="AN44" s="11" t="str">
        <f>IF(HR_Data[[#This Row],[PerformanceRating]]=3,"Standard","Excellent")</f>
        <v>Standard</v>
      </c>
      <c r="AO44" s="11" t="str">
        <f>IF(HR_Data[[#This Row],[JobSatisfaction]]&lt;=2,"Low","High")</f>
        <v>High</v>
      </c>
      <c r="AP44" s="11" t="str">
        <f>IF(AND(HR_Data[[#This Row],[OverTime]]="Yes",HR_Data[[#This Row],[JobSatisfaction]]&lt;=2,HR_Data[[#This Row],[YearsAtCompany]]&lt;=2),"High Risk","Normal")</f>
        <v>Normal</v>
      </c>
    </row>
    <row r="45" spans="1:42" x14ac:dyDescent="0.25">
      <c r="A45" s="6">
        <v>27</v>
      </c>
      <c r="B45" s="4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s="11" t="str">
        <f>IF(HR_Data[[#This Row],[Age]]&lt;=25,"18-25",IF(HR_Data[[#This Row],[Age]]&lt;=35,"26-35",IF(HR_Data[[#This Row],[Age]]&lt;=45,"36-45",IF(HR_Data[[#This Row],[Age]]&lt;=55,"46-55","56+"))))</f>
        <v>26-35</v>
      </c>
      <c r="AK45" s="11" t="str">
        <f>IF(HR_Data[[#This Row],[MonthlyIncome]]&lt;3000,"Low",IF(HR_Data[[#This Row],[MonthlyIncome]]&lt;6000,"Medium",IF(HR_Data[[#This Row],[MonthlyIncome]]&lt;10000,"High","Very High")))</f>
        <v>High</v>
      </c>
      <c r="AL4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5" t="str">
        <f>IF(HR_Data[[#This Row],[TotalWorkingYears]]&lt;=5,"Junior",IF(HR_Data[[#This Row],[TotalWorkingYears]]&lt;=15,"Mid-Level","Senior"))</f>
        <v>Mid-Level</v>
      </c>
      <c r="AN45" s="11" t="str">
        <f>IF(HR_Data[[#This Row],[PerformanceRating]]=3,"Standard","Excellent")</f>
        <v>Standard</v>
      </c>
      <c r="AO45" s="11" t="str">
        <f>IF(HR_Data[[#This Row],[JobSatisfaction]]&lt;=2,"Low","High")</f>
        <v>High</v>
      </c>
      <c r="AP45" s="11" t="str">
        <f>IF(AND(HR_Data[[#This Row],[OverTime]]="Yes",HR_Data[[#This Row],[JobSatisfaction]]&lt;=2,HR_Data[[#This Row],[YearsAtCompany]]&lt;=2),"High Risk","Normal")</f>
        <v>Normal</v>
      </c>
    </row>
    <row r="46" spans="1:42" x14ac:dyDescent="0.25">
      <c r="A46" s="6">
        <v>30</v>
      </c>
      <c r="B46" s="4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s="11" t="str">
        <f>IF(HR_Data[[#This Row],[Age]]&lt;=25,"18-25",IF(HR_Data[[#This Row],[Age]]&lt;=35,"26-35",IF(HR_Data[[#This Row],[Age]]&lt;=45,"36-45",IF(HR_Data[[#This Row],[Age]]&lt;=55,"46-55","56+"))))</f>
        <v>26-35</v>
      </c>
      <c r="AK46" s="11" t="str">
        <f>IF(HR_Data[[#This Row],[MonthlyIncome]]&lt;3000,"Low",IF(HR_Data[[#This Row],[MonthlyIncome]]&lt;6000,"Medium",IF(HR_Data[[#This Row],[MonthlyIncome]]&lt;10000,"High","Very High")))</f>
        <v>Medium</v>
      </c>
      <c r="AL46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46" t="str">
        <f>IF(HR_Data[[#This Row],[TotalWorkingYears]]&lt;=5,"Junior",IF(HR_Data[[#This Row],[TotalWorkingYears]]&lt;=15,"Mid-Level","Senior"))</f>
        <v>Mid-Level</v>
      </c>
      <c r="AN46" s="11" t="str">
        <f>IF(HR_Data[[#This Row],[PerformanceRating]]=3,"Standard","Excellent")</f>
        <v>Excellent</v>
      </c>
      <c r="AO46" s="11" t="str">
        <f>IF(HR_Data[[#This Row],[JobSatisfaction]]&lt;=2,"Low","High")</f>
        <v>High</v>
      </c>
      <c r="AP46" s="11" t="str">
        <f>IF(AND(HR_Data[[#This Row],[OverTime]]="Yes",HR_Data[[#This Row],[JobSatisfaction]]&lt;=2,HR_Data[[#This Row],[YearsAtCompany]]&lt;=2),"High Risk","Normal")</f>
        <v>Normal</v>
      </c>
    </row>
    <row r="47" spans="1:42" x14ac:dyDescent="0.25">
      <c r="A47" s="6">
        <v>41</v>
      </c>
      <c r="B47" s="4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s="11" t="str">
        <f>IF(HR_Data[[#This Row],[Age]]&lt;=25,"18-25",IF(HR_Data[[#This Row],[Age]]&lt;=35,"26-35",IF(HR_Data[[#This Row],[Age]]&lt;=45,"36-45",IF(HR_Data[[#This Row],[Age]]&lt;=55,"46-55","56+"))))</f>
        <v>36-45</v>
      </c>
      <c r="AK47" s="11" t="str">
        <f>IF(HR_Data[[#This Row],[MonthlyIncome]]&lt;3000,"Low",IF(HR_Data[[#This Row],[MonthlyIncome]]&lt;6000,"Medium",IF(HR_Data[[#This Row],[MonthlyIncome]]&lt;10000,"High","Very High")))</f>
        <v>Very High</v>
      </c>
      <c r="AL4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47" t="str">
        <f>IF(HR_Data[[#This Row],[TotalWorkingYears]]&lt;=5,"Junior",IF(HR_Data[[#This Row],[TotalWorkingYears]]&lt;=15,"Mid-Level","Senior"))</f>
        <v>Senior</v>
      </c>
      <c r="AN47" s="11" t="str">
        <f>IF(HR_Data[[#This Row],[PerformanceRating]]=3,"Standard","Excellent")</f>
        <v>Standard</v>
      </c>
      <c r="AO47" s="11" t="str">
        <f>IF(HR_Data[[#This Row],[JobSatisfaction]]&lt;=2,"Low","High")</f>
        <v>High</v>
      </c>
      <c r="AP47" s="11" t="str">
        <f>IF(AND(HR_Data[[#This Row],[OverTime]]="Yes",HR_Data[[#This Row],[JobSatisfaction]]&lt;=2,HR_Data[[#This Row],[YearsAtCompany]]&lt;=2),"High Risk","Normal")</f>
        <v>Normal</v>
      </c>
    </row>
    <row r="48" spans="1:42" x14ac:dyDescent="0.25">
      <c r="A48" s="6">
        <v>34</v>
      </c>
      <c r="B48" s="4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s="11" t="str">
        <f>IF(HR_Data[[#This Row],[Age]]&lt;=25,"18-25",IF(HR_Data[[#This Row],[Age]]&lt;=35,"26-35",IF(HR_Data[[#This Row],[Age]]&lt;=45,"36-45",IF(HR_Data[[#This Row],[Age]]&lt;=55,"46-55","56+"))))</f>
        <v>26-35</v>
      </c>
      <c r="AK48" s="11" t="str">
        <f>IF(HR_Data[[#This Row],[MonthlyIncome]]&lt;3000,"Low",IF(HR_Data[[#This Row],[MonthlyIncome]]&lt;6000,"Medium",IF(HR_Data[[#This Row],[MonthlyIncome]]&lt;10000,"High","Very High")))</f>
        <v>Medium</v>
      </c>
      <c r="AL4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8" t="str">
        <f>IF(HR_Data[[#This Row],[TotalWorkingYears]]&lt;=5,"Junior",IF(HR_Data[[#This Row],[TotalWorkingYears]]&lt;=15,"Mid-Level","Senior"))</f>
        <v>Mid-Level</v>
      </c>
      <c r="AN48" s="11" t="str">
        <f>IF(HR_Data[[#This Row],[PerformanceRating]]=3,"Standard","Excellent")</f>
        <v>Excellent</v>
      </c>
      <c r="AO48" s="11" t="str">
        <f>IF(HR_Data[[#This Row],[JobSatisfaction]]&lt;=2,"Low","High")</f>
        <v>High</v>
      </c>
      <c r="AP48" s="11" t="str">
        <f>IF(AND(HR_Data[[#This Row],[OverTime]]="Yes",HR_Data[[#This Row],[JobSatisfaction]]&lt;=2,HR_Data[[#This Row],[YearsAtCompany]]&lt;=2),"High Risk","Normal")</f>
        <v>Normal</v>
      </c>
    </row>
    <row r="49" spans="1:42" x14ac:dyDescent="0.25">
      <c r="A49" s="6">
        <v>37</v>
      </c>
      <c r="B49" s="4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s="11" t="str">
        <f>IF(HR_Data[[#This Row],[Age]]&lt;=25,"18-25",IF(HR_Data[[#This Row],[Age]]&lt;=35,"26-35",IF(HR_Data[[#This Row],[Age]]&lt;=45,"36-45",IF(HR_Data[[#This Row],[Age]]&lt;=55,"46-55","56+"))))</f>
        <v>36-45</v>
      </c>
      <c r="AK49" s="11" t="str">
        <f>IF(HR_Data[[#This Row],[MonthlyIncome]]&lt;3000,"Low",IF(HR_Data[[#This Row],[MonthlyIncome]]&lt;6000,"Medium",IF(HR_Data[[#This Row],[MonthlyIncome]]&lt;10000,"High","Very High")))</f>
        <v>Medium</v>
      </c>
      <c r="AL4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9" t="str">
        <f>IF(HR_Data[[#This Row],[TotalWorkingYears]]&lt;=5,"Junior",IF(HR_Data[[#This Row],[TotalWorkingYears]]&lt;=15,"Mid-Level","Senior"))</f>
        <v>Mid-Level</v>
      </c>
      <c r="AN49" s="11" t="str">
        <f>IF(HR_Data[[#This Row],[PerformanceRating]]=3,"Standard","Excellent")</f>
        <v>Excellent</v>
      </c>
      <c r="AO49" s="11" t="str">
        <f>IF(HR_Data[[#This Row],[JobSatisfaction]]&lt;=2,"Low","High")</f>
        <v>Low</v>
      </c>
      <c r="AP49" s="11" t="str">
        <f>IF(AND(HR_Data[[#This Row],[OverTime]]="Yes",HR_Data[[#This Row],[JobSatisfaction]]&lt;=2,HR_Data[[#This Row],[YearsAtCompany]]&lt;=2),"High Risk","Normal")</f>
        <v>Normal</v>
      </c>
    </row>
    <row r="50" spans="1:42" x14ac:dyDescent="0.25">
      <c r="A50" s="6">
        <v>46</v>
      </c>
      <c r="B50" s="4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s="11" t="str">
        <f>IF(HR_Data[[#This Row],[Age]]&lt;=25,"18-25",IF(HR_Data[[#This Row],[Age]]&lt;=35,"26-35",IF(HR_Data[[#This Row],[Age]]&lt;=45,"36-45",IF(HR_Data[[#This Row],[Age]]&lt;=55,"46-55","56+"))))</f>
        <v>46-55</v>
      </c>
      <c r="AK50" s="11" t="str">
        <f>IF(HR_Data[[#This Row],[MonthlyIncome]]&lt;3000,"Low",IF(HR_Data[[#This Row],[MonthlyIncome]]&lt;6000,"Medium",IF(HR_Data[[#This Row],[MonthlyIncome]]&lt;10000,"High","Very High")))</f>
        <v>Medium</v>
      </c>
      <c r="AL5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0" t="str">
        <f>IF(HR_Data[[#This Row],[TotalWorkingYears]]&lt;=5,"Junior",IF(HR_Data[[#This Row],[TotalWorkingYears]]&lt;=15,"Mid-Level","Senior"))</f>
        <v>Mid-Level</v>
      </c>
      <c r="AN50" s="11" t="str">
        <f>IF(HR_Data[[#This Row],[PerformanceRating]]=3,"Standard","Excellent")</f>
        <v>Excellent</v>
      </c>
      <c r="AO50" s="11" t="str">
        <f>IF(HR_Data[[#This Row],[JobSatisfaction]]&lt;=2,"Low","High")</f>
        <v>High</v>
      </c>
      <c r="AP50" s="11" t="str">
        <f>IF(AND(HR_Data[[#This Row],[OverTime]]="Yes",HR_Data[[#This Row],[JobSatisfaction]]&lt;=2,HR_Data[[#This Row],[YearsAtCompany]]&lt;=2),"High Risk","Normal")</f>
        <v>Normal</v>
      </c>
    </row>
    <row r="51" spans="1:42" x14ac:dyDescent="0.25">
      <c r="A51" s="6">
        <v>35</v>
      </c>
      <c r="B51" s="4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s="11" t="str">
        <f>IF(HR_Data[[#This Row],[Age]]&lt;=25,"18-25",IF(HR_Data[[#This Row],[Age]]&lt;=35,"26-35",IF(HR_Data[[#This Row],[Age]]&lt;=45,"36-45",IF(HR_Data[[#This Row],[Age]]&lt;=55,"46-55","56+"))))</f>
        <v>26-35</v>
      </c>
      <c r="AK51" s="11" t="str">
        <f>IF(HR_Data[[#This Row],[MonthlyIncome]]&lt;3000,"Low",IF(HR_Data[[#This Row],[MonthlyIncome]]&lt;6000,"Medium",IF(HR_Data[[#This Row],[MonthlyIncome]]&lt;10000,"High","Very High")))</f>
        <v>Low</v>
      </c>
      <c r="AL5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1" t="str">
        <f>IF(HR_Data[[#This Row],[TotalWorkingYears]]&lt;=5,"Junior",IF(HR_Data[[#This Row],[TotalWorkingYears]]&lt;=15,"Mid-Level","Senior"))</f>
        <v>Junior</v>
      </c>
      <c r="AN51" s="11" t="str">
        <f>IF(HR_Data[[#This Row],[PerformanceRating]]=3,"Standard","Excellent")</f>
        <v>Standard</v>
      </c>
      <c r="AO51" s="11" t="str">
        <f>IF(HR_Data[[#This Row],[JobSatisfaction]]&lt;=2,"Low","High")</f>
        <v>High</v>
      </c>
      <c r="AP51" s="11" t="str">
        <f>IF(AND(HR_Data[[#This Row],[OverTime]]="Yes",HR_Data[[#This Row],[JobSatisfaction]]&lt;=2,HR_Data[[#This Row],[YearsAtCompany]]&lt;=2),"High Risk","Normal")</f>
        <v>Normal</v>
      </c>
    </row>
    <row r="52" spans="1:42" x14ac:dyDescent="0.25">
      <c r="A52" s="6">
        <v>48</v>
      </c>
      <c r="B52" s="4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s="11" t="str">
        <f>IF(HR_Data[[#This Row],[Age]]&lt;=25,"18-25",IF(HR_Data[[#This Row],[Age]]&lt;=35,"26-35",IF(HR_Data[[#This Row],[Age]]&lt;=45,"36-45",IF(HR_Data[[#This Row],[Age]]&lt;=55,"46-55","56+"))))</f>
        <v>46-55</v>
      </c>
      <c r="AK52" s="11" t="str">
        <f>IF(HR_Data[[#This Row],[MonthlyIncome]]&lt;3000,"Low",IF(HR_Data[[#This Row],[MonthlyIncome]]&lt;6000,"Medium",IF(HR_Data[[#This Row],[MonthlyIncome]]&lt;10000,"High","Very High")))</f>
        <v>Medium</v>
      </c>
      <c r="AL5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2" t="str">
        <f>IF(HR_Data[[#This Row],[TotalWorkingYears]]&lt;=5,"Junior",IF(HR_Data[[#This Row],[TotalWorkingYears]]&lt;=15,"Mid-Level","Senior"))</f>
        <v>Senior</v>
      </c>
      <c r="AN52" s="11" t="str">
        <f>IF(HR_Data[[#This Row],[PerformanceRating]]=3,"Standard","Excellent")</f>
        <v>Standard</v>
      </c>
      <c r="AO52" s="11" t="str">
        <f>IF(HR_Data[[#This Row],[JobSatisfaction]]&lt;=2,"Low","High")</f>
        <v>High</v>
      </c>
      <c r="AP52" s="11" t="str">
        <f>IF(AND(HR_Data[[#This Row],[OverTime]]="Yes",HR_Data[[#This Row],[JobSatisfaction]]&lt;=2,HR_Data[[#This Row],[YearsAtCompany]]&lt;=2),"High Risk","Normal")</f>
        <v>Normal</v>
      </c>
    </row>
    <row r="53" spans="1:42" x14ac:dyDescent="0.25">
      <c r="A53" s="6">
        <v>28</v>
      </c>
      <c r="B53" s="4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s="11" t="str">
        <f>IF(HR_Data[[#This Row],[Age]]&lt;=25,"18-25",IF(HR_Data[[#This Row],[Age]]&lt;=35,"26-35",IF(HR_Data[[#This Row],[Age]]&lt;=45,"36-45",IF(HR_Data[[#This Row],[Age]]&lt;=55,"46-55","56+"))))</f>
        <v>26-35</v>
      </c>
      <c r="AK53" s="11" t="str">
        <f>IF(HR_Data[[#This Row],[MonthlyIncome]]&lt;3000,"Low",IF(HR_Data[[#This Row],[MonthlyIncome]]&lt;6000,"Medium",IF(HR_Data[[#This Row],[MonthlyIncome]]&lt;10000,"High","Very High")))</f>
        <v>Medium</v>
      </c>
      <c r="AL5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3" t="str">
        <f>IF(HR_Data[[#This Row],[TotalWorkingYears]]&lt;=5,"Junior",IF(HR_Data[[#This Row],[TotalWorkingYears]]&lt;=15,"Mid-Level","Senior"))</f>
        <v>Junior</v>
      </c>
      <c r="AN53" s="11" t="str">
        <f>IF(HR_Data[[#This Row],[PerformanceRating]]=3,"Standard","Excellent")</f>
        <v>Standard</v>
      </c>
      <c r="AO53" s="11" t="str">
        <f>IF(HR_Data[[#This Row],[JobSatisfaction]]&lt;=2,"Low","High")</f>
        <v>High</v>
      </c>
      <c r="AP53" s="11" t="str">
        <f>IF(AND(HR_Data[[#This Row],[OverTime]]="Yes",HR_Data[[#This Row],[JobSatisfaction]]&lt;=2,HR_Data[[#This Row],[YearsAtCompany]]&lt;=2),"High Risk","Normal")</f>
        <v>Normal</v>
      </c>
    </row>
    <row r="54" spans="1:42" x14ac:dyDescent="0.25">
      <c r="A54" s="6">
        <v>44</v>
      </c>
      <c r="B54" s="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s="11" t="str">
        <f>IF(HR_Data[[#This Row],[Age]]&lt;=25,"18-25",IF(HR_Data[[#This Row],[Age]]&lt;=35,"26-35",IF(HR_Data[[#This Row],[Age]]&lt;=45,"36-45",IF(HR_Data[[#This Row],[Age]]&lt;=55,"46-55","56+"))))</f>
        <v>36-45</v>
      </c>
      <c r="AK54" s="11" t="str">
        <f>IF(HR_Data[[#This Row],[MonthlyIncome]]&lt;3000,"Low",IF(HR_Data[[#This Row],[MonthlyIncome]]&lt;6000,"Medium",IF(HR_Data[[#This Row],[MonthlyIncome]]&lt;10000,"High","Very High")))</f>
        <v>Medium</v>
      </c>
      <c r="AL5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4" t="str">
        <f>IF(HR_Data[[#This Row],[TotalWorkingYears]]&lt;=5,"Junior",IF(HR_Data[[#This Row],[TotalWorkingYears]]&lt;=15,"Mid-Level","Senior"))</f>
        <v>Mid-Level</v>
      </c>
      <c r="AN54" s="11" t="str">
        <f>IF(HR_Data[[#This Row],[PerformanceRating]]=3,"Standard","Excellent")</f>
        <v>Excellent</v>
      </c>
      <c r="AO54" s="11" t="str">
        <f>IF(HR_Data[[#This Row],[JobSatisfaction]]&lt;=2,"Low","High")</f>
        <v>Low</v>
      </c>
      <c r="AP54" s="11" t="str">
        <f>IF(AND(HR_Data[[#This Row],[OverTime]]="Yes",HR_Data[[#This Row],[JobSatisfaction]]&lt;=2,HR_Data[[#This Row],[YearsAtCompany]]&lt;=2),"High Risk","Normal")</f>
        <v>Normal</v>
      </c>
    </row>
    <row r="55" spans="1:42" x14ac:dyDescent="0.25">
      <c r="A55" s="6">
        <v>35</v>
      </c>
      <c r="B55" s="4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s="11" t="str">
        <f>IF(HR_Data[[#This Row],[Age]]&lt;=25,"18-25",IF(HR_Data[[#This Row],[Age]]&lt;=35,"26-35",IF(HR_Data[[#This Row],[Age]]&lt;=45,"36-45",IF(HR_Data[[#This Row],[Age]]&lt;=55,"46-55","56+"))))</f>
        <v>26-35</v>
      </c>
      <c r="AK55" s="11" t="str">
        <f>IF(HR_Data[[#This Row],[MonthlyIncome]]&lt;3000,"Low",IF(HR_Data[[#This Row],[MonthlyIncome]]&lt;6000,"Medium",IF(HR_Data[[#This Row],[MonthlyIncome]]&lt;10000,"High","Very High")))</f>
        <v>High</v>
      </c>
      <c r="AL5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5" t="str">
        <f>IF(HR_Data[[#This Row],[TotalWorkingYears]]&lt;=5,"Junior",IF(HR_Data[[#This Row],[TotalWorkingYears]]&lt;=15,"Mid-Level","Senior"))</f>
        <v>Mid-Level</v>
      </c>
      <c r="AN55" s="11" t="str">
        <f>IF(HR_Data[[#This Row],[PerformanceRating]]=3,"Standard","Excellent")</f>
        <v>Standard</v>
      </c>
      <c r="AO55" s="11" t="str">
        <f>IF(HR_Data[[#This Row],[JobSatisfaction]]&lt;=2,"Low","High")</f>
        <v>Low</v>
      </c>
      <c r="AP55" s="11" t="str">
        <f>IF(AND(HR_Data[[#This Row],[OverTime]]="Yes",HR_Data[[#This Row],[JobSatisfaction]]&lt;=2,HR_Data[[#This Row],[YearsAtCompany]]&lt;=2),"High Risk","Normal")</f>
        <v>Normal</v>
      </c>
    </row>
    <row r="56" spans="1:42" x14ac:dyDescent="0.25">
      <c r="A56" s="6">
        <v>26</v>
      </c>
      <c r="B56" s="4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s="11" t="str">
        <f>IF(HR_Data[[#This Row],[Age]]&lt;=25,"18-25",IF(HR_Data[[#This Row],[Age]]&lt;=35,"26-35",IF(HR_Data[[#This Row],[Age]]&lt;=45,"36-45",IF(HR_Data[[#This Row],[Age]]&lt;=55,"46-55","56+"))))</f>
        <v>26-35</v>
      </c>
      <c r="AK56" s="11" t="str">
        <f>IF(HR_Data[[#This Row],[MonthlyIncome]]&lt;3000,"Low",IF(HR_Data[[#This Row],[MonthlyIncome]]&lt;6000,"Medium",IF(HR_Data[[#This Row],[MonthlyIncome]]&lt;10000,"High","Very High")))</f>
        <v>Medium</v>
      </c>
      <c r="AL5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6" t="str">
        <f>IF(HR_Data[[#This Row],[TotalWorkingYears]]&lt;=5,"Junior",IF(HR_Data[[#This Row],[TotalWorkingYears]]&lt;=15,"Mid-Level","Senior"))</f>
        <v>Junior</v>
      </c>
      <c r="AN56" s="11" t="str">
        <f>IF(HR_Data[[#This Row],[PerformanceRating]]=3,"Standard","Excellent")</f>
        <v>Standard</v>
      </c>
      <c r="AO56" s="11" t="str">
        <f>IF(HR_Data[[#This Row],[JobSatisfaction]]&lt;=2,"Low","High")</f>
        <v>High</v>
      </c>
      <c r="AP56" s="11" t="str">
        <f>IF(AND(HR_Data[[#This Row],[OverTime]]="Yes",HR_Data[[#This Row],[JobSatisfaction]]&lt;=2,HR_Data[[#This Row],[YearsAtCompany]]&lt;=2),"High Risk","Normal")</f>
        <v>Normal</v>
      </c>
    </row>
    <row r="57" spans="1:42" x14ac:dyDescent="0.25">
      <c r="A57" s="6">
        <v>33</v>
      </c>
      <c r="B57" s="4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s="11" t="str">
        <f>IF(HR_Data[[#This Row],[Age]]&lt;=25,"18-25",IF(HR_Data[[#This Row],[Age]]&lt;=35,"26-35",IF(HR_Data[[#This Row],[Age]]&lt;=45,"36-45",IF(HR_Data[[#This Row],[Age]]&lt;=55,"46-55","56+"))))</f>
        <v>26-35</v>
      </c>
      <c r="AK57" s="11" t="str">
        <f>IF(HR_Data[[#This Row],[MonthlyIncome]]&lt;3000,"Low",IF(HR_Data[[#This Row],[MonthlyIncome]]&lt;6000,"Medium",IF(HR_Data[[#This Row],[MonthlyIncome]]&lt;10000,"High","Very High")))</f>
        <v>Very High</v>
      </c>
      <c r="AL57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57" t="str">
        <f>IF(HR_Data[[#This Row],[TotalWorkingYears]]&lt;=5,"Junior",IF(HR_Data[[#This Row],[TotalWorkingYears]]&lt;=15,"Mid-Level","Senior"))</f>
        <v>Mid-Level</v>
      </c>
      <c r="AN57" s="11" t="str">
        <f>IF(HR_Data[[#This Row],[PerformanceRating]]=3,"Standard","Excellent")</f>
        <v>Standard</v>
      </c>
      <c r="AO57" s="11" t="str">
        <f>IF(HR_Data[[#This Row],[JobSatisfaction]]&lt;=2,"Low","High")</f>
        <v>High</v>
      </c>
      <c r="AP57" s="11" t="str">
        <f>IF(AND(HR_Data[[#This Row],[OverTime]]="Yes",HR_Data[[#This Row],[JobSatisfaction]]&lt;=2,HR_Data[[#This Row],[YearsAtCompany]]&lt;=2),"High Risk","Normal")</f>
        <v>Normal</v>
      </c>
    </row>
    <row r="58" spans="1:42" x14ac:dyDescent="0.25">
      <c r="A58" s="6">
        <v>35</v>
      </c>
      <c r="B58" s="4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s="11" t="str">
        <f>IF(HR_Data[[#This Row],[Age]]&lt;=25,"18-25",IF(HR_Data[[#This Row],[Age]]&lt;=35,"26-35",IF(HR_Data[[#This Row],[Age]]&lt;=45,"36-45",IF(HR_Data[[#This Row],[Age]]&lt;=55,"46-55","56+"))))</f>
        <v>26-35</v>
      </c>
      <c r="AK58" s="11" t="str">
        <f>IF(HR_Data[[#This Row],[MonthlyIncome]]&lt;3000,"Low",IF(HR_Data[[#This Row],[MonthlyIncome]]&lt;6000,"Medium",IF(HR_Data[[#This Row],[MonthlyIncome]]&lt;10000,"High","Very High")))</f>
        <v>High</v>
      </c>
      <c r="AL5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8" t="str">
        <f>IF(HR_Data[[#This Row],[TotalWorkingYears]]&lt;=5,"Junior",IF(HR_Data[[#This Row],[TotalWorkingYears]]&lt;=15,"Mid-Level","Senior"))</f>
        <v>Mid-Level</v>
      </c>
      <c r="AN58" s="11" t="str">
        <f>IF(HR_Data[[#This Row],[PerformanceRating]]=3,"Standard","Excellent")</f>
        <v>Excellent</v>
      </c>
      <c r="AO58" s="11" t="str">
        <f>IF(HR_Data[[#This Row],[JobSatisfaction]]&lt;=2,"Low","High")</f>
        <v>Low</v>
      </c>
      <c r="AP58" s="11" t="str">
        <f>IF(AND(HR_Data[[#This Row],[OverTime]]="Yes",HR_Data[[#This Row],[JobSatisfaction]]&lt;=2,HR_Data[[#This Row],[YearsAtCompany]]&lt;=2),"High Risk","Normal")</f>
        <v>Normal</v>
      </c>
    </row>
    <row r="59" spans="1:42" x14ac:dyDescent="0.25">
      <c r="A59" s="6">
        <v>35</v>
      </c>
      <c r="B59" s="4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s="11" t="str">
        <f>IF(HR_Data[[#This Row],[Age]]&lt;=25,"18-25",IF(HR_Data[[#This Row],[Age]]&lt;=35,"26-35",IF(HR_Data[[#This Row],[Age]]&lt;=45,"36-45",IF(HR_Data[[#This Row],[Age]]&lt;=55,"46-55","56+"))))</f>
        <v>26-35</v>
      </c>
      <c r="AK59" s="11" t="str">
        <f>IF(HR_Data[[#This Row],[MonthlyIncome]]&lt;3000,"Low",IF(HR_Data[[#This Row],[MonthlyIncome]]&lt;6000,"Medium",IF(HR_Data[[#This Row],[MonthlyIncome]]&lt;10000,"High","Very High")))</f>
        <v>Medium</v>
      </c>
      <c r="AL5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9" t="str">
        <f>IF(HR_Data[[#This Row],[TotalWorkingYears]]&lt;=5,"Junior",IF(HR_Data[[#This Row],[TotalWorkingYears]]&lt;=15,"Mid-Level","Senior"))</f>
        <v>Junior</v>
      </c>
      <c r="AN59" s="11" t="str">
        <f>IF(HR_Data[[#This Row],[PerformanceRating]]=3,"Standard","Excellent")</f>
        <v>Standard</v>
      </c>
      <c r="AO59" s="11" t="str">
        <f>IF(HR_Data[[#This Row],[JobSatisfaction]]&lt;=2,"Low","High")</f>
        <v>Low</v>
      </c>
      <c r="AP59" s="11" t="str">
        <f>IF(AND(HR_Data[[#This Row],[OverTime]]="Yes",HR_Data[[#This Row],[JobSatisfaction]]&lt;=2,HR_Data[[#This Row],[YearsAtCompany]]&lt;=2),"High Risk","Normal")</f>
        <v>High Risk</v>
      </c>
    </row>
    <row r="60" spans="1:42" x14ac:dyDescent="0.25">
      <c r="A60" s="6">
        <v>31</v>
      </c>
      <c r="B60" s="4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s="11" t="str">
        <f>IF(HR_Data[[#This Row],[Age]]&lt;=25,"18-25",IF(HR_Data[[#This Row],[Age]]&lt;=35,"26-35",IF(HR_Data[[#This Row],[Age]]&lt;=45,"36-45",IF(HR_Data[[#This Row],[Age]]&lt;=55,"46-55","56+"))))</f>
        <v>26-35</v>
      </c>
      <c r="AK60" s="11" t="str">
        <f>IF(HR_Data[[#This Row],[MonthlyIncome]]&lt;3000,"Low",IF(HR_Data[[#This Row],[MonthlyIncome]]&lt;6000,"Medium",IF(HR_Data[[#This Row],[MonthlyIncome]]&lt;10000,"High","Very High")))</f>
        <v>Medium</v>
      </c>
      <c r="AL6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0" t="str">
        <f>IF(HR_Data[[#This Row],[TotalWorkingYears]]&lt;=5,"Junior",IF(HR_Data[[#This Row],[TotalWorkingYears]]&lt;=15,"Mid-Level","Senior"))</f>
        <v>Mid-Level</v>
      </c>
      <c r="AN60" s="11" t="str">
        <f>IF(HR_Data[[#This Row],[PerformanceRating]]=3,"Standard","Excellent")</f>
        <v>Excellent</v>
      </c>
      <c r="AO60" s="11" t="str">
        <f>IF(HR_Data[[#This Row],[JobSatisfaction]]&lt;=2,"Low","High")</f>
        <v>High</v>
      </c>
      <c r="AP60" s="11" t="str">
        <f>IF(AND(HR_Data[[#This Row],[OverTime]]="Yes",HR_Data[[#This Row],[JobSatisfaction]]&lt;=2,HR_Data[[#This Row],[YearsAtCompany]]&lt;=2),"High Risk","Normal")</f>
        <v>Normal</v>
      </c>
    </row>
    <row r="61" spans="1:42" x14ac:dyDescent="0.25">
      <c r="A61" s="6">
        <v>37</v>
      </c>
      <c r="B61" s="4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s="11" t="str">
        <f>IF(HR_Data[[#This Row],[Age]]&lt;=25,"18-25",IF(HR_Data[[#This Row],[Age]]&lt;=35,"26-35",IF(HR_Data[[#This Row],[Age]]&lt;=45,"36-45",IF(HR_Data[[#This Row],[Age]]&lt;=55,"46-55","56+"))))</f>
        <v>36-45</v>
      </c>
      <c r="AK61" s="11" t="str">
        <f>IF(HR_Data[[#This Row],[MonthlyIncome]]&lt;3000,"Low",IF(HR_Data[[#This Row],[MonthlyIncome]]&lt;6000,"Medium",IF(HR_Data[[#This Row],[MonthlyIncome]]&lt;10000,"High","Very High")))</f>
        <v>Medium</v>
      </c>
      <c r="AL6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1" t="str">
        <f>IF(HR_Data[[#This Row],[TotalWorkingYears]]&lt;=5,"Junior",IF(HR_Data[[#This Row],[TotalWorkingYears]]&lt;=15,"Mid-Level","Senior"))</f>
        <v>Mid-Level</v>
      </c>
      <c r="AN61" s="11" t="str">
        <f>IF(HR_Data[[#This Row],[PerformanceRating]]=3,"Standard","Excellent")</f>
        <v>Standard</v>
      </c>
      <c r="AO61" s="11" t="str">
        <f>IF(HR_Data[[#This Row],[JobSatisfaction]]&lt;=2,"Low","High")</f>
        <v>High</v>
      </c>
      <c r="AP61" s="11" t="str">
        <f>IF(AND(HR_Data[[#This Row],[OverTime]]="Yes",HR_Data[[#This Row],[JobSatisfaction]]&lt;=2,HR_Data[[#This Row],[YearsAtCompany]]&lt;=2),"High Risk","Normal")</f>
        <v>Normal</v>
      </c>
    </row>
    <row r="62" spans="1:42" x14ac:dyDescent="0.25">
      <c r="A62" s="6">
        <v>32</v>
      </c>
      <c r="B62" s="4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s="11" t="str">
        <f>IF(HR_Data[[#This Row],[Age]]&lt;=25,"18-25",IF(HR_Data[[#This Row],[Age]]&lt;=35,"26-35",IF(HR_Data[[#This Row],[Age]]&lt;=45,"36-45",IF(HR_Data[[#This Row],[Age]]&lt;=55,"46-55","56+"))))</f>
        <v>26-35</v>
      </c>
      <c r="AK62" s="11" t="str">
        <f>IF(HR_Data[[#This Row],[MonthlyIncome]]&lt;3000,"Low",IF(HR_Data[[#This Row],[MonthlyIncome]]&lt;6000,"Medium",IF(HR_Data[[#This Row],[MonthlyIncome]]&lt;10000,"High","Very High")))</f>
        <v>High</v>
      </c>
      <c r="AL6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2" t="str">
        <f>IF(HR_Data[[#This Row],[TotalWorkingYears]]&lt;=5,"Junior",IF(HR_Data[[#This Row],[TotalWorkingYears]]&lt;=15,"Mid-Level","Senior"))</f>
        <v>Mid-Level</v>
      </c>
      <c r="AN62" s="11" t="str">
        <f>IF(HR_Data[[#This Row],[PerformanceRating]]=3,"Standard","Excellent")</f>
        <v>Excellent</v>
      </c>
      <c r="AO62" s="11" t="str">
        <f>IF(HR_Data[[#This Row],[JobSatisfaction]]&lt;=2,"Low","High")</f>
        <v>High</v>
      </c>
      <c r="AP62" s="11" t="str">
        <f>IF(AND(HR_Data[[#This Row],[OverTime]]="Yes",HR_Data[[#This Row],[JobSatisfaction]]&lt;=2,HR_Data[[#This Row],[YearsAtCompany]]&lt;=2),"High Risk","Normal")</f>
        <v>Normal</v>
      </c>
    </row>
    <row r="63" spans="1:42" x14ac:dyDescent="0.25">
      <c r="A63" s="6">
        <v>38</v>
      </c>
      <c r="B63" s="4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s="11" t="str">
        <f>IF(HR_Data[[#This Row],[Age]]&lt;=25,"18-25",IF(HR_Data[[#This Row],[Age]]&lt;=35,"26-35",IF(HR_Data[[#This Row],[Age]]&lt;=45,"36-45",IF(HR_Data[[#This Row],[Age]]&lt;=55,"46-55","56+"))))</f>
        <v>36-45</v>
      </c>
      <c r="AK63" s="11" t="str">
        <f>IF(HR_Data[[#This Row],[MonthlyIncome]]&lt;3000,"Low",IF(HR_Data[[#This Row],[MonthlyIncome]]&lt;6000,"Medium",IF(HR_Data[[#This Row],[MonthlyIncome]]&lt;10000,"High","Very High")))</f>
        <v>Low</v>
      </c>
      <c r="AL6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3" t="str">
        <f>IF(HR_Data[[#This Row],[TotalWorkingYears]]&lt;=5,"Junior",IF(HR_Data[[#This Row],[TotalWorkingYears]]&lt;=15,"Mid-Level","Senior"))</f>
        <v>Mid-Level</v>
      </c>
      <c r="AN63" s="11" t="str">
        <f>IF(HR_Data[[#This Row],[PerformanceRating]]=3,"Standard","Excellent")</f>
        <v>Standard</v>
      </c>
      <c r="AO63" s="11" t="str">
        <f>IF(HR_Data[[#This Row],[JobSatisfaction]]&lt;=2,"Low","High")</f>
        <v>High</v>
      </c>
      <c r="AP63" s="11" t="str">
        <f>IF(AND(HR_Data[[#This Row],[OverTime]]="Yes",HR_Data[[#This Row],[JobSatisfaction]]&lt;=2,HR_Data[[#This Row],[YearsAtCompany]]&lt;=2),"High Risk","Normal")</f>
        <v>Normal</v>
      </c>
    </row>
    <row r="64" spans="1:42" x14ac:dyDescent="0.25">
      <c r="A64" s="6">
        <v>50</v>
      </c>
      <c r="B64" s="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s="11" t="str">
        <f>IF(HR_Data[[#This Row],[Age]]&lt;=25,"18-25",IF(HR_Data[[#This Row],[Age]]&lt;=35,"26-35",IF(HR_Data[[#This Row],[Age]]&lt;=45,"36-45",IF(HR_Data[[#This Row],[Age]]&lt;=55,"46-55","56+"))))</f>
        <v>46-55</v>
      </c>
      <c r="AK64" s="11" t="str">
        <f>IF(HR_Data[[#This Row],[MonthlyIncome]]&lt;3000,"Low",IF(HR_Data[[#This Row],[MonthlyIncome]]&lt;6000,"Medium",IF(HR_Data[[#This Row],[MonthlyIncome]]&lt;10000,"High","Very High")))</f>
        <v>Very High</v>
      </c>
      <c r="AL64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64" t="str">
        <f>IF(HR_Data[[#This Row],[TotalWorkingYears]]&lt;=5,"Junior",IF(HR_Data[[#This Row],[TotalWorkingYears]]&lt;=15,"Mid-Level","Senior"))</f>
        <v>Senior</v>
      </c>
      <c r="AN64" s="11" t="str">
        <f>IF(HR_Data[[#This Row],[PerformanceRating]]=3,"Standard","Excellent")</f>
        <v>Standard</v>
      </c>
      <c r="AO64" s="11" t="str">
        <f>IF(HR_Data[[#This Row],[JobSatisfaction]]&lt;=2,"Low","High")</f>
        <v>High</v>
      </c>
      <c r="AP64" s="11" t="str">
        <f>IF(AND(HR_Data[[#This Row],[OverTime]]="Yes",HR_Data[[#This Row],[JobSatisfaction]]&lt;=2,HR_Data[[#This Row],[YearsAtCompany]]&lt;=2),"High Risk","Normal")</f>
        <v>Normal</v>
      </c>
    </row>
    <row r="65" spans="1:42" x14ac:dyDescent="0.25">
      <c r="A65" s="6">
        <v>59</v>
      </c>
      <c r="B65" s="4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s="11" t="str">
        <f>IF(HR_Data[[#This Row],[Age]]&lt;=25,"18-25",IF(HR_Data[[#This Row],[Age]]&lt;=35,"26-35",IF(HR_Data[[#This Row],[Age]]&lt;=45,"36-45",IF(HR_Data[[#This Row],[Age]]&lt;=55,"46-55","56+"))))</f>
        <v>56+</v>
      </c>
      <c r="AK65" s="11" t="str">
        <f>IF(HR_Data[[#This Row],[MonthlyIncome]]&lt;3000,"Low",IF(HR_Data[[#This Row],[MonthlyIncome]]&lt;6000,"Medium",IF(HR_Data[[#This Row],[MonthlyIncome]]&lt;10000,"High","Very High")))</f>
        <v>High</v>
      </c>
      <c r="AL6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65" t="str">
        <f>IF(HR_Data[[#This Row],[TotalWorkingYears]]&lt;=5,"Junior",IF(HR_Data[[#This Row],[TotalWorkingYears]]&lt;=15,"Mid-Level","Senior"))</f>
        <v>Senior</v>
      </c>
      <c r="AN65" s="11" t="str">
        <f>IF(HR_Data[[#This Row],[PerformanceRating]]=3,"Standard","Excellent")</f>
        <v>Standard</v>
      </c>
      <c r="AO65" s="11" t="str">
        <f>IF(HR_Data[[#This Row],[JobSatisfaction]]&lt;=2,"Low","High")</f>
        <v>Low</v>
      </c>
      <c r="AP65" s="11" t="str">
        <f>IF(AND(HR_Data[[#This Row],[OverTime]]="Yes",HR_Data[[#This Row],[JobSatisfaction]]&lt;=2,HR_Data[[#This Row],[YearsAtCompany]]&lt;=2),"High Risk","Normal")</f>
        <v>Normal</v>
      </c>
    </row>
    <row r="66" spans="1:42" x14ac:dyDescent="0.25">
      <c r="A66" s="6">
        <v>36</v>
      </c>
      <c r="B66" s="4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s="11" t="str">
        <f>IF(HR_Data[[#This Row],[Age]]&lt;=25,"18-25",IF(HR_Data[[#This Row],[Age]]&lt;=35,"26-35",IF(HR_Data[[#This Row],[Age]]&lt;=45,"36-45",IF(HR_Data[[#This Row],[Age]]&lt;=55,"46-55","56+"))))</f>
        <v>36-45</v>
      </c>
      <c r="AK66" s="11" t="str">
        <f>IF(HR_Data[[#This Row],[MonthlyIncome]]&lt;3000,"Low",IF(HR_Data[[#This Row],[MonthlyIncome]]&lt;6000,"Medium",IF(HR_Data[[#This Row],[MonthlyIncome]]&lt;10000,"High","Very High")))</f>
        <v>Very High</v>
      </c>
      <c r="AL6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66" t="str">
        <f>IF(HR_Data[[#This Row],[TotalWorkingYears]]&lt;=5,"Junior",IF(HR_Data[[#This Row],[TotalWorkingYears]]&lt;=15,"Mid-Level","Senior"))</f>
        <v>Senior</v>
      </c>
      <c r="AN66" s="11" t="str">
        <f>IF(HR_Data[[#This Row],[PerformanceRating]]=3,"Standard","Excellent")</f>
        <v>Standard</v>
      </c>
      <c r="AO66" s="11" t="str">
        <f>IF(HR_Data[[#This Row],[JobSatisfaction]]&lt;=2,"Low","High")</f>
        <v>High</v>
      </c>
      <c r="AP66" s="11" t="str">
        <f>IF(AND(HR_Data[[#This Row],[OverTime]]="Yes",HR_Data[[#This Row],[JobSatisfaction]]&lt;=2,HR_Data[[#This Row],[YearsAtCompany]]&lt;=2),"High Risk","Normal")</f>
        <v>Normal</v>
      </c>
    </row>
    <row r="67" spans="1:42" x14ac:dyDescent="0.25">
      <c r="A67" s="6">
        <v>55</v>
      </c>
      <c r="B67" s="4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s="11" t="str">
        <f>IF(HR_Data[[#This Row],[Age]]&lt;=25,"18-25",IF(HR_Data[[#This Row],[Age]]&lt;=35,"26-35",IF(HR_Data[[#This Row],[Age]]&lt;=45,"36-45",IF(HR_Data[[#This Row],[Age]]&lt;=55,"46-55","56+"))))</f>
        <v>46-55</v>
      </c>
      <c r="AK67" s="11" t="str">
        <f>IF(HR_Data[[#This Row],[MonthlyIncome]]&lt;3000,"Low",IF(HR_Data[[#This Row],[MonthlyIncome]]&lt;6000,"Medium",IF(HR_Data[[#This Row],[MonthlyIncome]]&lt;10000,"High","Very High")))</f>
        <v>Very High</v>
      </c>
      <c r="AL6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7" t="str">
        <f>IF(HR_Data[[#This Row],[TotalWorkingYears]]&lt;=5,"Junior",IF(HR_Data[[#This Row],[TotalWorkingYears]]&lt;=15,"Mid-Level","Senior"))</f>
        <v>Senior</v>
      </c>
      <c r="AN67" s="11" t="str">
        <f>IF(HR_Data[[#This Row],[PerformanceRating]]=3,"Standard","Excellent")</f>
        <v>Standard</v>
      </c>
      <c r="AO67" s="11" t="str">
        <f>IF(HR_Data[[#This Row],[JobSatisfaction]]&lt;=2,"Low","High")</f>
        <v>High</v>
      </c>
      <c r="AP67" s="11" t="str">
        <f>IF(AND(HR_Data[[#This Row],[OverTime]]="Yes",HR_Data[[#This Row],[JobSatisfaction]]&lt;=2,HR_Data[[#This Row],[YearsAtCompany]]&lt;=2),"High Risk","Normal")</f>
        <v>Normal</v>
      </c>
    </row>
    <row r="68" spans="1:42" x14ac:dyDescent="0.25">
      <c r="A68" s="6">
        <v>36</v>
      </c>
      <c r="B68" s="4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s="11" t="str">
        <f>IF(HR_Data[[#This Row],[Age]]&lt;=25,"18-25",IF(HR_Data[[#This Row],[Age]]&lt;=35,"26-35",IF(HR_Data[[#This Row],[Age]]&lt;=45,"36-45",IF(HR_Data[[#This Row],[Age]]&lt;=55,"46-55","56+"))))</f>
        <v>36-45</v>
      </c>
      <c r="AK68" s="11" t="str">
        <f>IF(HR_Data[[#This Row],[MonthlyIncome]]&lt;3000,"Low",IF(HR_Data[[#This Row],[MonthlyIncome]]&lt;6000,"Medium",IF(HR_Data[[#This Row],[MonthlyIncome]]&lt;10000,"High","Very High")))</f>
        <v>High</v>
      </c>
      <c r="AL6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8" t="str">
        <f>IF(HR_Data[[#This Row],[TotalWorkingYears]]&lt;=5,"Junior",IF(HR_Data[[#This Row],[TotalWorkingYears]]&lt;=15,"Mid-Level","Senior"))</f>
        <v>Mid-Level</v>
      </c>
      <c r="AN68" s="11" t="str">
        <f>IF(HR_Data[[#This Row],[PerformanceRating]]=3,"Standard","Excellent")</f>
        <v>Standard</v>
      </c>
      <c r="AO68" s="11" t="str">
        <f>IF(HR_Data[[#This Row],[JobSatisfaction]]&lt;=2,"Low","High")</f>
        <v>Low</v>
      </c>
      <c r="AP68" s="11" t="str">
        <f>IF(AND(HR_Data[[#This Row],[OverTime]]="Yes",HR_Data[[#This Row],[JobSatisfaction]]&lt;=2,HR_Data[[#This Row],[YearsAtCompany]]&lt;=2),"High Risk","Normal")</f>
        <v>Normal</v>
      </c>
    </row>
    <row r="69" spans="1:42" x14ac:dyDescent="0.25">
      <c r="A69" s="6">
        <v>45</v>
      </c>
      <c r="B69" s="4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s="11" t="str">
        <f>IF(HR_Data[[#This Row],[Age]]&lt;=25,"18-25",IF(HR_Data[[#This Row],[Age]]&lt;=35,"26-35",IF(HR_Data[[#This Row],[Age]]&lt;=45,"36-45",IF(HR_Data[[#This Row],[Age]]&lt;=55,"46-55","56+"))))</f>
        <v>36-45</v>
      </c>
      <c r="AK69" s="11" t="str">
        <f>IF(HR_Data[[#This Row],[MonthlyIncome]]&lt;3000,"Low",IF(HR_Data[[#This Row],[MonthlyIncome]]&lt;6000,"Medium",IF(HR_Data[[#This Row],[MonthlyIncome]]&lt;10000,"High","Very High")))</f>
        <v>High</v>
      </c>
      <c r="AL6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9" t="str">
        <f>IF(HR_Data[[#This Row],[TotalWorkingYears]]&lt;=5,"Junior",IF(HR_Data[[#This Row],[TotalWorkingYears]]&lt;=15,"Mid-Level","Senior"))</f>
        <v>Senior</v>
      </c>
      <c r="AN69" s="11" t="str">
        <f>IF(HR_Data[[#This Row],[PerformanceRating]]=3,"Standard","Excellent")</f>
        <v>Standard</v>
      </c>
      <c r="AO69" s="11" t="str">
        <f>IF(HR_Data[[#This Row],[JobSatisfaction]]&lt;=2,"Low","High")</f>
        <v>Low</v>
      </c>
      <c r="AP69" s="11" t="str">
        <f>IF(AND(HR_Data[[#This Row],[OverTime]]="Yes",HR_Data[[#This Row],[JobSatisfaction]]&lt;=2,HR_Data[[#This Row],[YearsAtCompany]]&lt;=2),"High Risk","Normal")</f>
        <v>Normal</v>
      </c>
    </row>
    <row r="70" spans="1:42" x14ac:dyDescent="0.25">
      <c r="A70" s="6">
        <v>35</v>
      </c>
      <c r="B70" s="4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s="11" t="str">
        <f>IF(HR_Data[[#This Row],[Age]]&lt;=25,"18-25",IF(HR_Data[[#This Row],[Age]]&lt;=35,"26-35",IF(HR_Data[[#This Row],[Age]]&lt;=45,"36-45",IF(HR_Data[[#This Row],[Age]]&lt;=55,"46-55","56+"))))</f>
        <v>26-35</v>
      </c>
      <c r="AK70" s="11" t="str">
        <f>IF(HR_Data[[#This Row],[MonthlyIncome]]&lt;3000,"Low",IF(HR_Data[[#This Row],[MonthlyIncome]]&lt;6000,"Medium",IF(HR_Data[[#This Row],[MonthlyIncome]]&lt;10000,"High","Very High")))</f>
        <v>Low</v>
      </c>
      <c r="AL7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0" t="str">
        <f>IF(HR_Data[[#This Row],[TotalWorkingYears]]&lt;=5,"Junior",IF(HR_Data[[#This Row],[TotalWorkingYears]]&lt;=15,"Mid-Level","Senior"))</f>
        <v>Junior</v>
      </c>
      <c r="AN70" s="11" t="str">
        <f>IF(HR_Data[[#This Row],[PerformanceRating]]=3,"Standard","Excellent")</f>
        <v>Standard</v>
      </c>
      <c r="AO70" s="11" t="str">
        <f>IF(HR_Data[[#This Row],[JobSatisfaction]]&lt;=2,"Low","High")</f>
        <v>Low</v>
      </c>
      <c r="AP70" s="11" t="str">
        <f>IF(AND(HR_Data[[#This Row],[OverTime]]="Yes",HR_Data[[#This Row],[JobSatisfaction]]&lt;=2,HR_Data[[#This Row],[YearsAtCompany]]&lt;=2),"High Risk","Normal")</f>
        <v>Normal</v>
      </c>
    </row>
    <row r="71" spans="1:42" x14ac:dyDescent="0.25">
      <c r="A71" s="6">
        <v>36</v>
      </c>
      <c r="B71" s="4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s="11" t="str">
        <f>IF(HR_Data[[#This Row],[Age]]&lt;=25,"18-25",IF(HR_Data[[#This Row],[Age]]&lt;=35,"26-35",IF(HR_Data[[#This Row],[Age]]&lt;=45,"36-45",IF(HR_Data[[#This Row],[Age]]&lt;=55,"46-55","56+"))))</f>
        <v>36-45</v>
      </c>
      <c r="AK71" s="11" t="str">
        <f>IF(HR_Data[[#This Row],[MonthlyIncome]]&lt;3000,"Low",IF(HR_Data[[#This Row],[MonthlyIncome]]&lt;6000,"Medium",IF(HR_Data[[#This Row],[MonthlyIncome]]&lt;10000,"High","Very High")))</f>
        <v>Medium</v>
      </c>
      <c r="AL7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1" t="str">
        <f>IF(HR_Data[[#This Row],[TotalWorkingYears]]&lt;=5,"Junior",IF(HR_Data[[#This Row],[TotalWorkingYears]]&lt;=15,"Mid-Level","Senior"))</f>
        <v>Junior</v>
      </c>
      <c r="AN71" s="11" t="str">
        <f>IF(HR_Data[[#This Row],[PerformanceRating]]=3,"Standard","Excellent")</f>
        <v>Standard</v>
      </c>
      <c r="AO71" s="11" t="str">
        <f>IF(HR_Data[[#This Row],[JobSatisfaction]]&lt;=2,"Low","High")</f>
        <v>High</v>
      </c>
      <c r="AP71" s="11" t="str">
        <f>IF(AND(HR_Data[[#This Row],[OverTime]]="Yes",HR_Data[[#This Row],[JobSatisfaction]]&lt;=2,HR_Data[[#This Row],[YearsAtCompany]]&lt;=2),"High Risk","Normal")</f>
        <v>Normal</v>
      </c>
    </row>
    <row r="72" spans="1:42" x14ac:dyDescent="0.25">
      <c r="A72" s="6">
        <v>59</v>
      </c>
      <c r="B72" s="4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s="11" t="str">
        <f>IF(HR_Data[[#This Row],[Age]]&lt;=25,"18-25",IF(HR_Data[[#This Row],[Age]]&lt;=35,"26-35",IF(HR_Data[[#This Row],[Age]]&lt;=45,"36-45",IF(HR_Data[[#This Row],[Age]]&lt;=55,"46-55","56+"))))</f>
        <v>56+</v>
      </c>
      <c r="AK72" s="11" t="str">
        <f>IF(HR_Data[[#This Row],[MonthlyIncome]]&lt;3000,"Low",IF(HR_Data[[#This Row],[MonthlyIncome]]&lt;6000,"Medium",IF(HR_Data[[#This Row],[MonthlyIncome]]&lt;10000,"High","Very High")))</f>
        <v>Medium</v>
      </c>
      <c r="AL7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2" t="str">
        <f>IF(HR_Data[[#This Row],[TotalWorkingYears]]&lt;=5,"Junior",IF(HR_Data[[#This Row],[TotalWorkingYears]]&lt;=15,"Mid-Level","Senior"))</f>
        <v>Senior</v>
      </c>
      <c r="AN72" s="11" t="str">
        <f>IF(HR_Data[[#This Row],[PerformanceRating]]=3,"Standard","Excellent")</f>
        <v>Standard</v>
      </c>
      <c r="AO72" s="11" t="str">
        <f>IF(HR_Data[[#This Row],[JobSatisfaction]]&lt;=2,"Low","High")</f>
        <v>High</v>
      </c>
      <c r="AP72" s="11" t="str">
        <f>IF(AND(HR_Data[[#This Row],[OverTime]]="Yes",HR_Data[[#This Row],[JobSatisfaction]]&lt;=2,HR_Data[[#This Row],[YearsAtCompany]]&lt;=2),"High Risk","Normal")</f>
        <v>Normal</v>
      </c>
    </row>
    <row r="73" spans="1:42" x14ac:dyDescent="0.25">
      <c r="A73" s="6">
        <v>29</v>
      </c>
      <c r="B73" s="4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s="11" t="str">
        <f>IF(HR_Data[[#This Row],[Age]]&lt;=25,"18-25",IF(HR_Data[[#This Row],[Age]]&lt;=35,"26-35",IF(HR_Data[[#This Row],[Age]]&lt;=45,"36-45",IF(HR_Data[[#This Row],[Age]]&lt;=55,"46-55","56+"))))</f>
        <v>26-35</v>
      </c>
      <c r="AK73" s="11" t="str">
        <f>IF(HR_Data[[#This Row],[MonthlyIncome]]&lt;3000,"Low",IF(HR_Data[[#This Row],[MonthlyIncome]]&lt;6000,"Medium",IF(HR_Data[[#This Row],[MonthlyIncome]]&lt;10000,"High","Very High")))</f>
        <v>Low</v>
      </c>
      <c r="AL7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3" t="str">
        <f>IF(HR_Data[[#This Row],[TotalWorkingYears]]&lt;=5,"Junior",IF(HR_Data[[#This Row],[TotalWorkingYears]]&lt;=15,"Mid-Level","Senior"))</f>
        <v>Mid-Level</v>
      </c>
      <c r="AN73" s="11" t="str">
        <f>IF(HR_Data[[#This Row],[PerformanceRating]]=3,"Standard","Excellent")</f>
        <v>Excellent</v>
      </c>
      <c r="AO73" s="11" t="str">
        <f>IF(HR_Data[[#This Row],[JobSatisfaction]]&lt;=2,"Low","High")</f>
        <v>Low</v>
      </c>
      <c r="AP73" s="11" t="str">
        <f>IF(AND(HR_Data[[#This Row],[OverTime]]="Yes",HR_Data[[#This Row],[JobSatisfaction]]&lt;=2,HR_Data[[#This Row],[YearsAtCompany]]&lt;=2),"High Risk","Normal")</f>
        <v>Normal</v>
      </c>
    </row>
    <row r="74" spans="1:42" x14ac:dyDescent="0.25">
      <c r="A74" s="6">
        <v>31</v>
      </c>
      <c r="B74" s="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s="11" t="str">
        <f>IF(HR_Data[[#This Row],[Age]]&lt;=25,"18-25",IF(HR_Data[[#This Row],[Age]]&lt;=35,"26-35",IF(HR_Data[[#This Row],[Age]]&lt;=45,"36-45",IF(HR_Data[[#This Row],[Age]]&lt;=55,"46-55","56+"))))</f>
        <v>26-35</v>
      </c>
      <c r="AK74" s="11" t="str">
        <f>IF(HR_Data[[#This Row],[MonthlyIncome]]&lt;3000,"Low",IF(HR_Data[[#This Row],[MonthlyIncome]]&lt;6000,"Medium",IF(HR_Data[[#This Row],[MonthlyIncome]]&lt;10000,"High","Very High")))</f>
        <v>Low</v>
      </c>
      <c r="AL7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4" t="str">
        <f>IF(HR_Data[[#This Row],[TotalWorkingYears]]&lt;=5,"Junior",IF(HR_Data[[#This Row],[TotalWorkingYears]]&lt;=15,"Mid-Level","Senior"))</f>
        <v>Junior</v>
      </c>
      <c r="AN74" s="11" t="str">
        <f>IF(HR_Data[[#This Row],[PerformanceRating]]=3,"Standard","Excellent")</f>
        <v>Standard</v>
      </c>
      <c r="AO74" s="11" t="str">
        <f>IF(HR_Data[[#This Row],[JobSatisfaction]]&lt;=2,"Low","High")</f>
        <v>Low</v>
      </c>
      <c r="AP74" s="11" t="str">
        <f>IF(AND(HR_Data[[#This Row],[OverTime]]="Yes",HR_Data[[#This Row],[JobSatisfaction]]&lt;=2,HR_Data[[#This Row],[YearsAtCompany]]&lt;=2),"High Risk","Normal")</f>
        <v>Normal</v>
      </c>
    </row>
    <row r="75" spans="1:42" x14ac:dyDescent="0.25">
      <c r="A75" s="6">
        <v>32</v>
      </c>
      <c r="B75" s="4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s="11" t="str">
        <f>IF(HR_Data[[#This Row],[Age]]&lt;=25,"18-25",IF(HR_Data[[#This Row],[Age]]&lt;=35,"26-35",IF(HR_Data[[#This Row],[Age]]&lt;=45,"36-45",IF(HR_Data[[#This Row],[Age]]&lt;=55,"46-55","56+"))))</f>
        <v>26-35</v>
      </c>
      <c r="AK75" s="11" t="str">
        <f>IF(HR_Data[[#This Row],[MonthlyIncome]]&lt;3000,"Low",IF(HR_Data[[#This Row],[MonthlyIncome]]&lt;6000,"Medium",IF(HR_Data[[#This Row],[MonthlyIncome]]&lt;10000,"High","Very High")))</f>
        <v>High</v>
      </c>
      <c r="AL7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5" t="str">
        <f>IF(HR_Data[[#This Row],[TotalWorkingYears]]&lt;=5,"Junior",IF(HR_Data[[#This Row],[TotalWorkingYears]]&lt;=15,"Mid-Level","Senior"))</f>
        <v>Mid-Level</v>
      </c>
      <c r="AN75" s="11" t="str">
        <f>IF(HR_Data[[#This Row],[PerformanceRating]]=3,"Standard","Excellent")</f>
        <v>Standard</v>
      </c>
      <c r="AO75" s="11" t="str">
        <f>IF(HR_Data[[#This Row],[JobSatisfaction]]&lt;=2,"Low","High")</f>
        <v>Low</v>
      </c>
      <c r="AP75" s="11" t="str">
        <f>IF(AND(HR_Data[[#This Row],[OverTime]]="Yes",HR_Data[[#This Row],[JobSatisfaction]]&lt;=2,HR_Data[[#This Row],[YearsAtCompany]]&lt;=2),"High Risk","Normal")</f>
        <v>Normal</v>
      </c>
    </row>
    <row r="76" spans="1:42" x14ac:dyDescent="0.25">
      <c r="A76" s="6">
        <v>36</v>
      </c>
      <c r="B76" s="4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s="11" t="str">
        <f>IF(HR_Data[[#This Row],[Age]]&lt;=25,"18-25",IF(HR_Data[[#This Row],[Age]]&lt;=35,"26-35",IF(HR_Data[[#This Row],[Age]]&lt;=45,"36-45",IF(HR_Data[[#This Row],[Age]]&lt;=55,"46-55","56+"))))</f>
        <v>36-45</v>
      </c>
      <c r="AK76" s="11" t="str">
        <f>IF(HR_Data[[#This Row],[MonthlyIncome]]&lt;3000,"Low",IF(HR_Data[[#This Row],[MonthlyIncome]]&lt;6000,"Medium",IF(HR_Data[[#This Row],[MonthlyIncome]]&lt;10000,"High","Very High")))</f>
        <v>Medium</v>
      </c>
      <c r="AL7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6" t="str">
        <f>IF(HR_Data[[#This Row],[TotalWorkingYears]]&lt;=5,"Junior",IF(HR_Data[[#This Row],[TotalWorkingYears]]&lt;=15,"Mid-Level","Senior"))</f>
        <v>Junior</v>
      </c>
      <c r="AN76" s="11" t="str">
        <f>IF(HR_Data[[#This Row],[PerformanceRating]]=3,"Standard","Excellent")</f>
        <v>Standard</v>
      </c>
      <c r="AO76" s="11" t="str">
        <f>IF(HR_Data[[#This Row],[JobSatisfaction]]&lt;=2,"Low","High")</f>
        <v>High</v>
      </c>
      <c r="AP76" s="11" t="str">
        <f>IF(AND(HR_Data[[#This Row],[OverTime]]="Yes",HR_Data[[#This Row],[JobSatisfaction]]&lt;=2,HR_Data[[#This Row],[YearsAtCompany]]&lt;=2),"High Risk","Normal")</f>
        <v>Normal</v>
      </c>
    </row>
    <row r="77" spans="1:42" x14ac:dyDescent="0.25">
      <c r="A77" s="6">
        <v>31</v>
      </c>
      <c r="B77" s="4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s="11" t="str">
        <f>IF(HR_Data[[#This Row],[Age]]&lt;=25,"18-25",IF(HR_Data[[#This Row],[Age]]&lt;=35,"26-35",IF(HR_Data[[#This Row],[Age]]&lt;=45,"36-45",IF(HR_Data[[#This Row],[Age]]&lt;=55,"46-55","56+"))))</f>
        <v>26-35</v>
      </c>
      <c r="AK77" s="11" t="str">
        <f>IF(HR_Data[[#This Row],[MonthlyIncome]]&lt;3000,"Low",IF(HR_Data[[#This Row],[MonthlyIncome]]&lt;6000,"Medium",IF(HR_Data[[#This Row],[MonthlyIncome]]&lt;10000,"High","Very High")))</f>
        <v>Medium</v>
      </c>
      <c r="AL77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77" t="str">
        <f>IF(HR_Data[[#This Row],[TotalWorkingYears]]&lt;=5,"Junior",IF(HR_Data[[#This Row],[TotalWorkingYears]]&lt;=15,"Mid-Level","Senior"))</f>
        <v>Mid-Level</v>
      </c>
      <c r="AN77" s="11" t="str">
        <f>IF(HR_Data[[#This Row],[PerformanceRating]]=3,"Standard","Excellent")</f>
        <v>Excellent</v>
      </c>
      <c r="AO77" s="11" t="str">
        <f>IF(HR_Data[[#This Row],[JobSatisfaction]]&lt;=2,"Low","High")</f>
        <v>High</v>
      </c>
      <c r="AP77" s="11" t="str">
        <f>IF(AND(HR_Data[[#This Row],[OverTime]]="Yes",HR_Data[[#This Row],[JobSatisfaction]]&lt;=2,HR_Data[[#This Row],[YearsAtCompany]]&lt;=2),"High Risk","Normal")</f>
        <v>Normal</v>
      </c>
    </row>
    <row r="78" spans="1:42" x14ac:dyDescent="0.25">
      <c r="A78" s="6">
        <v>35</v>
      </c>
      <c r="B78" s="4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s="11" t="str">
        <f>IF(HR_Data[[#This Row],[Age]]&lt;=25,"18-25",IF(HR_Data[[#This Row],[Age]]&lt;=35,"26-35",IF(HR_Data[[#This Row],[Age]]&lt;=45,"36-45",IF(HR_Data[[#This Row],[Age]]&lt;=55,"46-55","56+"))))</f>
        <v>26-35</v>
      </c>
      <c r="AK78" s="11" t="str">
        <f>IF(HR_Data[[#This Row],[MonthlyIncome]]&lt;3000,"Low",IF(HR_Data[[#This Row],[MonthlyIncome]]&lt;6000,"Medium",IF(HR_Data[[#This Row],[MonthlyIncome]]&lt;10000,"High","Very High")))</f>
        <v>Medium</v>
      </c>
      <c r="AL7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78" t="str">
        <f>IF(HR_Data[[#This Row],[TotalWorkingYears]]&lt;=5,"Junior",IF(HR_Data[[#This Row],[TotalWorkingYears]]&lt;=15,"Mid-Level","Senior"))</f>
        <v>Senior</v>
      </c>
      <c r="AN78" s="11" t="str">
        <f>IF(HR_Data[[#This Row],[PerformanceRating]]=3,"Standard","Excellent")</f>
        <v>Standard</v>
      </c>
      <c r="AO78" s="11" t="str">
        <f>IF(HR_Data[[#This Row],[JobSatisfaction]]&lt;=2,"Low","High")</f>
        <v>Low</v>
      </c>
      <c r="AP78" s="11" t="str">
        <f>IF(AND(HR_Data[[#This Row],[OverTime]]="Yes",HR_Data[[#This Row],[JobSatisfaction]]&lt;=2,HR_Data[[#This Row],[YearsAtCompany]]&lt;=2),"High Risk","Normal")</f>
        <v>Normal</v>
      </c>
    </row>
    <row r="79" spans="1:42" x14ac:dyDescent="0.25">
      <c r="A79" s="6">
        <v>45</v>
      </c>
      <c r="B79" s="4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s="11" t="str">
        <f>IF(HR_Data[[#This Row],[Age]]&lt;=25,"18-25",IF(HR_Data[[#This Row],[Age]]&lt;=35,"26-35",IF(HR_Data[[#This Row],[Age]]&lt;=45,"36-45",IF(HR_Data[[#This Row],[Age]]&lt;=55,"46-55","56+"))))</f>
        <v>36-45</v>
      </c>
      <c r="AK79" s="11" t="str">
        <f>IF(HR_Data[[#This Row],[MonthlyIncome]]&lt;3000,"Low",IF(HR_Data[[#This Row],[MonthlyIncome]]&lt;6000,"Medium",IF(HR_Data[[#This Row],[MonthlyIncome]]&lt;10000,"High","Very High")))</f>
        <v>Very High</v>
      </c>
      <c r="AL7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9" t="str">
        <f>IF(HR_Data[[#This Row],[TotalWorkingYears]]&lt;=5,"Junior",IF(HR_Data[[#This Row],[TotalWorkingYears]]&lt;=15,"Mid-Level","Senior"))</f>
        <v>Senior</v>
      </c>
      <c r="AN79" s="11" t="str">
        <f>IF(HR_Data[[#This Row],[PerformanceRating]]=3,"Standard","Excellent")</f>
        <v>Standard</v>
      </c>
      <c r="AO79" s="11" t="str">
        <f>IF(HR_Data[[#This Row],[JobSatisfaction]]&lt;=2,"Low","High")</f>
        <v>Low</v>
      </c>
      <c r="AP79" s="11" t="str">
        <f>IF(AND(HR_Data[[#This Row],[OverTime]]="Yes",HR_Data[[#This Row],[JobSatisfaction]]&lt;=2,HR_Data[[#This Row],[YearsAtCompany]]&lt;=2),"High Risk","Normal")</f>
        <v>High Risk</v>
      </c>
    </row>
    <row r="80" spans="1:42" x14ac:dyDescent="0.25">
      <c r="A80" s="6">
        <v>37</v>
      </c>
      <c r="B80" s="4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s="11" t="str">
        <f>IF(HR_Data[[#This Row],[Age]]&lt;=25,"18-25",IF(HR_Data[[#This Row],[Age]]&lt;=35,"26-35",IF(HR_Data[[#This Row],[Age]]&lt;=45,"36-45",IF(HR_Data[[#This Row],[Age]]&lt;=55,"46-55","56+"))))</f>
        <v>36-45</v>
      </c>
      <c r="AK80" s="11" t="str">
        <f>IF(HR_Data[[#This Row],[MonthlyIncome]]&lt;3000,"Low",IF(HR_Data[[#This Row],[MonthlyIncome]]&lt;6000,"Medium",IF(HR_Data[[#This Row],[MonthlyIncome]]&lt;10000,"High","Very High")))</f>
        <v>Very High</v>
      </c>
      <c r="AL8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0" t="str">
        <f>IF(HR_Data[[#This Row],[TotalWorkingYears]]&lt;=5,"Junior",IF(HR_Data[[#This Row],[TotalWorkingYears]]&lt;=15,"Mid-Level","Senior"))</f>
        <v>Senior</v>
      </c>
      <c r="AN80" s="11" t="str">
        <f>IF(HR_Data[[#This Row],[PerformanceRating]]=3,"Standard","Excellent")</f>
        <v>Standard</v>
      </c>
      <c r="AO80" s="11" t="str">
        <f>IF(HR_Data[[#This Row],[JobSatisfaction]]&lt;=2,"Low","High")</f>
        <v>High</v>
      </c>
      <c r="AP80" s="11" t="str">
        <f>IF(AND(HR_Data[[#This Row],[OverTime]]="Yes",HR_Data[[#This Row],[JobSatisfaction]]&lt;=2,HR_Data[[#This Row],[YearsAtCompany]]&lt;=2),"High Risk","Normal")</f>
        <v>Normal</v>
      </c>
    </row>
    <row r="81" spans="1:42" x14ac:dyDescent="0.25">
      <c r="A81" s="6">
        <v>46</v>
      </c>
      <c r="B81" s="4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s="11" t="str">
        <f>IF(HR_Data[[#This Row],[Age]]&lt;=25,"18-25",IF(HR_Data[[#This Row],[Age]]&lt;=35,"26-35",IF(HR_Data[[#This Row],[Age]]&lt;=45,"36-45",IF(HR_Data[[#This Row],[Age]]&lt;=55,"46-55","56+"))))</f>
        <v>46-55</v>
      </c>
      <c r="AK81" s="11" t="str">
        <f>IF(HR_Data[[#This Row],[MonthlyIncome]]&lt;3000,"Low",IF(HR_Data[[#This Row],[MonthlyIncome]]&lt;6000,"Medium",IF(HR_Data[[#This Row],[MonthlyIncome]]&lt;10000,"High","Very High")))</f>
        <v>Medium</v>
      </c>
      <c r="AL8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1" t="str">
        <f>IF(HR_Data[[#This Row],[TotalWorkingYears]]&lt;=5,"Junior",IF(HR_Data[[#This Row],[TotalWorkingYears]]&lt;=15,"Mid-Level","Senior"))</f>
        <v>Senior</v>
      </c>
      <c r="AN81" s="11" t="str">
        <f>IF(HR_Data[[#This Row],[PerformanceRating]]=3,"Standard","Excellent")</f>
        <v>Excellent</v>
      </c>
      <c r="AO81" s="11" t="str">
        <f>IF(HR_Data[[#This Row],[JobSatisfaction]]&lt;=2,"Low","High")</f>
        <v>Low</v>
      </c>
      <c r="AP81" s="11" t="str">
        <f>IF(AND(HR_Data[[#This Row],[OverTime]]="Yes",HR_Data[[#This Row],[JobSatisfaction]]&lt;=2,HR_Data[[#This Row],[YearsAtCompany]]&lt;=2),"High Risk","Normal")</f>
        <v>Normal</v>
      </c>
    </row>
    <row r="82" spans="1:42" x14ac:dyDescent="0.25">
      <c r="A82" s="6">
        <v>30</v>
      </c>
      <c r="B82" s="4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s="11" t="str">
        <f>IF(HR_Data[[#This Row],[Age]]&lt;=25,"18-25",IF(HR_Data[[#This Row],[Age]]&lt;=35,"26-35",IF(HR_Data[[#This Row],[Age]]&lt;=45,"36-45",IF(HR_Data[[#This Row],[Age]]&lt;=55,"46-55","56+"))))</f>
        <v>26-35</v>
      </c>
      <c r="AK82" s="11" t="str">
        <f>IF(HR_Data[[#This Row],[MonthlyIncome]]&lt;3000,"Low",IF(HR_Data[[#This Row],[MonthlyIncome]]&lt;6000,"Medium",IF(HR_Data[[#This Row],[MonthlyIncome]]&lt;10000,"High","Very High")))</f>
        <v>Medium</v>
      </c>
      <c r="AL8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2" t="str">
        <f>IF(HR_Data[[#This Row],[TotalWorkingYears]]&lt;=5,"Junior",IF(HR_Data[[#This Row],[TotalWorkingYears]]&lt;=15,"Mid-Level","Senior"))</f>
        <v>Mid-Level</v>
      </c>
      <c r="AN82" s="11" t="str">
        <f>IF(HR_Data[[#This Row],[PerformanceRating]]=3,"Standard","Excellent")</f>
        <v>Standard</v>
      </c>
      <c r="AO82" s="11" t="str">
        <f>IF(HR_Data[[#This Row],[JobSatisfaction]]&lt;=2,"Low","High")</f>
        <v>High</v>
      </c>
      <c r="AP82" s="11" t="str">
        <f>IF(AND(HR_Data[[#This Row],[OverTime]]="Yes",HR_Data[[#This Row],[JobSatisfaction]]&lt;=2,HR_Data[[#This Row],[YearsAtCompany]]&lt;=2),"High Risk","Normal")</f>
        <v>Normal</v>
      </c>
    </row>
    <row r="83" spans="1:42" x14ac:dyDescent="0.25">
      <c r="A83" s="6">
        <v>35</v>
      </c>
      <c r="B83" s="4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s="11" t="str">
        <f>IF(HR_Data[[#This Row],[Age]]&lt;=25,"18-25",IF(HR_Data[[#This Row],[Age]]&lt;=35,"26-35",IF(HR_Data[[#This Row],[Age]]&lt;=45,"36-45",IF(HR_Data[[#This Row],[Age]]&lt;=55,"46-55","56+"))))</f>
        <v>26-35</v>
      </c>
      <c r="AK83" s="11" t="str">
        <f>IF(HR_Data[[#This Row],[MonthlyIncome]]&lt;3000,"Low",IF(HR_Data[[#This Row],[MonthlyIncome]]&lt;6000,"Medium",IF(HR_Data[[#This Row],[MonthlyIncome]]&lt;10000,"High","Very High")))</f>
        <v>Low</v>
      </c>
      <c r="AL8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3" t="str">
        <f>IF(HR_Data[[#This Row],[TotalWorkingYears]]&lt;=5,"Junior",IF(HR_Data[[#This Row],[TotalWorkingYears]]&lt;=15,"Mid-Level","Senior"))</f>
        <v>Mid-Level</v>
      </c>
      <c r="AN83" s="11" t="str">
        <f>IF(HR_Data[[#This Row],[PerformanceRating]]=3,"Standard","Excellent")</f>
        <v>Standard</v>
      </c>
      <c r="AO83" s="11" t="str">
        <f>IF(HR_Data[[#This Row],[JobSatisfaction]]&lt;=2,"Low","High")</f>
        <v>High</v>
      </c>
      <c r="AP83" s="11" t="str">
        <f>IF(AND(HR_Data[[#This Row],[OverTime]]="Yes",HR_Data[[#This Row],[JobSatisfaction]]&lt;=2,HR_Data[[#This Row],[YearsAtCompany]]&lt;=2),"High Risk","Normal")</f>
        <v>Normal</v>
      </c>
    </row>
    <row r="84" spans="1:42" x14ac:dyDescent="0.25">
      <c r="A84" s="6">
        <v>55</v>
      </c>
      <c r="B84" s="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s="11" t="str">
        <f>IF(HR_Data[[#This Row],[Age]]&lt;=25,"18-25",IF(HR_Data[[#This Row],[Age]]&lt;=35,"26-35",IF(HR_Data[[#This Row],[Age]]&lt;=45,"36-45",IF(HR_Data[[#This Row],[Age]]&lt;=55,"46-55","56+"))))</f>
        <v>46-55</v>
      </c>
      <c r="AK84" s="11" t="str">
        <f>IF(HR_Data[[#This Row],[MonthlyIncome]]&lt;3000,"Low",IF(HR_Data[[#This Row],[MonthlyIncome]]&lt;6000,"Medium",IF(HR_Data[[#This Row],[MonthlyIncome]]&lt;10000,"High","Very High")))</f>
        <v>Very High</v>
      </c>
      <c r="AL8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4" t="str">
        <f>IF(HR_Data[[#This Row],[TotalWorkingYears]]&lt;=5,"Junior",IF(HR_Data[[#This Row],[TotalWorkingYears]]&lt;=15,"Mid-Level","Senior"))</f>
        <v>Senior</v>
      </c>
      <c r="AN84" s="11" t="str">
        <f>IF(HR_Data[[#This Row],[PerformanceRating]]=3,"Standard","Excellent")</f>
        <v>Standard</v>
      </c>
      <c r="AO84" s="11" t="str">
        <f>IF(HR_Data[[#This Row],[JobSatisfaction]]&lt;=2,"Low","High")</f>
        <v>High</v>
      </c>
      <c r="AP84" s="11" t="str">
        <f>IF(AND(HR_Data[[#This Row],[OverTime]]="Yes",HR_Data[[#This Row],[JobSatisfaction]]&lt;=2,HR_Data[[#This Row],[YearsAtCompany]]&lt;=2),"High Risk","Normal")</f>
        <v>Normal</v>
      </c>
    </row>
    <row r="85" spans="1:42" x14ac:dyDescent="0.25">
      <c r="A85" s="6">
        <v>38</v>
      </c>
      <c r="B85" s="4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s="11" t="str">
        <f>IF(HR_Data[[#This Row],[Age]]&lt;=25,"18-25",IF(HR_Data[[#This Row],[Age]]&lt;=35,"26-35",IF(HR_Data[[#This Row],[Age]]&lt;=45,"36-45",IF(HR_Data[[#This Row],[Age]]&lt;=55,"46-55","56+"))))</f>
        <v>36-45</v>
      </c>
      <c r="AK85" s="11" t="str">
        <f>IF(HR_Data[[#This Row],[MonthlyIncome]]&lt;3000,"Low",IF(HR_Data[[#This Row],[MonthlyIncome]]&lt;6000,"Medium",IF(HR_Data[[#This Row],[MonthlyIncome]]&lt;10000,"High","Very High")))</f>
        <v>Medium</v>
      </c>
      <c r="AL85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85" t="str">
        <f>IF(HR_Data[[#This Row],[TotalWorkingYears]]&lt;=5,"Junior",IF(HR_Data[[#This Row],[TotalWorkingYears]]&lt;=15,"Mid-Level","Senior"))</f>
        <v>Senior</v>
      </c>
      <c r="AN85" s="11" t="str">
        <f>IF(HR_Data[[#This Row],[PerformanceRating]]=3,"Standard","Excellent")</f>
        <v>Standard</v>
      </c>
      <c r="AO85" s="11" t="str">
        <f>IF(HR_Data[[#This Row],[JobSatisfaction]]&lt;=2,"Low","High")</f>
        <v>High</v>
      </c>
      <c r="AP85" s="11" t="str">
        <f>IF(AND(HR_Data[[#This Row],[OverTime]]="Yes",HR_Data[[#This Row],[JobSatisfaction]]&lt;=2,HR_Data[[#This Row],[YearsAtCompany]]&lt;=2),"High Risk","Normal")</f>
        <v>Normal</v>
      </c>
    </row>
    <row r="86" spans="1:42" x14ac:dyDescent="0.25">
      <c r="A86" s="6">
        <v>34</v>
      </c>
      <c r="B86" s="4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s="11" t="str">
        <f>IF(HR_Data[[#This Row],[Age]]&lt;=25,"18-25",IF(HR_Data[[#This Row],[Age]]&lt;=35,"26-35",IF(HR_Data[[#This Row],[Age]]&lt;=45,"36-45",IF(HR_Data[[#This Row],[Age]]&lt;=55,"46-55","56+"))))</f>
        <v>26-35</v>
      </c>
      <c r="AK86" s="11" t="str">
        <f>IF(HR_Data[[#This Row],[MonthlyIncome]]&lt;3000,"Low",IF(HR_Data[[#This Row],[MonthlyIncome]]&lt;6000,"Medium",IF(HR_Data[[#This Row],[MonthlyIncome]]&lt;10000,"High","Very High")))</f>
        <v>Medium</v>
      </c>
      <c r="AL8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6" t="str">
        <f>IF(HR_Data[[#This Row],[TotalWorkingYears]]&lt;=5,"Junior",IF(HR_Data[[#This Row],[TotalWorkingYears]]&lt;=15,"Mid-Level","Senior"))</f>
        <v>Junior</v>
      </c>
      <c r="AN86" s="11" t="str">
        <f>IF(HR_Data[[#This Row],[PerformanceRating]]=3,"Standard","Excellent")</f>
        <v>Standard</v>
      </c>
      <c r="AO86" s="11" t="str">
        <f>IF(HR_Data[[#This Row],[JobSatisfaction]]&lt;=2,"Low","High")</f>
        <v>Low</v>
      </c>
      <c r="AP86" s="11" t="str">
        <f>IF(AND(HR_Data[[#This Row],[OverTime]]="Yes",HR_Data[[#This Row],[JobSatisfaction]]&lt;=2,HR_Data[[#This Row],[YearsAtCompany]]&lt;=2),"High Risk","Normal")</f>
        <v>Normal</v>
      </c>
    </row>
    <row r="87" spans="1:42" x14ac:dyDescent="0.25">
      <c r="A87" s="6">
        <v>56</v>
      </c>
      <c r="B87" s="4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s="11" t="str">
        <f>IF(HR_Data[[#This Row],[Age]]&lt;=25,"18-25",IF(HR_Data[[#This Row],[Age]]&lt;=35,"26-35",IF(HR_Data[[#This Row],[Age]]&lt;=45,"36-45",IF(HR_Data[[#This Row],[Age]]&lt;=55,"46-55","56+"))))</f>
        <v>56+</v>
      </c>
      <c r="AK87" s="11" t="str">
        <f>IF(HR_Data[[#This Row],[MonthlyIncome]]&lt;3000,"Low",IF(HR_Data[[#This Row],[MonthlyIncome]]&lt;6000,"Medium",IF(HR_Data[[#This Row],[MonthlyIncome]]&lt;10000,"High","Very High")))</f>
        <v>High</v>
      </c>
      <c r="AL8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7" t="str">
        <f>IF(HR_Data[[#This Row],[TotalWorkingYears]]&lt;=5,"Junior",IF(HR_Data[[#This Row],[TotalWorkingYears]]&lt;=15,"Mid-Level","Senior"))</f>
        <v>Senior</v>
      </c>
      <c r="AN87" s="11" t="str">
        <f>IF(HR_Data[[#This Row],[PerformanceRating]]=3,"Standard","Excellent")</f>
        <v>Standard</v>
      </c>
      <c r="AO87" s="11" t="str">
        <f>IF(HR_Data[[#This Row],[JobSatisfaction]]&lt;=2,"Low","High")</f>
        <v>High</v>
      </c>
      <c r="AP87" s="11" t="str">
        <f>IF(AND(HR_Data[[#This Row],[OverTime]]="Yes",HR_Data[[#This Row],[JobSatisfaction]]&lt;=2,HR_Data[[#This Row],[YearsAtCompany]]&lt;=2),"High Risk","Normal")</f>
        <v>Normal</v>
      </c>
    </row>
    <row r="88" spans="1:42" x14ac:dyDescent="0.25">
      <c r="A88" s="6">
        <v>23</v>
      </c>
      <c r="B88" s="4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s="11" t="str">
        <f>IF(HR_Data[[#This Row],[Age]]&lt;=25,"18-25",IF(HR_Data[[#This Row],[Age]]&lt;=35,"26-35",IF(HR_Data[[#This Row],[Age]]&lt;=45,"36-45",IF(HR_Data[[#This Row],[Age]]&lt;=55,"46-55","56+"))))</f>
        <v>18-25</v>
      </c>
      <c r="AK88" s="11" t="str">
        <f>IF(HR_Data[[#This Row],[MonthlyIncome]]&lt;3000,"Low",IF(HR_Data[[#This Row],[MonthlyIncome]]&lt;6000,"Medium",IF(HR_Data[[#This Row],[MonthlyIncome]]&lt;10000,"High","Very High")))</f>
        <v>Low</v>
      </c>
      <c r="AL8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8" t="str">
        <f>IF(HR_Data[[#This Row],[TotalWorkingYears]]&lt;=5,"Junior",IF(HR_Data[[#This Row],[TotalWorkingYears]]&lt;=15,"Mid-Level","Senior"))</f>
        <v>Junior</v>
      </c>
      <c r="AN88" s="11" t="str">
        <f>IF(HR_Data[[#This Row],[PerformanceRating]]=3,"Standard","Excellent")</f>
        <v>Standard</v>
      </c>
      <c r="AO88" s="11" t="str">
        <f>IF(HR_Data[[#This Row],[JobSatisfaction]]&lt;=2,"Low","High")</f>
        <v>Low</v>
      </c>
      <c r="AP88" s="11" t="str">
        <f>IF(AND(HR_Data[[#This Row],[OverTime]]="Yes",HR_Data[[#This Row],[JobSatisfaction]]&lt;=2,HR_Data[[#This Row],[YearsAtCompany]]&lt;=2),"High Risk","Normal")</f>
        <v>Normal</v>
      </c>
    </row>
    <row r="89" spans="1:42" x14ac:dyDescent="0.25">
      <c r="A89" s="6">
        <v>51</v>
      </c>
      <c r="B89" s="4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s="11" t="str">
        <f>IF(HR_Data[[#This Row],[Age]]&lt;=25,"18-25",IF(HR_Data[[#This Row],[Age]]&lt;=35,"26-35",IF(HR_Data[[#This Row],[Age]]&lt;=45,"36-45",IF(HR_Data[[#This Row],[Age]]&lt;=55,"46-55","56+"))))</f>
        <v>46-55</v>
      </c>
      <c r="AK89" s="11" t="str">
        <f>IF(HR_Data[[#This Row],[MonthlyIncome]]&lt;3000,"Low",IF(HR_Data[[#This Row],[MonthlyIncome]]&lt;6000,"Medium",IF(HR_Data[[#This Row],[MonthlyIncome]]&lt;10000,"High","Very High")))</f>
        <v>Low</v>
      </c>
      <c r="AL8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9" t="str">
        <f>IF(HR_Data[[#This Row],[TotalWorkingYears]]&lt;=5,"Junior",IF(HR_Data[[#This Row],[TotalWorkingYears]]&lt;=15,"Mid-Level","Senior"))</f>
        <v>Mid-Level</v>
      </c>
      <c r="AN89" s="11" t="str">
        <f>IF(HR_Data[[#This Row],[PerformanceRating]]=3,"Standard","Excellent")</f>
        <v>Excellent</v>
      </c>
      <c r="AO89" s="11" t="str">
        <f>IF(HR_Data[[#This Row],[JobSatisfaction]]&lt;=2,"Low","High")</f>
        <v>High</v>
      </c>
      <c r="AP89" s="11" t="str">
        <f>IF(AND(HR_Data[[#This Row],[OverTime]]="Yes",HR_Data[[#This Row],[JobSatisfaction]]&lt;=2,HR_Data[[#This Row],[YearsAtCompany]]&lt;=2),"High Risk","Normal")</f>
        <v>Normal</v>
      </c>
    </row>
    <row r="90" spans="1:42" x14ac:dyDescent="0.25">
      <c r="A90" s="6">
        <v>30</v>
      </c>
      <c r="B90" s="4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s="11" t="str">
        <f>IF(HR_Data[[#This Row],[Age]]&lt;=25,"18-25",IF(HR_Data[[#This Row],[Age]]&lt;=35,"26-35",IF(HR_Data[[#This Row],[Age]]&lt;=45,"36-45",IF(HR_Data[[#This Row],[Age]]&lt;=55,"46-55","56+"))))</f>
        <v>26-35</v>
      </c>
      <c r="AK90" s="11" t="str">
        <f>IF(HR_Data[[#This Row],[MonthlyIncome]]&lt;3000,"Low",IF(HR_Data[[#This Row],[MonthlyIncome]]&lt;6000,"Medium",IF(HR_Data[[#This Row],[MonthlyIncome]]&lt;10000,"High","Very High")))</f>
        <v>Medium</v>
      </c>
      <c r="AL9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90" t="str">
        <f>IF(HR_Data[[#This Row],[TotalWorkingYears]]&lt;=5,"Junior",IF(HR_Data[[#This Row],[TotalWorkingYears]]&lt;=15,"Mid-Level","Senior"))</f>
        <v>Mid-Level</v>
      </c>
      <c r="AN90" s="11" t="str">
        <f>IF(HR_Data[[#This Row],[PerformanceRating]]=3,"Standard","Excellent")</f>
        <v>Standard</v>
      </c>
      <c r="AO90" s="11" t="str">
        <f>IF(HR_Data[[#This Row],[JobSatisfaction]]&lt;=2,"Low","High")</f>
        <v>High</v>
      </c>
      <c r="AP90" s="11" t="str">
        <f>IF(AND(HR_Data[[#This Row],[OverTime]]="Yes",HR_Data[[#This Row],[JobSatisfaction]]&lt;=2,HR_Data[[#This Row],[YearsAtCompany]]&lt;=2),"High Risk","Normal")</f>
        <v>Normal</v>
      </c>
    </row>
    <row r="91" spans="1:42" x14ac:dyDescent="0.25">
      <c r="A91" s="6">
        <v>46</v>
      </c>
      <c r="B91" s="4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s="11" t="str">
        <f>IF(HR_Data[[#This Row],[Age]]&lt;=25,"18-25",IF(HR_Data[[#This Row],[Age]]&lt;=35,"26-35",IF(HR_Data[[#This Row],[Age]]&lt;=45,"36-45",IF(HR_Data[[#This Row],[Age]]&lt;=55,"46-55","56+"))))</f>
        <v>46-55</v>
      </c>
      <c r="AK91" s="11" t="str">
        <f>IF(HR_Data[[#This Row],[MonthlyIncome]]&lt;3000,"Low",IF(HR_Data[[#This Row],[MonthlyIncome]]&lt;6000,"Medium",IF(HR_Data[[#This Row],[MonthlyIncome]]&lt;10000,"High","Very High")))</f>
        <v>High</v>
      </c>
      <c r="AL9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1" t="str">
        <f>IF(HR_Data[[#This Row],[TotalWorkingYears]]&lt;=5,"Junior",IF(HR_Data[[#This Row],[TotalWorkingYears]]&lt;=15,"Mid-Level","Senior"))</f>
        <v>Mid-Level</v>
      </c>
      <c r="AN91" s="11" t="str">
        <f>IF(HR_Data[[#This Row],[PerformanceRating]]=3,"Standard","Excellent")</f>
        <v>Standard</v>
      </c>
      <c r="AO91" s="11" t="str">
        <f>IF(HR_Data[[#This Row],[JobSatisfaction]]&lt;=2,"Low","High")</f>
        <v>High</v>
      </c>
      <c r="AP91" s="11" t="str">
        <f>IF(AND(HR_Data[[#This Row],[OverTime]]="Yes",HR_Data[[#This Row],[JobSatisfaction]]&lt;=2,HR_Data[[#This Row],[YearsAtCompany]]&lt;=2),"High Risk","Normal")</f>
        <v>Normal</v>
      </c>
    </row>
    <row r="92" spans="1:42" x14ac:dyDescent="0.25">
      <c r="A92" s="6">
        <v>40</v>
      </c>
      <c r="B92" s="4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s="11" t="str">
        <f>IF(HR_Data[[#This Row],[Age]]&lt;=25,"18-25",IF(HR_Data[[#This Row],[Age]]&lt;=35,"26-35",IF(HR_Data[[#This Row],[Age]]&lt;=45,"36-45",IF(HR_Data[[#This Row],[Age]]&lt;=55,"46-55","56+"))))</f>
        <v>36-45</v>
      </c>
      <c r="AK92" s="11" t="str">
        <f>IF(HR_Data[[#This Row],[MonthlyIncome]]&lt;3000,"Low",IF(HR_Data[[#This Row],[MonthlyIncome]]&lt;6000,"Medium",IF(HR_Data[[#This Row],[MonthlyIncome]]&lt;10000,"High","Very High")))</f>
        <v>Very High</v>
      </c>
      <c r="AL92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2" t="str">
        <f>IF(HR_Data[[#This Row],[TotalWorkingYears]]&lt;=5,"Junior",IF(HR_Data[[#This Row],[TotalWorkingYears]]&lt;=15,"Mid-Level","Senior"))</f>
        <v>Senior</v>
      </c>
      <c r="AN92" s="11" t="str">
        <f>IF(HR_Data[[#This Row],[PerformanceRating]]=3,"Standard","Excellent")</f>
        <v>Excellent</v>
      </c>
      <c r="AO92" s="11" t="str">
        <f>IF(HR_Data[[#This Row],[JobSatisfaction]]&lt;=2,"Low","High")</f>
        <v>Low</v>
      </c>
      <c r="AP92" s="11" t="str">
        <f>IF(AND(HR_Data[[#This Row],[OverTime]]="Yes",HR_Data[[#This Row],[JobSatisfaction]]&lt;=2,HR_Data[[#This Row],[YearsAtCompany]]&lt;=2),"High Risk","Normal")</f>
        <v>Normal</v>
      </c>
    </row>
    <row r="93" spans="1:42" x14ac:dyDescent="0.25">
      <c r="A93" s="6">
        <v>51</v>
      </c>
      <c r="B93" s="4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s="11" t="str">
        <f>IF(HR_Data[[#This Row],[Age]]&lt;=25,"18-25",IF(HR_Data[[#This Row],[Age]]&lt;=35,"26-35",IF(HR_Data[[#This Row],[Age]]&lt;=45,"36-45",IF(HR_Data[[#This Row],[Age]]&lt;=55,"46-55","56+"))))</f>
        <v>46-55</v>
      </c>
      <c r="AK93" s="11" t="str">
        <f>IF(HR_Data[[#This Row],[MonthlyIncome]]&lt;3000,"Low",IF(HR_Data[[#This Row],[MonthlyIncome]]&lt;6000,"Medium",IF(HR_Data[[#This Row],[MonthlyIncome]]&lt;10000,"High","Very High")))</f>
        <v>Medium</v>
      </c>
      <c r="AL9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3" t="str">
        <f>IF(HR_Data[[#This Row],[TotalWorkingYears]]&lt;=5,"Junior",IF(HR_Data[[#This Row],[TotalWorkingYears]]&lt;=15,"Mid-Level","Senior"))</f>
        <v>Mid-Level</v>
      </c>
      <c r="AN93" s="11" t="str">
        <f>IF(HR_Data[[#This Row],[PerformanceRating]]=3,"Standard","Excellent")</f>
        <v>Excellent</v>
      </c>
      <c r="AO93" s="11" t="str">
        <f>IF(HR_Data[[#This Row],[JobSatisfaction]]&lt;=2,"Low","High")</f>
        <v>High</v>
      </c>
      <c r="AP93" s="11" t="str">
        <f>IF(AND(HR_Data[[#This Row],[OverTime]]="Yes",HR_Data[[#This Row],[JobSatisfaction]]&lt;=2,HR_Data[[#This Row],[YearsAtCompany]]&lt;=2),"High Risk","Normal")</f>
        <v>Normal</v>
      </c>
    </row>
    <row r="94" spans="1:42" x14ac:dyDescent="0.25">
      <c r="A94" s="6">
        <v>30</v>
      </c>
      <c r="B94" s="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s="11" t="str">
        <f>IF(HR_Data[[#This Row],[Age]]&lt;=25,"18-25",IF(HR_Data[[#This Row],[Age]]&lt;=35,"26-35",IF(HR_Data[[#This Row],[Age]]&lt;=45,"36-45",IF(HR_Data[[#This Row],[Age]]&lt;=55,"46-55","56+"))))</f>
        <v>26-35</v>
      </c>
      <c r="AK94" s="11" t="str">
        <f>IF(HR_Data[[#This Row],[MonthlyIncome]]&lt;3000,"Low",IF(HR_Data[[#This Row],[MonthlyIncome]]&lt;6000,"Medium",IF(HR_Data[[#This Row],[MonthlyIncome]]&lt;10000,"High","Very High")))</f>
        <v>Medium</v>
      </c>
      <c r="AL94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94" t="str">
        <f>IF(HR_Data[[#This Row],[TotalWorkingYears]]&lt;=5,"Junior",IF(HR_Data[[#This Row],[TotalWorkingYears]]&lt;=15,"Mid-Level","Senior"))</f>
        <v>Mid-Level</v>
      </c>
      <c r="AN94" s="11" t="str">
        <f>IF(HR_Data[[#This Row],[PerformanceRating]]=3,"Standard","Excellent")</f>
        <v>Standard</v>
      </c>
      <c r="AO94" s="11" t="str">
        <f>IF(HR_Data[[#This Row],[JobSatisfaction]]&lt;=2,"Low","High")</f>
        <v>Low</v>
      </c>
      <c r="AP94" s="11" t="str">
        <f>IF(AND(HR_Data[[#This Row],[OverTime]]="Yes",HR_Data[[#This Row],[JobSatisfaction]]&lt;=2,HR_Data[[#This Row],[YearsAtCompany]]&lt;=2),"High Risk","Normal")</f>
        <v>Normal</v>
      </c>
    </row>
    <row r="95" spans="1:42" x14ac:dyDescent="0.25">
      <c r="A95" s="6">
        <v>46</v>
      </c>
      <c r="B95" s="4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s="11" t="str">
        <f>IF(HR_Data[[#This Row],[Age]]&lt;=25,"18-25",IF(HR_Data[[#This Row],[Age]]&lt;=35,"26-35",IF(HR_Data[[#This Row],[Age]]&lt;=45,"36-45",IF(HR_Data[[#This Row],[Age]]&lt;=55,"46-55","56+"))))</f>
        <v>46-55</v>
      </c>
      <c r="AK95" s="11" t="str">
        <f>IF(HR_Data[[#This Row],[MonthlyIncome]]&lt;3000,"Low",IF(HR_Data[[#This Row],[MonthlyIncome]]&lt;6000,"Medium",IF(HR_Data[[#This Row],[MonthlyIncome]]&lt;10000,"High","Very High")))</f>
        <v>Very High</v>
      </c>
      <c r="AL9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5" t="str">
        <f>IF(HR_Data[[#This Row],[TotalWorkingYears]]&lt;=5,"Junior",IF(HR_Data[[#This Row],[TotalWorkingYears]]&lt;=15,"Mid-Level","Senior"))</f>
        <v>Senior</v>
      </c>
      <c r="AN95" s="11" t="str">
        <f>IF(HR_Data[[#This Row],[PerformanceRating]]=3,"Standard","Excellent")</f>
        <v>Standard</v>
      </c>
      <c r="AO95" s="11" t="str">
        <f>IF(HR_Data[[#This Row],[JobSatisfaction]]&lt;=2,"Low","High")</f>
        <v>Low</v>
      </c>
      <c r="AP95" s="11" t="str">
        <f>IF(AND(HR_Data[[#This Row],[OverTime]]="Yes",HR_Data[[#This Row],[JobSatisfaction]]&lt;=2,HR_Data[[#This Row],[YearsAtCompany]]&lt;=2),"High Risk","Normal")</f>
        <v>Normal</v>
      </c>
    </row>
    <row r="96" spans="1:42" x14ac:dyDescent="0.25">
      <c r="A96" s="6">
        <v>32</v>
      </c>
      <c r="B96" s="4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s="11" t="str">
        <f>IF(HR_Data[[#This Row],[Age]]&lt;=25,"18-25",IF(HR_Data[[#This Row],[Age]]&lt;=35,"26-35",IF(HR_Data[[#This Row],[Age]]&lt;=45,"36-45",IF(HR_Data[[#This Row],[Age]]&lt;=55,"46-55","56+"))))</f>
        <v>26-35</v>
      </c>
      <c r="AK96" s="11" t="str">
        <f>IF(HR_Data[[#This Row],[MonthlyIncome]]&lt;3000,"Low",IF(HR_Data[[#This Row],[MonthlyIncome]]&lt;6000,"Medium",IF(HR_Data[[#This Row],[MonthlyIncome]]&lt;10000,"High","Very High")))</f>
        <v>Medium</v>
      </c>
      <c r="AL96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96" t="str">
        <f>IF(HR_Data[[#This Row],[TotalWorkingYears]]&lt;=5,"Junior",IF(HR_Data[[#This Row],[TotalWorkingYears]]&lt;=15,"Mid-Level","Senior"))</f>
        <v>Mid-Level</v>
      </c>
      <c r="AN96" s="11" t="str">
        <f>IF(HR_Data[[#This Row],[PerformanceRating]]=3,"Standard","Excellent")</f>
        <v>Standard</v>
      </c>
      <c r="AO96" s="11" t="str">
        <f>IF(HR_Data[[#This Row],[JobSatisfaction]]&lt;=2,"Low","High")</f>
        <v>High</v>
      </c>
      <c r="AP96" s="11" t="str">
        <f>IF(AND(HR_Data[[#This Row],[OverTime]]="Yes",HR_Data[[#This Row],[JobSatisfaction]]&lt;=2,HR_Data[[#This Row],[YearsAtCompany]]&lt;=2),"High Risk","Normal")</f>
        <v>Normal</v>
      </c>
    </row>
    <row r="97" spans="1:42" x14ac:dyDescent="0.25">
      <c r="A97" s="6">
        <v>54</v>
      </c>
      <c r="B97" s="4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s="11" t="str">
        <f>IF(HR_Data[[#This Row],[Age]]&lt;=25,"18-25",IF(HR_Data[[#This Row],[Age]]&lt;=35,"26-35",IF(HR_Data[[#This Row],[Age]]&lt;=45,"36-45",IF(HR_Data[[#This Row],[Age]]&lt;=55,"46-55","56+"))))</f>
        <v>46-55</v>
      </c>
      <c r="AK97" s="11" t="str">
        <f>IF(HR_Data[[#This Row],[MonthlyIncome]]&lt;3000,"Low",IF(HR_Data[[#This Row],[MonthlyIncome]]&lt;6000,"Medium",IF(HR_Data[[#This Row],[MonthlyIncome]]&lt;10000,"High","Very High")))</f>
        <v>Very High</v>
      </c>
      <c r="AL9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7" t="str">
        <f>IF(HR_Data[[#This Row],[TotalWorkingYears]]&lt;=5,"Junior",IF(HR_Data[[#This Row],[TotalWorkingYears]]&lt;=15,"Mid-Level","Senior"))</f>
        <v>Senior</v>
      </c>
      <c r="AN97" s="11" t="str">
        <f>IF(HR_Data[[#This Row],[PerformanceRating]]=3,"Standard","Excellent")</f>
        <v>Standard</v>
      </c>
      <c r="AO97" s="11" t="str">
        <f>IF(HR_Data[[#This Row],[JobSatisfaction]]&lt;=2,"Low","High")</f>
        <v>High</v>
      </c>
      <c r="AP97" s="11" t="str">
        <f>IF(AND(HR_Data[[#This Row],[OverTime]]="Yes",HR_Data[[#This Row],[JobSatisfaction]]&lt;=2,HR_Data[[#This Row],[YearsAtCompany]]&lt;=2),"High Risk","Normal")</f>
        <v>Normal</v>
      </c>
    </row>
    <row r="98" spans="1:42" x14ac:dyDescent="0.25">
      <c r="A98" s="6">
        <v>24</v>
      </c>
      <c r="B98" s="4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s="11" t="str">
        <f>IF(HR_Data[[#This Row],[Age]]&lt;=25,"18-25",IF(HR_Data[[#This Row],[Age]]&lt;=35,"26-35",IF(HR_Data[[#This Row],[Age]]&lt;=45,"36-45",IF(HR_Data[[#This Row],[Age]]&lt;=55,"46-55","56+"))))</f>
        <v>18-25</v>
      </c>
      <c r="AK98" s="11" t="str">
        <f>IF(HR_Data[[#This Row],[MonthlyIncome]]&lt;3000,"Low",IF(HR_Data[[#This Row],[MonthlyIncome]]&lt;6000,"Medium",IF(HR_Data[[#This Row],[MonthlyIncome]]&lt;10000,"High","Very High")))</f>
        <v>Medium</v>
      </c>
      <c r="AL9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8" t="str">
        <f>IF(HR_Data[[#This Row],[TotalWorkingYears]]&lt;=5,"Junior",IF(HR_Data[[#This Row],[TotalWorkingYears]]&lt;=15,"Mid-Level","Senior"))</f>
        <v>Junior</v>
      </c>
      <c r="AN98" s="11" t="str">
        <f>IF(HR_Data[[#This Row],[PerformanceRating]]=3,"Standard","Excellent")</f>
        <v>Excellent</v>
      </c>
      <c r="AO98" s="11" t="str">
        <f>IF(HR_Data[[#This Row],[JobSatisfaction]]&lt;=2,"Low","High")</f>
        <v>High</v>
      </c>
      <c r="AP98" s="11" t="str">
        <f>IF(AND(HR_Data[[#This Row],[OverTime]]="Yes",HR_Data[[#This Row],[JobSatisfaction]]&lt;=2,HR_Data[[#This Row],[YearsAtCompany]]&lt;=2),"High Risk","Normal")</f>
        <v>Normal</v>
      </c>
    </row>
    <row r="99" spans="1:42" x14ac:dyDescent="0.25">
      <c r="A99" s="6">
        <v>28</v>
      </c>
      <c r="B99" s="4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s="11" t="str">
        <f>IF(HR_Data[[#This Row],[Age]]&lt;=25,"18-25",IF(HR_Data[[#This Row],[Age]]&lt;=35,"26-35",IF(HR_Data[[#This Row],[Age]]&lt;=45,"36-45",IF(HR_Data[[#This Row],[Age]]&lt;=55,"46-55","56+"))))</f>
        <v>26-35</v>
      </c>
      <c r="AK99" s="11" t="str">
        <f>IF(HR_Data[[#This Row],[MonthlyIncome]]&lt;3000,"Low",IF(HR_Data[[#This Row],[MonthlyIncome]]&lt;6000,"Medium",IF(HR_Data[[#This Row],[MonthlyIncome]]&lt;10000,"High","Very High")))</f>
        <v>Medium</v>
      </c>
      <c r="AL9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9" t="str">
        <f>IF(HR_Data[[#This Row],[TotalWorkingYears]]&lt;=5,"Junior",IF(HR_Data[[#This Row],[TotalWorkingYears]]&lt;=15,"Mid-Level","Senior"))</f>
        <v>Junior</v>
      </c>
      <c r="AN99" s="11" t="str">
        <f>IF(HR_Data[[#This Row],[PerformanceRating]]=3,"Standard","Excellent")</f>
        <v>Standard</v>
      </c>
      <c r="AO99" s="11" t="str">
        <f>IF(HR_Data[[#This Row],[JobSatisfaction]]&lt;=2,"Low","High")</f>
        <v>High</v>
      </c>
      <c r="AP99" s="11" t="str">
        <f>IF(AND(HR_Data[[#This Row],[OverTime]]="Yes",HR_Data[[#This Row],[JobSatisfaction]]&lt;=2,HR_Data[[#This Row],[YearsAtCompany]]&lt;=2),"High Risk","Normal")</f>
        <v>Normal</v>
      </c>
    </row>
    <row r="100" spans="1:42" x14ac:dyDescent="0.25">
      <c r="A100" s="6">
        <v>58</v>
      </c>
      <c r="B100" s="4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s="11" t="str">
        <f>IF(HR_Data[[#This Row],[Age]]&lt;=25,"18-25",IF(HR_Data[[#This Row],[Age]]&lt;=35,"26-35",IF(HR_Data[[#This Row],[Age]]&lt;=45,"36-45",IF(HR_Data[[#This Row],[Age]]&lt;=55,"46-55","56+"))))</f>
        <v>56+</v>
      </c>
      <c r="AK100" s="11" t="str">
        <f>IF(HR_Data[[#This Row],[MonthlyIncome]]&lt;3000,"Low",IF(HR_Data[[#This Row],[MonthlyIncome]]&lt;6000,"Medium",IF(HR_Data[[#This Row],[MonthlyIncome]]&lt;10000,"High","Very High")))</f>
        <v>Very High</v>
      </c>
      <c r="AL10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00" t="str">
        <f>IF(HR_Data[[#This Row],[TotalWorkingYears]]&lt;=5,"Junior",IF(HR_Data[[#This Row],[TotalWorkingYears]]&lt;=15,"Mid-Level","Senior"))</f>
        <v>Senior</v>
      </c>
      <c r="AN100" s="11" t="str">
        <f>IF(HR_Data[[#This Row],[PerformanceRating]]=3,"Standard","Excellent")</f>
        <v>Standard</v>
      </c>
      <c r="AO100" s="11" t="str">
        <f>IF(HR_Data[[#This Row],[JobSatisfaction]]&lt;=2,"Low","High")</f>
        <v>High</v>
      </c>
      <c r="AP100" s="11" t="str">
        <f>IF(AND(HR_Data[[#This Row],[OverTime]]="Yes",HR_Data[[#This Row],[JobSatisfaction]]&lt;=2,HR_Data[[#This Row],[YearsAtCompany]]&lt;=2),"High Risk","Normal")</f>
        <v>Normal</v>
      </c>
    </row>
    <row r="101" spans="1:42" x14ac:dyDescent="0.25">
      <c r="A101" s="6">
        <v>44</v>
      </c>
      <c r="B101" s="4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s="11" t="str">
        <f>IF(HR_Data[[#This Row],[Age]]&lt;=25,"18-25",IF(HR_Data[[#This Row],[Age]]&lt;=35,"26-35",IF(HR_Data[[#This Row],[Age]]&lt;=45,"36-45",IF(HR_Data[[#This Row],[Age]]&lt;=55,"46-55","56+"))))</f>
        <v>36-45</v>
      </c>
      <c r="AK101" s="11" t="str">
        <f>IF(HR_Data[[#This Row],[MonthlyIncome]]&lt;3000,"Low",IF(HR_Data[[#This Row],[MonthlyIncome]]&lt;6000,"Medium",IF(HR_Data[[#This Row],[MonthlyIncome]]&lt;10000,"High","Very High")))</f>
        <v>Low</v>
      </c>
      <c r="AL10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1" t="str">
        <f>IF(HR_Data[[#This Row],[TotalWorkingYears]]&lt;=5,"Junior",IF(HR_Data[[#This Row],[TotalWorkingYears]]&lt;=15,"Mid-Level","Senior"))</f>
        <v>Senior</v>
      </c>
      <c r="AN101" s="11" t="str">
        <f>IF(HR_Data[[#This Row],[PerformanceRating]]=3,"Standard","Excellent")</f>
        <v>Standard</v>
      </c>
      <c r="AO101" s="11" t="str">
        <f>IF(HR_Data[[#This Row],[JobSatisfaction]]&lt;=2,"Low","High")</f>
        <v>Low</v>
      </c>
      <c r="AP101" s="11" t="str">
        <f>IF(AND(HR_Data[[#This Row],[OverTime]]="Yes",HR_Data[[#This Row],[JobSatisfaction]]&lt;=2,HR_Data[[#This Row],[YearsAtCompany]]&lt;=2),"High Risk","Normal")</f>
        <v>Normal</v>
      </c>
    </row>
    <row r="102" spans="1:42" x14ac:dyDescent="0.25">
      <c r="A102" s="6">
        <v>37</v>
      </c>
      <c r="B102" s="4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s="11" t="str">
        <f>IF(HR_Data[[#This Row],[Age]]&lt;=25,"18-25",IF(HR_Data[[#This Row],[Age]]&lt;=35,"26-35",IF(HR_Data[[#This Row],[Age]]&lt;=45,"36-45",IF(HR_Data[[#This Row],[Age]]&lt;=55,"46-55","56+"))))</f>
        <v>36-45</v>
      </c>
      <c r="AK102" s="11" t="str">
        <f>IF(HR_Data[[#This Row],[MonthlyIncome]]&lt;3000,"Low",IF(HR_Data[[#This Row],[MonthlyIncome]]&lt;6000,"Medium",IF(HR_Data[[#This Row],[MonthlyIncome]]&lt;10000,"High","Very High")))</f>
        <v>Low</v>
      </c>
      <c r="AL10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2" t="str">
        <f>IF(HR_Data[[#This Row],[TotalWorkingYears]]&lt;=5,"Junior",IF(HR_Data[[#This Row],[TotalWorkingYears]]&lt;=15,"Mid-Level","Senior"))</f>
        <v>Mid-Level</v>
      </c>
      <c r="AN102" s="11" t="str">
        <f>IF(HR_Data[[#This Row],[PerformanceRating]]=3,"Standard","Excellent")</f>
        <v>Excellent</v>
      </c>
      <c r="AO102" s="11" t="str">
        <f>IF(HR_Data[[#This Row],[JobSatisfaction]]&lt;=2,"Low","High")</f>
        <v>Low</v>
      </c>
      <c r="AP102" s="11" t="str">
        <f>IF(AND(HR_Data[[#This Row],[OverTime]]="Yes",HR_Data[[#This Row],[JobSatisfaction]]&lt;=2,HR_Data[[#This Row],[YearsAtCompany]]&lt;=2),"High Risk","Normal")</f>
        <v>Normal</v>
      </c>
    </row>
    <row r="103" spans="1:42" x14ac:dyDescent="0.25">
      <c r="A103" s="6">
        <v>32</v>
      </c>
      <c r="B103" s="4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s="11" t="str">
        <f>IF(HR_Data[[#This Row],[Age]]&lt;=25,"18-25",IF(HR_Data[[#This Row],[Age]]&lt;=35,"26-35",IF(HR_Data[[#This Row],[Age]]&lt;=45,"36-45",IF(HR_Data[[#This Row],[Age]]&lt;=55,"46-55","56+"))))</f>
        <v>26-35</v>
      </c>
      <c r="AK103" s="11" t="str">
        <f>IF(HR_Data[[#This Row],[MonthlyIncome]]&lt;3000,"Low",IF(HR_Data[[#This Row],[MonthlyIncome]]&lt;6000,"Medium",IF(HR_Data[[#This Row],[MonthlyIncome]]&lt;10000,"High","Very High")))</f>
        <v>Low</v>
      </c>
      <c r="AL10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3" t="str">
        <f>IF(HR_Data[[#This Row],[TotalWorkingYears]]&lt;=5,"Junior",IF(HR_Data[[#This Row],[TotalWorkingYears]]&lt;=15,"Mid-Level","Senior"))</f>
        <v>Junior</v>
      </c>
      <c r="AN103" s="11" t="str">
        <f>IF(HR_Data[[#This Row],[PerformanceRating]]=3,"Standard","Excellent")</f>
        <v>Standard</v>
      </c>
      <c r="AO103" s="11" t="str">
        <f>IF(HR_Data[[#This Row],[JobSatisfaction]]&lt;=2,"Low","High")</f>
        <v>Low</v>
      </c>
      <c r="AP103" s="11" t="str">
        <f>IF(AND(HR_Data[[#This Row],[OverTime]]="Yes",HR_Data[[#This Row],[JobSatisfaction]]&lt;=2,HR_Data[[#This Row],[YearsAtCompany]]&lt;=2),"High Risk","Normal")</f>
        <v>Normal</v>
      </c>
    </row>
    <row r="104" spans="1:42" x14ac:dyDescent="0.25">
      <c r="A104" s="6">
        <v>20</v>
      </c>
      <c r="B104" s="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s="11" t="str">
        <f>IF(HR_Data[[#This Row],[Age]]&lt;=25,"18-25",IF(HR_Data[[#This Row],[Age]]&lt;=35,"26-35",IF(HR_Data[[#This Row],[Age]]&lt;=45,"36-45",IF(HR_Data[[#This Row],[Age]]&lt;=55,"46-55","56+"))))</f>
        <v>18-25</v>
      </c>
      <c r="AK104" s="11" t="str">
        <f>IF(HR_Data[[#This Row],[MonthlyIncome]]&lt;3000,"Low",IF(HR_Data[[#This Row],[MonthlyIncome]]&lt;6000,"Medium",IF(HR_Data[[#This Row],[MonthlyIncome]]&lt;10000,"High","Very High")))</f>
        <v>Low</v>
      </c>
      <c r="AL10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4" t="str">
        <f>IF(HR_Data[[#This Row],[TotalWorkingYears]]&lt;=5,"Junior",IF(HR_Data[[#This Row],[TotalWorkingYears]]&lt;=15,"Mid-Level","Senior"))</f>
        <v>Junior</v>
      </c>
      <c r="AN104" s="11" t="str">
        <f>IF(HR_Data[[#This Row],[PerformanceRating]]=3,"Standard","Excellent")</f>
        <v>Standard</v>
      </c>
      <c r="AO104" s="11" t="str">
        <f>IF(HR_Data[[#This Row],[JobSatisfaction]]&lt;=2,"Low","High")</f>
        <v>High</v>
      </c>
      <c r="AP104" s="11" t="str">
        <f>IF(AND(HR_Data[[#This Row],[OverTime]]="Yes",HR_Data[[#This Row],[JobSatisfaction]]&lt;=2,HR_Data[[#This Row],[YearsAtCompany]]&lt;=2),"High Risk","Normal")</f>
        <v>Normal</v>
      </c>
    </row>
    <row r="105" spans="1:42" x14ac:dyDescent="0.25">
      <c r="A105" s="6">
        <v>34</v>
      </c>
      <c r="B105" s="4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s="11" t="str">
        <f>IF(HR_Data[[#This Row],[Age]]&lt;=25,"18-25",IF(HR_Data[[#This Row],[Age]]&lt;=35,"26-35",IF(HR_Data[[#This Row],[Age]]&lt;=45,"36-45",IF(HR_Data[[#This Row],[Age]]&lt;=55,"46-55","56+"))))</f>
        <v>26-35</v>
      </c>
      <c r="AK105" s="11" t="str">
        <f>IF(HR_Data[[#This Row],[MonthlyIncome]]&lt;3000,"Low",IF(HR_Data[[#This Row],[MonthlyIncome]]&lt;6000,"Medium",IF(HR_Data[[#This Row],[MonthlyIncome]]&lt;10000,"High","Very High")))</f>
        <v>Medium</v>
      </c>
      <c r="AL10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05" t="str">
        <f>IF(HR_Data[[#This Row],[TotalWorkingYears]]&lt;=5,"Junior",IF(HR_Data[[#This Row],[TotalWorkingYears]]&lt;=15,"Mid-Level","Senior"))</f>
        <v>Senior</v>
      </c>
      <c r="AN105" s="11" t="str">
        <f>IF(HR_Data[[#This Row],[PerformanceRating]]=3,"Standard","Excellent")</f>
        <v>Standard</v>
      </c>
      <c r="AO105" s="11" t="str">
        <f>IF(HR_Data[[#This Row],[JobSatisfaction]]&lt;=2,"Low","High")</f>
        <v>High</v>
      </c>
      <c r="AP105" s="11" t="str">
        <f>IF(AND(HR_Data[[#This Row],[OverTime]]="Yes",HR_Data[[#This Row],[JobSatisfaction]]&lt;=2,HR_Data[[#This Row],[YearsAtCompany]]&lt;=2),"High Risk","Normal")</f>
        <v>Normal</v>
      </c>
    </row>
    <row r="106" spans="1:42" x14ac:dyDescent="0.25">
      <c r="A106" s="6">
        <v>37</v>
      </c>
      <c r="B106" s="4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s="11" t="str">
        <f>IF(HR_Data[[#This Row],[Age]]&lt;=25,"18-25",IF(HR_Data[[#This Row],[Age]]&lt;=35,"26-35",IF(HR_Data[[#This Row],[Age]]&lt;=45,"36-45",IF(HR_Data[[#This Row],[Age]]&lt;=55,"46-55","56+"))))</f>
        <v>36-45</v>
      </c>
      <c r="AK106" s="11" t="str">
        <f>IF(HR_Data[[#This Row],[MonthlyIncome]]&lt;3000,"Low",IF(HR_Data[[#This Row],[MonthlyIncome]]&lt;6000,"Medium",IF(HR_Data[[#This Row],[MonthlyIncome]]&lt;10000,"High","Very High")))</f>
        <v>Medium</v>
      </c>
      <c r="AL10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6" t="str">
        <f>IF(HR_Data[[#This Row],[TotalWorkingYears]]&lt;=5,"Junior",IF(HR_Data[[#This Row],[TotalWorkingYears]]&lt;=15,"Mid-Level","Senior"))</f>
        <v>Senior</v>
      </c>
      <c r="AN106" s="11" t="str">
        <f>IF(HR_Data[[#This Row],[PerformanceRating]]=3,"Standard","Excellent")</f>
        <v>Standard</v>
      </c>
      <c r="AO106" s="11" t="str">
        <f>IF(HR_Data[[#This Row],[JobSatisfaction]]&lt;=2,"Low","High")</f>
        <v>High</v>
      </c>
      <c r="AP106" s="11" t="str">
        <f>IF(AND(HR_Data[[#This Row],[OverTime]]="Yes",HR_Data[[#This Row],[JobSatisfaction]]&lt;=2,HR_Data[[#This Row],[YearsAtCompany]]&lt;=2),"High Risk","Normal")</f>
        <v>Normal</v>
      </c>
    </row>
    <row r="107" spans="1:42" x14ac:dyDescent="0.25">
      <c r="A107" s="6">
        <v>59</v>
      </c>
      <c r="B107" s="4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s="11" t="str">
        <f>IF(HR_Data[[#This Row],[Age]]&lt;=25,"18-25",IF(HR_Data[[#This Row],[Age]]&lt;=35,"26-35",IF(HR_Data[[#This Row],[Age]]&lt;=45,"36-45",IF(HR_Data[[#This Row],[Age]]&lt;=55,"46-55","56+"))))</f>
        <v>56+</v>
      </c>
      <c r="AK107" s="11" t="str">
        <f>IF(HR_Data[[#This Row],[MonthlyIncome]]&lt;3000,"Low",IF(HR_Data[[#This Row],[MonthlyIncome]]&lt;6000,"Medium",IF(HR_Data[[#This Row],[MonthlyIncome]]&lt;10000,"High","Very High")))</f>
        <v>Very High</v>
      </c>
      <c r="AL10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7" t="str">
        <f>IF(HR_Data[[#This Row],[TotalWorkingYears]]&lt;=5,"Junior",IF(HR_Data[[#This Row],[TotalWorkingYears]]&lt;=15,"Mid-Level","Senior"))</f>
        <v>Senior</v>
      </c>
      <c r="AN107" s="11" t="str">
        <f>IF(HR_Data[[#This Row],[PerformanceRating]]=3,"Standard","Excellent")</f>
        <v>Excellent</v>
      </c>
      <c r="AO107" s="11" t="str">
        <f>IF(HR_Data[[#This Row],[JobSatisfaction]]&lt;=2,"Low","High")</f>
        <v>High</v>
      </c>
      <c r="AP107" s="11" t="str">
        <f>IF(AND(HR_Data[[#This Row],[OverTime]]="Yes",HR_Data[[#This Row],[JobSatisfaction]]&lt;=2,HR_Data[[#This Row],[YearsAtCompany]]&lt;=2),"High Risk","Normal")</f>
        <v>Normal</v>
      </c>
    </row>
    <row r="108" spans="1:42" x14ac:dyDescent="0.25">
      <c r="A108" s="6">
        <v>50</v>
      </c>
      <c r="B108" s="4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s="11" t="str">
        <f>IF(HR_Data[[#This Row],[Age]]&lt;=25,"18-25",IF(HR_Data[[#This Row],[Age]]&lt;=35,"26-35",IF(HR_Data[[#This Row],[Age]]&lt;=45,"36-45",IF(HR_Data[[#This Row],[Age]]&lt;=55,"46-55","56+"))))</f>
        <v>46-55</v>
      </c>
      <c r="AK108" s="11" t="str">
        <f>IF(HR_Data[[#This Row],[MonthlyIncome]]&lt;3000,"Low",IF(HR_Data[[#This Row],[MonthlyIncome]]&lt;6000,"Medium",IF(HR_Data[[#This Row],[MonthlyIncome]]&lt;10000,"High","Very High")))</f>
        <v>Very High</v>
      </c>
      <c r="AL10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8" t="str">
        <f>IF(HR_Data[[#This Row],[TotalWorkingYears]]&lt;=5,"Junior",IF(HR_Data[[#This Row],[TotalWorkingYears]]&lt;=15,"Mid-Level","Senior"))</f>
        <v>Senior</v>
      </c>
      <c r="AN108" s="11" t="str">
        <f>IF(HR_Data[[#This Row],[PerformanceRating]]=3,"Standard","Excellent")</f>
        <v>Standard</v>
      </c>
      <c r="AO108" s="11" t="str">
        <f>IF(HR_Data[[#This Row],[JobSatisfaction]]&lt;=2,"Low","High")</f>
        <v>Low</v>
      </c>
      <c r="AP108" s="11" t="str">
        <f>IF(AND(HR_Data[[#This Row],[OverTime]]="Yes",HR_Data[[#This Row],[JobSatisfaction]]&lt;=2,HR_Data[[#This Row],[YearsAtCompany]]&lt;=2),"High Risk","Normal")</f>
        <v>Normal</v>
      </c>
    </row>
    <row r="109" spans="1:42" x14ac:dyDescent="0.25">
      <c r="A109" s="6">
        <v>25</v>
      </c>
      <c r="B109" s="4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s="11" t="str">
        <f>IF(HR_Data[[#This Row],[Age]]&lt;=25,"18-25",IF(HR_Data[[#This Row],[Age]]&lt;=35,"26-35",IF(HR_Data[[#This Row],[Age]]&lt;=45,"36-45",IF(HR_Data[[#This Row],[Age]]&lt;=55,"46-55","56+"))))</f>
        <v>18-25</v>
      </c>
      <c r="AK109" s="11" t="str">
        <f>IF(HR_Data[[#This Row],[MonthlyIncome]]&lt;3000,"Low",IF(HR_Data[[#This Row],[MonthlyIncome]]&lt;6000,"Medium",IF(HR_Data[[#This Row],[MonthlyIncome]]&lt;10000,"High","Very High")))</f>
        <v>Medium</v>
      </c>
      <c r="AL10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9" t="str">
        <f>IF(HR_Data[[#This Row],[TotalWorkingYears]]&lt;=5,"Junior",IF(HR_Data[[#This Row],[TotalWorkingYears]]&lt;=15,"Mid-Level","Senior"))</f>
        <v>Mid-Level</v>
      </c>
      <c r="AN109" s="11" t="str">
        <f>IF(HR_Data[[#This Row],[PerformanceRating]]=3,"Standard","Excellent")</f>
        <v>Standard</v>
      </c>
      <c r="AO109" s="11" t="str">
        <f>IF(HR_Data[[#This Row],[JobSatisfaction]]&lt;=2,"Low","High")</f>
        <v>High</v>
      </c>
      <c r="AP109" s="11" t="str">
        <f>IF(AND(HR_Data[[#This Row],[OverTime]]="Yes",HR_Data[[#This Row],[JobSatisfaction]]&lt;=2,HR_Data[[#This Row],[YearsAtCompany]]&lt;=2),"High Risk","Normal")</f>
        <v>Normal</v>
      </c>
    </row>
    <row r="110" spans="1:42" x14ac:dyDescent="0.25">
      <c r="A110" s="6">
        <v>25</v>
      </c>
      <c r="B110" s="4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s="11" t="str">
        <f>IF(HR_Data[[#This Row],[Age]]&lt;=25,"18-25",IF(HR_Data[[#This Row],[Age]]&lt;=35,"26-35",IF(HR_Data[[#This Row],[Age]]&lt;=45,"36-45",IF(HR_Data[[#This Row],[Age]]&lt;=55,"46-55","56+"))))</f>
        <v>18-25</v>
      </c>
      <c r="AK110" s="11" t="str">
        <f>IF(HR_Data[[#This Row],[MonthlyIncome]]&lt;3000,"Low",IF(HR_Data[[#This Row],[MonthlyIncome]]&lt;6000,"Medium",IF(HR_Data[[#This Row],[MonthlyIncome]]&lt;10000,"High","Very High")))</f>
        <v>Low</v>
      </c>
      <c r="AL11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0" t="str">
        <f>IF(HR_Data[[#This Row],[TotalWorkingYears]]&lt;=5,"Junior",IF(HR_Data[[#This Row],[TotalWorkingYears]]&lt;=15,"Mid-Level","Senior"))</f>
        <v>Junior</v>
      </c>
      <c r="AN110" s="11" t="str">
        <f>IF(HR_Data[[#This Row],[PerformanceRating]]=3,"Standard","Excellent")</f>
        <v>Standard</v>
      </c>
      <c r="AO110" s="11" t="str">
        <f>IF(HR_Data[[#This Row],[JobSatisfaction]]&lt;=2,"Low","High")</f>
        <v>High</v>
      </c>
      <c r="AP110" s="11" t="str">
        <f>IF(AND(HR_Data[[#This Row],[OverTime]]="Yes",HR_Data[[#This Row],[JobSatisfaction]]&lt;=2,HR_Data[[#This Row],[YearsAtCompany]]&lt;=2),"High Risk","Normal")</f>
        <v>Normal</v>
      </c>
    </row>
    <row r="111" spans="1:42" x14ac:dyDescent="0.25">
      <c r="A111" s="6">
        <v>22</v>
      </c>
      <c r="B111" s="4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s="11" t="str">
        <f>IF(HR_Data[[#This Row],[Age]]&lt;=25,"18-25",IF(HR_Data[[#This Row],[Age]]&lt;=35,"26-35",IF(HR_Data[[#This Row],[Age]]&lt;=45,"36-45",IF(HR_Data[[#This Row],[Age]]&lt;=55,"46-55","56+"))))</f>
        <v>18-25</v>
      </c>
      <c r="AK111" s="11" t="str">
        <f>IF(HR_Data[[#This Row],[MonthlyIncome]]&lt;3000,"Low",IF(HR_Data[[#This Row],[MonthlyIncome]]&lt;6000,"Medium",IF(HR_Data[[#This Row],[MonthlyIncome]]&lt;10000,"High","Very High")))</f>
        <v>Low</v>
      </c>
      <c r="AL11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1" t="str">
        <f>IF(HR_Data[[#This Row],[TotalWorkingYears]]&lt;=5,"Junior",IF(HR_Data[[#This Row],[TotalWorkingYears]]&lt;=15,"Mid-Level","Senior"))</f>
        <v>Junior</v>
      </c>
      <c r="AN111" s="11" t="str">
        <f>IF(HR_Data[[#This Row],[PerformanceRating]]=3,"Standard","Excellent")</f>
        <v>Standard</v>
      </c>
      <c r="AO111" s="11" t="str">
        <f>IF(HR_Data[[#This Row],[JobSatisfaction]]&lt;=2,"Low","High")</f>
        <v>High</v>
      </c>
      <c r="AP111" s="11" t="str">
        <f>IF(AND(HR_Data[[#This Row],[OverTime]]="Yes",HR_Data[[#This Row],[JobSatisfaction]]&lt;=2,HR_Data[[#This Row],[YearsAtCompany]]&lt;=2),"High Risk","Normal")</f>
        <v>Normal</v>
      </c>
    </row>
    <row r="112" spans="1:42" x14ac:dyDescent="0.25">
      <c r="A112" s="6">
        <v>51</v>
      </c>
      <c r="B112" s="4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s="11" t="str">
        <f>IF(HR_Data[[#This Row],[Age]]&lt;=25,"18-25",IF(HR_Data[[#This Row],[Age]]&lt;=35,"26-35",IF(HR_Data[[#This Row],[Age]]&lt;=45,"36-45",IF(HR_Data[[#This Row],[Age]]&lt;=55,"46-55","56+"))))</f>
        <v>46-55</v>
      </c>
      <c r="AK112" s="11" t="str">
        <f>IF(HR_Data[[#This Row],[MonthlyIncome]]&lt;3000,"Low",IF(HR_Data[[#This Row],[MonthlyIncome]]&lt;6000,"Medium",IF(HR_Data[[#This Row],[MonthlyIncome]]&lt;10000,"High","Very High")))</f>
        <v>High</v>
      </c>
      <c r="AL11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12" t="str">
        <f>IF(HR_Data[[#This Row],[TotalWorkingYears]]&lt;=5,"Junior",IF(HR_Data[[#This Row],[TotalWorkingYears]]&lt;=15,"Mid-Level","Senior"))</f>
        <v>Senior</v>
      </c>
      <c r="AN112" s="11" t="str">
        <f>IF(HR_Data[[#This Row],[PerformanceRating]]=3,"Standard","Excellent")</f>
        <v>Excellent</v>
      </c>
      <c r="AO112" s="11" t="str">
        <f>IF(HR_Data[[#This Row],[JobSatisfaction]]&lt;=2,"Low","High")</f>
        <v>Low</v>
      </c>
      <c r="AP112" s="11" t="str">
        <f>IF(AND(HR_Data[[#This Row],[OverTime]]="Yes",HR_Data[[#This Row],[JobSatisfaction]]&lt;=2,HR_Data[[#This Row],[YearsAtCompany]]&lt;=2),"High Risk","Normal")</f>
        <v>Normal</v>
      </c>
    </row>
    <row r="113" spans="1:42" x14ac:dyDescent="0.25">
      <c r="A113" s="6">
        <v>34</v>
      </c>
      <c r="B113" s="4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s="11" t="str">
        <f>IF(HR_Data[[#This Row],[Age]]&lt;=25,"18-25",IF(HR_Data[[#This Row],[Age]]&lt;=35,"26-35",IF(HR_Data[[#This Row],[Age]]&lt;=45,"36-45",IF(HR_Data[[#This Row],[Age]]&lt;=55,"46-55","56+"))))</f>
        <v>26-35</v>
      </c>
      <c r="AK113" s="11" t="str">
        <f>IF(HR_Data[[#This Row],[MonthlyIncome]]&lt;3000,"Low",IF(HR_Data[[#This Row],[MonthlyIncome]]&lt;6000,"Medium",IF(HR_Data[[#This Row],[MonthlyIncome]]&lt;10000,"High","Very High")))</f>
        <v>High</v>
      </c>
      <c r="AL11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3" t="str">
        <f>IF(HR_Data[[#This Row],[TotalWorkingYears]]&lt;=5,"Junior",IF(HR_Data[[#This Row],[TotalWorkingYears]]&lt;=15,"Mid-Level","Senior"))</f>
        <v>Mid-Level</v>
      </c>
      <c r="AN113" s="11" t="str">
        <f>IF(HR_Data[[#This Row],[PerformanceRating]]=3,"Standard","Excellent")</f>
        <v>Excellent</v>
      </c>
      <c r="AO113" s="11" t="str">
        <f>IF(HR_Data[[#This Row],[JobSatisfaction]]&lt;=2,"Low","High")</f>
        <v>High</v>
      </c>
      <c r="AP113" s="11" t="str">
        <f>IF(AND(HR_Data[[#This Row],[OverTime]]="Yes",HR_Data[[#This Row],[JobSatisfaction]]&lt;=2,HR_Data[[#This Row],[YearsAtCompany]]&lt;=2),"High Risk","Normal")</f>
        <v>Normal</v>
      </c>
    </row>
    <row r="114" spans="1:42" x14ac:dyDescent="0.25">
      <c r="A114" s="6">
        <v>54</v>
      </c>
      <c r="B114" s="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s="11" t="str">
        <f>IF(HR_Data[[#This Row],[Age]]&lt;=25,"18-25",IF(HR_Data[[#This Row],[Age]]&lt;=35,"26-35",IF(HR_Data[[#This Row],[Age]]&lt;=45,"36-45",IF(HR_Data[[#This Row],[Age]]&lt;=55,"46-55","56+"))))</f>
        <v>46-55</v>
      </c>
      <c r="AK114" s="11" t="str">
        <f>IF(HR_Data[[#This Row],[MonthlyIncome]]&lt;3000,"Low",IF(HR_Data[[#This Row],[MonthlyIncome]]&lt;6000,"Medium",IF(HR_Data[[#This Row],[MonthlyIncome]]&lt;10000,"High","Very High")))</f>
        <v>Very High</v>
      </c>
      <c r="AL11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4" t="str">
        <f>IF(HR_Data[[#This Row],[TotalWorkingYears]]&lt;=5,"Junior",IF(HR_Data[[#This Row],[TotalWorkingYears]]&lt;=15,"Mid-Level","Senior"))</f>
        <v>Senior</v>
      </c>
      <c r="AN114" s="11" t="str">
        <f>IF(HR_Data[[#This Row],[PerformanceRating]]=3,"Standard","Excellent")</f>
        <v>Standard</v>
      </c>
      <c r="AO114" s="11" t="str">
        <f>IF(HR_Data[[#This Row],[JobSatisfaction]]&lt;=2,"Low","High")</f>
        <v>High</v>
      </c>
      <c r="AP114" s="11" t="str">
        <f>IF(AND(HR_Data[[#This Row],[OverTime]]="Yes",HR_Data[[#This Row],[JobSatisfaction]]&lt;=2,HR_Data[[#This Row],[YearsAtCompany]]&lt;=2),"High Risk","Normal")</f>
        <v>Normal</v>
      </c>
    </row>
    <row r="115" spans="1:42" x14ac:dyDescent="0.25">
      <c r="A115" s="6">
        <v>24</v>
      </c>
      <c r="B115" s="4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s="11" t="str">
        <f>IF(HR_Data[[#This Row],[Age]]&lt;=25,"18-25",IF(HR_Data[[#This Row],[Age]]&lt;=35,"26-35",IF(HR_Data[[#This Row],[Age]]&lt;=45,"36-45",IF(HR_Data[[#This Row],[Age]]&lt;=55,"46-55","56+"))))</f>
        <v>18-25</v>
      </c>
      <c r="AK115" s="11" t="str">
        <f>IF(HR_Data[[#This Row],[MonthlyIncome]]&lt;3000,"Low",IF(HR_Data[[#This Row],[MonthlyIncome]]&lt;6000,"Medium",IF(HR_Data[[#This Row],[MonthlyIncome]]&lt;10000,"High","Very High")))</f>
        <v>Low</v>
      </c>
      <c r="AL11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5" t="str">
        <f>IF(HR_Data[[#This Row],[TotalWorkingYears]]&lt;=5,"Junior",IF(HR_Data[[#This Row],[TotalWorkingYears]]&lt;=15,"Mid-Level","Senior"))</f>
        <v>Mid-Level</v>
      </c>
      <c r="AN115" s="11" t="str">
        <f>IF(HR_Data[[#This Row],[PerformanceRating]]=3,"Standard","Excellent")</f>
        <v>Standard</v>
      </c>
      <c r="AO115" s="11" t="str">
        <f>IF(HR_Data[[#This Row],[JobSatisfaction]]&lt;=2,"Low","High")</f>
        <v>High</v>
      </c>
      <c r="AP115" s="11" t="str">
        <f>IF(AND(HR_Data[[#This Row],[OverTime]]="Yes",HR_Data[[#This Row],[JobSatisfaction]]&lt;=2,HR_Data[[#This Row],[YearsAtCompany]]&lt;=2),"High Risk","Normal")</f>
        <v>Normal</v>
      </c>
    </row>
    <row r="116" spans="1:42" x14ac:dyDescent="0.25">
      <c r="A116" s="6">
        <v>34</v>
      </c>
      <c r="B116" s="4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s="11" t="str">
        <f>IF(HR_Data[[#This Row],[Age]]&lt;=25,"18-25",IF(HR_Data[[#This Row],[Age]]&lt;=35,"26-35",IF(HR_Data[[#This Row],[Age]]&lt;=45,"36-45",IF(HR_Data[[#This Row],[Age]]&lt;=55,"46-55","56+"))))</f>
        <v>26-35</v>
      </c>
      <c r="AK116" s="11" t="str">
        <f>IF(HR_Data[[#This Row],[MonthlyIncome]]&lt;3000,"Low",IF(HR_Data[[#This Row],[MonthlyIncome]]&lt;6000,"Medium",IF(HR_Data[[#This Row],[MonthlyIncome]]&lt;10000,"High","Very High")))</f>
        <v>Medium</v>
      </c>
      <c r="AL11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6" t="str">
        <f>IF(HR_Data[[#This Row],[TotalWorkingYears]]&lt;=5,"Junior",IF(HR_Data[[#This Row],[TotalWorkingYears]]&lt;=15,"Mid-Level","Senior"))</f>
        <v>Mid-Level</v>
      </c>
      <c r="AN116" s="11" t="str">
        <f>IF(HR_Data[[#This Row],[PerformanceRating]]=3,"Standard","Excellent")</f>
        <v>Standard</v>
      </c>
      <c r="AO116" s="11" t="str">
        <f>IF(HR_Data[[#This Row],[JobSatisfaction]]&lt;=2,"Low","High")</f>
        <v>Low</v>
      </c>
      <c r="AP116" s="11" t="str">
        <f>IF(AND(HR_Data[[#This Row],[OverTime]]="Yes",HR_Data[[#This Row],[JobSatisfaction]]&lt;=2,HR_Data[[#This Row],[YearsAtCompany]]&lt;=2),"High Risk","Normal")</f>
        <v>Normal</v>
      </c>
    </row>
    <row r="117" spans="1:42" x14ac:dyDescent="0.25">
      <c r="A117" s="6">
        <v>37</v>
      </c>
      <c r="B117" s="4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s="11" t="str">
        <f>IF(HR_Data[[#This Row],[Age]]&lt;=25,"18-25",IF(HR_Data[[#This Row],[Age]]&lt;=35,"26-35",IF(HR_Data[[#This Row],[Age]]&lt;=45,"36-45",IF(HR_Data[[#This Row],[Age]]&lt;=55,"46-55","56+"))))</f>
        <v>36-45</v>
      </c>
      <c r="AK117" s="11" t="str">
        <f>IF(HR_Data[[#This Row],[MonthlyIncome]]&lt;3000,"Low",IF(HR_Data[[#This Row],[MonthlyIncome]]&lt;6000,"Medium",IF(HR_Data[[#This Row],[MonthlyIncome]]&lt;10000,"High","Very High")))</f>
        <v>High</v>
      </c>
      <c r="AL11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7" t="str">
        <f>IF(HR_Data[[#This Row],[TotalWorkingYears]]&lt;=5,"Junior",IF(HR_Data[[#This Row],[TotalWorkingYears]]&lt;=15,"Mid-Level","Senior"))</f>
        <v>Mid-Level</v>
      </c>
      <c r="AN117" s="11" t="str">
        <f>IF(HR_Data[[#This Row],[PerformanceRating]]=3,"Standard","Excellent")</f>
        <v>Standard</v>
      </c>
      <c r="AO117" s="11" t="str">
        <f>IF(HR_Data[[#This Row],[JobSatisfaction]]&lt;=2,"Low","High")</f>
        <v>High</v>
      </c>
      <c r="AP117" s="11" t="str">
        <f>IF(AND(HR_Data[[#This Row],[OverTime]]="Yes",HR_Data[[#This Row],[JobSatisfaction]]&lt;=2,HR_Data[[#This Row],[YearsAtCompany]]&lt;=2),"High Risk","Normal")</f>
        <v>Normal</v>
      </c>
    </row>
    <row r="118" spans="1:42" x14ac:dyDescent="0.25">
      <c r="A118" s="6">
        <v>34</v>
      </c>
      <c r="B118" s="4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s="11" t="str">
        <f>IF(HR_Data[[#This Row],[Age]]&lt;=25,"18-25",IF(HR_Data[[#This Row],[Age]]&lt;=35,"26-35",IF(HR_Data[[#This Row],[Age]]&lt;=45,"36-45",IF(HR_Data[[#This Row],[Age]]&lt;=55,"46-55","56+"))))</f>
        <v>26-35</v>
      </c>
      <c r="AK118" s="11" t="str">
        <f>IF(HR_Data[[#This Row],[MonthlyIncome]]&lt;3000,"Low",IF(HR_Data[[#This Row],[MonthlyIncome]]&lt;6000,"Medium",IF(HR_Data[[#This Row],[MonthlyIncome]]&lt;10000,"High","Very High")))</f>
        <v>Very High</v>
      </c>
      <c r="AL11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18" t="str">
        <f>IF(HR_Data[[#This Row],[TotalWorkingYears]]&lt;=5,"Junior",IF(HR_Data[[#This Row],[TotalWorkingYears]]&lt;=15,"Mid-Level","Senior"))</f>
        <v>Mid-Level</v>
      </c>
      <c r="AN118" s="11" t="str">
        <f>IF(HR_Data[[#This Row],[PerformanceRating]]=3,"Standard","Excellent")</f>
        <v>Standard</v>
      </c>
      <c r="AO118" s="11" t="str">
        <f>IF(HR_Data[[#This Row],[JobSatisfaction]]&lt;=2,"Low","High")</f>
        <v>Low</v>
      </c>
      <c r="AP118" s="11" t="str">
        <f>IF(AND(HR_Data[[#This Row],[OverTime]]="Yes",HR_Data[[#This Row],[JobSatisfaction]]&lt;=2,HR_Data[[#This Row],[YearsAtCompany]]&lt;=2),"High Risk","Normal")</f>
        <v>Normal</v>
      </c>
    </row>
    <row r="119" spans="1:42" x14ac:dyDescent="0.25">
      <c r="A119" s="6">
        <v>36</v>
      </c>
      <c r="B119" s="4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s="11" t="str">
        <f>IF(HR_Data[[#This Row],[Age]]&lt;=25,"18-25",IF(HR_Data[[#This Row],[Age]]&lt;=35,"26-35",IF(HR_Data[[#This Row],[Age]]&lt;=45,"36-45",IF(HR_Data[[#This Row],[Age]]&lt;=55,"46-55","56+"))))</f>
        <v>36-45</v>
      </c>
      <c r="AK119" s="11" t="str">
        <f>IF(HR_Data[[#This Row],[MonthlyIncome]]&lt;3000,"Low",IF(HR_Data[[#This Row],[MonthlyIncome]]&lt;6000,"Medium",IF(HR_Data[[#This Row],[MonthlyIncome]]&lt;10000,"High","Very High")))</f>
        <v>High</v>
      </c>
      <c r="AL11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9" t="str">
        <f>IF(HR_Data[[#This Row],[TotalWorkingYears]]&lt;=5,"Junior",IF(HR_Data[[#This Row],[TotalWorkingYears]]&lt;=15,"Mid-Level","Senior"))</f>
        <v>Mid-Level</v>
      </c>
      <c r="AN119" s="11" t="str">
        <f>IF(HR_Data[[#This Row],[PerformanceRating]]=3,"Standard","Excellent")</f>
        <v>Standard</v>
      </c>
      <c r="AO119" s="11" t="str">
        <f>IF(HR_Data[[#This Row],[JobSatisfaction]]&lt;=2,"Low","High")</f>
        <v>High</v>
      </c>
      <c r="AP119" s="11" t="str">
        <f>IF(AND(HR_Data[[#This Row],[OverTime]]="Yes",HR_Data[[#This Row],[JobSatisfaction]]&lt;=2,HR_Data[[#This Row],[YearsAtCompany]]&lt;=2),"High Risk","Normal")</f>
        <v>Normal</v>
      </c>
    </row>
    <row r="120" spans="1:42" x14ac:dyDescent="0.25">
      <c r="A120" s="6">
        <v>36</v>
      </c>
      <c r="B120" s="4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s="11" t="str">
        <f>IF(HR_Data[[#This Row],[Age]]&lt;=25,"18-25",IF(HR_Data[[#This Row],[Age]]&lt;=35,"26-35",IF(HR_Data[[#This Row],[Age]]&lt;=45,"36-45",IF(HR_Data[[#This Row],[Age]]&lt;=55,"46-55","56+"))))</f>
        <v>36-45</v>
      </c>
      <c r="AK120" s="11" t="str">
        <f>IF(HR_Data[[#This Row],[MonthlyIncome]]&lt;3000,"Low",IF(HR_Data[[#This Row],[MonthlyIncome]]&lt;6000,"Medium",IF(HR_Data[[#This Row],[MonthlyIncome]]&lt;10000,"High","Very High")))</f>
        <v>Low</v>
      </c>
      <c r="AL12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0" t="str">
        <f>IF(HR_Data[[#This Row],[TotalWorkingYears]]&lt;=5,"Junior",IF(HR_Data[[#This Row],[TotalWorkingYears]]&lt;=15,"Mid-Level","Senior"))</f>
        <v>Mid-Level</v>
      </c>
      <c r="AN120" s="11" t="str">
        <f>IF(HR_Data[[#This Row],[PerformanceRating]]=3,"Standard","Excellent")</f>
        <v>Excellent</v>
      </c>
      <c r="AO120" s="11" t="str">
        <f>IF(HR_Data[[#This Row],[JobSatisfaction]]&lt;=2,"Low","High")</f>
        <v>High</v>
      </c>
      <c r="AP120" s="11" t="str">
        <f>IF(AND(HR_Data[[#This Row],[OverTime]]="Yes",HR_Data[[#This Row],[JobSatisfaction]]&lt;=2,HR_Data[[#This Row],[YearsAtCompany]]&lt;=2),"High Risk","Normal")</f>
        <v>Normal</v>
      </c>
    </row>
    <row r="121" spans="1:42" x14ac:dyDescent="0.25">
      <c r="A121" s="6">
        <v>43</v>
      </c>
      <c r="B121" s="4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s="11" t="str">
        <f>IF(HR_Data[[#This Row],[Age]]&lt;=25,"18-25",IF(HR_Data[[#This Row],[Age]]&lt;=35,"26-35",IF(HR_Data[[#This Row],[Age]]&lt;=45,"36-45",IF(HR_Data[[#This Row],[Age]]&lt;=55,"46-55","56+"))))</f>
        <v>36-45</v>
      </c>
      <c r="AK121" s="11" t="str">
        <f>IF(HR_Data[[#This Row],[MonthlyIncome]]&lt;3000,"Low",IF(HR_Data[[#This Row],[MonthlyIncome]]&lt;6000,"Medium",IF(HR_Data[[#This Row],[MonthlyIncome]]&lt;10000,"High","Very High")))</f>
        <v>Very High</v>
      </c>
      <c r="AL121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21" t="str">
        <f>IF(HR_Data[[#This Row],[TotalWorkingYears]]&lt;=5,"Junior",IF(HR_Data[[#This Row],[TotalWorkingYears]]&lt;=15,"Mid-Level","Senior"))</f>
        <v>Senior</v>
      </c>
      <c r="AN121" s="11" t="str">
        <f>IF(HR_Data[[#This Row],[PerformanceRating]]=3,"Standard","Excellent")</f>
        <v>Standard</v>
      </c>
      <c r="AO121" s="11" t="str">
        <f>IF(HR_Data[[#This Row],[JobSatisfaction]]&lt;=2,"Low","High")</f>
        <v>High</v>
      </c>
      <c r="AP121" s="11" t="str">
        <f>IF(AND(HR_Data[[#This Row],[OverTime]]="Yes",HR_Data[[#This Row],[JobSatisfaction]]&lt;=2,HR_Data[[#This Row],[YearsAtCompany]]&lt;=2),"High Risk","Normal")</f>
        <v>Normal</v>
      </c>
    </row>
    <row r="122" spans="1:42" x14ac:dyDescent="0.25">
      <c r="A122" s="6">
        <v>30</v>
      </c>
      <c r="B122" s="4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s="11" t="str">
        <f>IF(HR_Data[[#This Row],[Age]]&lt;=25,"18-25",IF(HR_Data[[#This Row],[Age]]&lt;=35,"26-35",IF(HR_Data[[#This Row],[Age]]&lt;=45,"36-45",IF(HR_Data[[#This Row],[Age]]&lt;=55,"46-55","56+"))))</f>
        <v>26-35</v>
      </c>
      <c r="AK122" s="11" t="str">
        <f>IF(HR_Data[[#This Row],[MonthlyIncome]]&lt;3000,"Low",IF(HR_Data[[#This Row],[MonthlyIncome]]&lt;6000,"Medium",IF(HR_Data[[#This Row],[MonthlyIncome]]&lt;10000,"High","Very High")))</f>
        <v>Low</v>
      </c>
      <c r="AL12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2" t="str">
        <f>IF(HR_Data[[#This Row],[TotalWorkingYears]]&lt;=5,"Junior",IF(HR_Data[[#This Row],[TotalWorkingYears]]&lt;=15,"Mid-Level","Senior"))</f>
        <v>Mid-Level</v>
      </c>
      <c r="AN122" s="11" t="str">
        <f>IF(HR_Data[[#This Row],[PerformanceRating]]=3,"Standard","Excellent")</f>
        <v>Excellent</v>
      </c>
      <c r="AO122" s="11" t="str">
        <f>IF(HR_Data[[#This Row],[JobSatisfaction]]&lt;=2,"Low","High")</f>
        <v>High</v>
      </c>
      <c r="AP122" s="11" t="str">
        <f>IF(AND(HR_Data[[#This Row],[OverTime]]="Yes",HR_Data[[#This Row],[JobSatisfaction]]&lt;=2,HR_Data[[#This Row],[YearsAtCompany]]&lt;=2),"High Risk","Normal")</f>
        <v>Normal</v>
      </c>
    </row>
    <row r="123" spans="1:42" x14ac:dyDescent="0.25">
      <c r="A123" s="6">
        <v>33</v>
      </c>
      <c r="B123" s="4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s="11" t="str">
        <f>IF(HR_Data[[#This Row],[Age]]&lt;=25,"18-25",IF(HR_Data[[#This Row],[Age]]&lt;=35,"26-35",IF(HR_Data[[#This Row],[Age]]&lt;=45,"36-45",IF(HR_Data[[#This Row],[Age]]&lt;=55,"46-55","56+"))))</f>
        <v>26-35</v>
      </c>
      <c r="AK123" s="11" t="str">
        <f>IF(HR_Data[[#This Row],[MonthlyIncome]]&lt;3000,"Low",IF(HR_Data[[#This Row],[MonthlyIncome]]&lt;6000,"Medium",IF(HR_Data[[#This Row],[MonthlyIncome]]&lt;10000,"High","Very High")))</f>
        <v>High</v>
      </c>
      <c r="AL12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3" t="str">
        <f>IF(HR_Data[[#This Row],[TotalWorkingYears]]&lt;=5,"Junior",IF(HR_Data[[#This Row],[TotalWorkingYears]]&lt;=15,"Mid-Level","Senior"))</f>
        <v>Mid-Level</v>
      </c>
      <c r="AN123" s="11" t="str">
        <f>IF(HR_Data[[#This Row],[PerformanceRating]]=3,"Standard","Excellent")</f>
        <v>Standard</v>
      </c>
      <c r="AO123" s="11" t="str">
        <f>IF(HR_Data[[#This Row],[JobSatisfaction]]&lt;=2,"Low","High")</f>
        <v>Low</v>
      </c>
      <c r="AP123" s="11" t="str">
        <f>IF(AND(HR_Data[[#This Row],[OverTime]]="Yes",HR_Data[[#This Row],[JobSatisfaction]]&lt;=2,HR_Data[[#This Row],[YearsAtCompany]]&lt;=2),"High Risk","Normal")</f>
        <v>Normal</v>
      </c>
    </row>
    <row r="124" spans="1:42" x14ac:dyDescent="0.25">
      <c r="A124" s="6">
        <v>56</v>
      </c>
      <c r="B124" s="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s="11" t="str">
        <f>IF(HR_Data[[#This Row],[Age]]&lt;=25,"18-25",IF(HR_Data[[#This Row],[Age]]&lt;=35,"26-35",IF(HR_Data[[#This Row],[Age]]&lt;=45,"36-45",IF(HR_Data[[#This Row],[Age]]&lt;=55,"46-55","56+"))))</f>
        <v>56+</v>
      </c>
      <c r="AK124" s="11" t="str">
        <f>IF(HR_Data[[#This Row],[MonthlyIncome]]&lt;3000,"Low",IF(HR_Data[[#This Row],[MonthlyIncome]]&lt;6000,"Medium",IF(HR_Data[[#This Row],[MonthlyIncome]]&lt;10000,"High","Very High")))</f>
        <v>Medium</v>
      </c>
      <c r="AL12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4" t="str">
        <f>IF(HR_Data[[#This Row],[TotalWorkingYears]]&lt;=5,"Junior",IF(HR_Data[[#This Row],[TotalWorkingYears]]&lt;=15,"Mid-Level","Senior"))</f>
        <v>Mid-Level</v>
      </c>
      <c r="AN124" s="11" t="str">
        <f>IF(HR_Data[[#This Row],[PerformanceRating]]=3,"Standard","Excellent")</f>
        <v>Standard</v>
      </c>
      <c r="AO124" s="11" t="str">
        <f>IF(HR_Data[[#This Row],[JobSatisfaction]]&lt;=2,"Low","High")</f>
        <v>Low</v>
      </c>
      <c r="AP124" s="11" t="str">
        <f>IF(AND(HR_Data[[#This Row],[OverTime]]="Yes",HR_Data[[#This Row],[JobSatisfaction]]&lt;=2,HR_Data[[#This Row],[YearsAtCompany]]&lt;=2),"High Risk","Normal")</f>
        <v>Normal</v>
      </c>
    </row>
    <row r="125" spans="1:42" x14ac:dyDescent="0.25">
      <c r="A125" s="6">
        <v>51</v>
      </c>
      <c r="B125" s="4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s="11" t="str">
        <f>IF(HR_Data[[#This Row],[Age]]&lt;=25,"18-25",IF(HR_Data[[#This Row],[Age]]&lt;=35,"26-35",IF(HR_Data[[#This Row],[Age]]&lt;=45,"36-45",IF(HR_Data[[#This Row],[Age]]&lt;=55,"46-55","56+"))))</f>
        <v>46-55</v>
      </c>
      <c r="AK125" s="11" t="str">
        <f>IF(HR_Data[[#This Row],[MonthlyIncome]]&lt;3000,"Low",IF(HR_Data[[#This Row],[MonthlyIncome]]&lt;6000,"Medium",IF(HR_Data[[#This Row],[MonthlyIncome]]&lt;10000,"High","Very High")))</f>
        <v>Very High</v>
      </c>
      <c r="AL12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25" t="str">
        <f>IF(HR_Data[[#This Row],[TotalWorkingYears]]&lt;=5,"Junior",IF(HR_Data[[#This Row],[TotalWorkingYears]]&lt;=15,"Mid-Level","Senior"))</f>
        <v>Senior</v>
      </c>
      <c r="AN125" s="11" t="str">
        <f>IF(HR_Data[[#This Row],[PerformanceRating]]=3,"Standard","Excellent")</f>
        <v>Standard</v>
      </c>
      <c r="AO125" s="11" t="str">
        <f>IF(HR_Data[[#This Row],[JobSatisfaction]]&lt;=2,"Low","High")</f>
        <v>High</v>
      </c>
      <c r="AP125" s="11" t="str">
        <f>IF(AND(HR_Data[[#This Row],[OverTime]]="Yes",HR_Data[[#This Row],[JobSatisfaction]]&lt;=2,HR_Data[[#This Row],[YearsAtCompany]]&lt;=2),"High Risk","Normal")</f>
        <v>Normal</v>
      </c>
    </row>
    <row r="126" spans="1:42" x14ac:dyDescent="0.25">
      <c r="A126" s="6">
        <v>31</v>
      </c>
      <c r="B126" s="4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s="11" t="str">
        <f>IF(HR_Data[[#This Row],[Age]]&lt;=25,"18-25",IF(HR_Data[[#This Row],[Age]]&lt;=35,"26-35",IF(HR_Data[[#This Row],[Age]]&lt;=45,"36-45",IF(HR_Data[[#This Row],[Age]]&lt;=55,"46-55","56+"))))</f>
        <v>26-35</v>
      </c>
      <c r="AK126" s="11" t="str">
        <f>IF(HR_Data[[#This Row],[MonthlyIncome]]&lt;3000,"Low",IF(HR_Data[[#This Row],[MonthlyIncome]]&lt;6000,"Medium",IF(HR_Data[[#This Row],[MonthlyIncome]]&lt;10000,"High","Very High")))</f>
        <v>High</v>
      </c>
      <c r="AL12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6" t="str">
        <f>IF(HR_Data[[#This Row],[TotalWorkingYears]]&lt;=5,"Junior",IF(HR_Data[[#This Row],[TotalWorkingYears]]&lt;=15,"Mid-Level","Senior"))</f>
        <v>Mid-Level</v>
      </c>
      <c r="AN126" s="11" t="str">
        <f>IF(HR_Data[[#This Row],[PerformanceRating]]=3,"Standard","Excellent")</f>
        <v>Standard</v>
      </c>
      <c r="AO126" s="11" t="str">
        <f>IF(HR_Data[[#This Row],[JobSatisfaction]]&lt;=2,"Low","High")</f>
        <v>High</v>
      </c>
      <c r="AP126" s="11" t="str">
        <f>IF(AND(HR_Data[[#This Row],[OverTime]]="Yes",HR_Data[[#This Row],[JobSatisfaction]]&lt;=2,HR_Data[[#This Row],[YearsAtCompany]]&lt;=2),"High Risk","Normal")</f>
        <v>Normal</v>
      </c>
    </row>
    <row r="127" spans="1:42" x14ac:dyDescent="0.25">
      <c r="A127" s="6">
        <v>26</v>
      </c>
      <c r="B127" s="4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s="11" t="str">
        <f>IF(HR_Data[[#This Row],[Age]]&lt;=25,"18-25",IF(HR_Data[[#This Row],[Age]]&lt;=35,"26-35",IF(HR_Data[[#This Row],[Age]]&lt;=45,"36-45",IF(HR_Data[[#This Row],[Age]]&lt;=55,"46-55","56+"))))</f>
        <v>26-35</v>
      </c>
      <c r="AK127" s="11" t="str">
        <f>IF(HR_Data[[#This Row],[MonthlyIncome]]&lt;3000,"Low",IF(HR_Data[[#This Row],[MonthlyIncome]]&lt;6000,"Medium",IF(HR_Data[[#This Row],[MonthlyIncome]]&lt;10000,"High","Very High")))</f>
        <v>Low</v>
      </c>
      <c r="AL12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7" t="str">
        <f>IF(HR_Data[[#This Row],[TotalWorkingYears]]&lt;=5,"Junior",IF(HR_Data[[#This Row],[TotalWorkingYears]]&lt;=15,"Mid-Level","Senior"))</f>
        <v>Junior</v>
      </c>
      <c r="AN127" s="11" t="str">
        <f>IF(HR_Data[[#This Row],[PerformanceRating]]=3,"Standard","Excellent")</f>
        <v>Standard</v>
      </c>
      <c r="AO127" s="11" t="str">
        <f>IF(HR_Data[[#This Row],[JobSatisfaction]]&lt;=2,"Low","High")</f>
        <v>Low</v>
      </c>
      <c r="AP127" s="11" t="str">
        <f>IF(AND(HR_Data[[#This Row],[OverTime]]="Yes",HR_Data[[#This Row],[JobSatisfaction]]&lt;=2,HR_Data[[#This Row],[YearsAtCompany]]&lt;=2),"High Risk","Normal")</f>
        <v>Normal</v>
      </c>
    </row>
    <row r="128" spans="1:42" x14ac:dyDescent="0.25">
      <c r="A128" s="6">
        <v>58</v>
      </c>
      <c r="B128" s="4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s="11" t="str">
        <f>IF(HR_Data[[#This Row],[Age]]&lt;=25,"18-25",IF(HR_Data[[#This Row],[Age]]&lt;=35,"26-35",IF(HR_Data[[#This Row],[Age]]&lt;=45,"36-45",IF(HR_Data[[#This Row],[Age]]&lt;=55,"46-55","56+"))))</f>
        <v>56+</v>
      </c>
      <c r="AK128" s="11" t="str">
        <f>IF(HR_Data[[#This Row],[MonthlyIncome]]&lt;3000,"Low",IF(HR_Data[[#This Row],[MonthlyIncome]]&lt;6000,"Medium",IF(HR_Data[[#This Row],[MonthlyIncome]]&lt;10000,"High","Very High")))</f>
        <v>Very High</v>
      </c>
      <c r="AL12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28" t="str">
        <f>IF(HR_Data[[#This Row],[TotalWorkingYears]]&lt;=5,"Junior",IF(HR_Data[[#This Row],[TotalWorkingYears]]&lt;=15,"Mid-Level","Senior"))</f>
        <v>Senior</v>
      </c>
      <c r="AN128" s="11" t="str">
        <f>IF(HR_Data[[#This Row],[PerformanceRating]]=3,"Standard","Excellent")</f>
        <v>Standard</v>
      </c>
      <c r="AO128" s="11" t="str">
        <f>IF(HR_Data[[#This Row],[JobSatisfaction]]&lt;=2,"Low","High")</f>
        <v>High</v>
      </c>
      <c r="AP128" s="11" t="str">
        <f>IF(AND(HR_Data[[#This Row],[OverTime]]="Yes",HR_Data[[#This Row],[JobSatisfaction]]&lt;=2,HR_Data[[#This Row],[YearsAtCompany]]&lt;=2),"High Risk","Normal")</f>
        <v>Normal</v>
      </c>
    </row>
    <row r="129" spans="1:42" x14ac:dyDescent="0.25">
      <c r="A129" s="6">
        <v>19</v>
      </c>
      <c r="B129" s="4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s="11" t="str">
        <f>IF(HR_Data[[#This Row],[Age]]&lt;=25,"18-25",IF(HR_Data[[#This Row],[Age]]&lt;=35,"26-35",IF(HR_Data[[#This Row],[Age]]&lt;=45,"36-45",IF(HR_Data[[#This Row],[Age]]&lt;=55,"46-55","56+"))))</f>
        <v>18-25</v>
      </c>
      <c r="AK129" s="11" t="str">
        <f>IF(HR_Data[[#This Row],[MonthlyIncome]]&lt;3000,"Low",IF(HR_Data[[#This Row],[MonthlyIncome]]&lt;6000,"Medium",IF(HR_Data[[#This Row],[MonthlyIncome]]&lt;10000,"High","Very High")))</f>
        <v>Low</v>
      </c>
      <c r="AL12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9" t="str">
        <f>IF(HR_Data[[#This Row],[TotalWorkingYears]]&lt;=5,"Junior",IF(HR_Data[[#This Row],[TotalWorkingYears]]&lt;=15,"Mid-Level","Senior"))</f>
        <v>Junior</v>
      </c>
      <c r="AN129" s="11" t="str">
        <f>IF(HR_Data[[#This Row],[PerformanceRating]]=3,"Standard","Excellent")</f>
        <v>Standard</v>
      </c>
      <c r="AO129" s="11" t="str">
        <f>IF(HR_Data[[#This Row],[JobSatisfaction]]&lt;=2,"Low","High")</f>
        <v>High</v>
      </c>
      <c r="AP129" s="11" t="str">
        <f>IF(AND(HR_Data[[#This Row],[OverTime]]="Yes",HR_Data[[#This Row],[JobSatisfaction]]&lt;=2,HR_Data[[#This Row],[YearsAtCompany]]&lt;=2),"High Risk","Normal")</f>
        <v>Normal</v>
      </c>
    </row>
    <row r="130" spans="1:42" x14ac:dyDescent="0.25">
      <c r="A130" s="6">
        <v>22</v>
      </c>
      <c r="B130" s="4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s="11" t="str">
        <f>IF(HR_Data[[#This Row],[Age]]&lt;=25,"18-25",IF(HR_Data[[#This Row],[Age]]&lt;=35,"26-35",IF(HR_Data[[#This Row],[Age]]&lt;=45,"36-45",IF(HR_Data[[#This Row],[Age]]&lt;=55,"46-55","56+"))))</f>
        <v>18-25</v>
      </c>
      <c r="AK130" s="11" t="str">
        <f>IF(HR_Data[[#This Row],[MonthlyIncome]]&lt;3000,"Low",IF(HR_Data[[#This Row],[MonthlyIncome]]&lt;6000,"Medium",IF(HR_Data[[#This Row],[MonthlyIncome]]&lt;10000,"High","Very High")))</f>
        <v>Low</v>
      </c>
      <c r="AL13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0" t="str">
        <f>IF(HR_Data[[#This Row],[TotalWorkingYears]]&lt;=5,"Junior",IF(HR_Data[[#This Row],[TotalWorkingYears]]&lt;=15,"Mid-Level","Senior"))</f>
        <v>Junior</v>
      </c>
      <c r="AN130" s="11" t="str">
        <f>IF(HR_Data[[#This Row],[PerformanceRating]]=3,"Standard","Excellent")</f>
        <v>Standard</v>
      </c>
      <c r="AO130" s="11" t="str">
        <f>IF(HR_Data[[#This Row],[JobSatisfaction]]&lt;=2,"Low","High")</f>
        <v>High</v>
      </c>
      <c r="AP130" s="11" t="str">
        <f>IF(AND(HR_Data[[#This Row],[OverTime]]="Yes",HR_Data[[#This Row],[JobSatisfaction]]&lt;=2,HR_Data[[#This Row],[YearsAtCompany]]&lt;=2),"High Risk","Normal")</f>
        <v>Normal</v>
      </c>
    </row>
    <row r="131" spans="1:42" x14ac:dyDescent="0.25">
      <c r="A131" s="6">
        <v>49</v>
      </c>
      <c r="B131" s="4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s="11" t="str">
        <f>IF(HR_Data[[#This Row],[Age]]&lt;=25,"18-25",IF(HR_Data[[#This Row],[Age]]&lt;=35,"26-35",IF(HR_Data[[#This Row],[Age]]&lt;=45,"36-45",IF(HR_Data[[#This Row],[Age]]&lt;=55,"46-55","56+"))))</f>
        <v>46-55</v>
      </c>
      <c r="AK131" s="11" t="str">
        <f>IF(HR_Data[[#This Row],[MonthlyIncome]]&lt;3000,"Low",IF(HR_Data[[#This Row],[MonthlyIncome]]&lt;6000,"Medium",IF(HR_Data[[#This Row],[MonthlyIncome]]&lt;10000,"High","Very High")))</f>
        <v>High</v>
      </c>
      <c r="AL131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31" t="str">
        <f>IF(HR_Data[[#This Row],[TotalWorkingYears]]&lt;=5,"Junior",IF(HR_Data[[#This Row],[TotalWorkingYears]]&lt;=15,"Mid-Level","Senior"))</f>
        <v>Senior</v>
      </c>
      <c r="AN131" s="11" t="str">
        <f>IF(HR_Data[[#This Row],[PerformanceRating]]=3,"Standard","Excellent")</f>
        <v>Standard</v>
      </c>
      <c r="AO131" s="11" t="str">
        <f>IF(HR_Data[[#This Row],[JobSatisfaction]]&lt;=2,"Low","High")</f>
        <v>Low</v>
      </c>
      <c r="AP131" s="11" t="str">
        <f>IF(AND(HR_Data[[#This Row],[OverTime]]="Yes",HR_Data[[#This Row],[JobSatisfaction]]&lt;=2,HR_Data[[#This Row],[YearsAtCompany]]&lt;=2),"High Risk","Normal")</f>
        <v>Normal</v>
      </c>
    </row>
    <row r="132" spans="1:42" x14ac:dyDescent="0.25">
      <c r="A132" s="6">
        <v>43</v>
      </c>
      <c r="B132" s="4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s="11" t="str">
        <f>IF(HR_Data[[#This Row],[Age]]&lt;=25,"18-25",IF(HR_Data[[#This Row],[Age]]&lt;=35,"26-35",IF(HR_Data[[#This Row],[Age]]&lt;=45,"36-45",IF(HR_Data[[#This Row],[Age]]&lt;=55,"46-55","56+"))))</f>
        <v>36-45</v>
      </c>
      <c r="AK132" s="11" t="str">
        <f>IF(HR_Data[[#This Row],[MonthlyIncome]]&lt;3000,"Low",IF(HR_Data[[#This Row],[MonthlyIncome]]&lt;6000,"Medium",IF(HR_Data[[#This Row],[MonthlyIncome]]&lt;10000,"High","Very High")))</f>
        <v>Medium</v>
      </c>
      <c r="AL13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2" t="str">
        <f>IF(HR_Data[[#This Row],[TotalWorkingYears]]&lt;=5,"Junior",IF(HR_Data[[#This Row],[TotalWorkingYears]]&lt;=15,"Mid-Level","Senior"))</f>
        <v>Senior</v>
      </c>
      <c r="AN132" s="11" t="str">
        <f>IF(HR_Data[[#This Row],[PerformanceRating]]=3,"Standard","Excellent")</f>
        <v>Standard</v>
      </c>
      <c r="AO132" s="11" t="str">
        <f>IF(HR_Data[[#This Row],[JobSatisfaction]]&lt;=2,"Low","High")</f>
        <v>High</v>
      </c>
      <c r="AP132" s="11" t="str">
        <f>IF(AND(HR_Data[[#This Row],[OverTime]]="Yes",HR_Data[[#This Row],[JobSatisfaction]]&lt;=2,HR_Data[[#This Row],[YearsAtCompany]]&lt;=2),"High Risk","Normal")</f>
        <v>Normal</v>
      </c>
    </row>
    <row r="133" spans="1:42" x14ac:dyDescent="0.25">
      <c r="A133" s="6">
        <v>50</v>
      </c>
      <c r="B133" s="4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s="11" t="str">
        <f>IF(HR_Data[[#This Row],[Age]]&lt;=25,"18-25",IF(HR_Data[[#This Row],[Age]]&lt;=35,"26-35",IF(HR_Data[[#This Row],[Age]]&lt;=45,"36-45",IF(HR_Data[[#This Row],[Age]]&lt;=55,"46-55","56+"))))</f>
        <v>46-55</v>
      </c>
      <c r="AK133" s="11" t="str">
        <f>IF(HR_Data[[#This Row],[MonthlyIncome]]&lt;3000,"Low",IF(HR_Data[[#This Row],[MonthlyIncome]]&lt;6000,"Medium",IF(HR_Data[[#This Row],[MonthlyIncome]]&lt;10000,"High","Very High")))</f>
        <v>High</v>
      </c>
      <c r="AL13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3" t="str">
        <f>IF(HR_Data[[#This Row],[TotalWorkingYears]]&lt;=5,"Junior",IF(HR_Data[[#This Row],[TotalWorkingYears]]&lt;=15,"Mid-Level","Senior"))</f>
        <v>Senior</v>
      </c>
      <c r="AN133" s="11" t="str">
        <f>IF(HR_Data[[#This Row],[PerformanceRating]]=3,"Standard","Excellent")</f>
        <v>Standard</v>
      </c>
      <c r="AO133" s="11" t="str">
        <f>IF(HR_Data[[#This Row],[JobSatisfaction]]&lt;=2,"Low","High")</f>
        <v>High</v>
      </c>
      <c r="AP133" s="11" t="str">
        <f>IF(AND(HR_Data[[#This Row],[OverTime]]="Yes",HR_Data[[#This Row],[JobSatisfaction]]&lt;=2,HR_Data[[#This Row],[YearsAtCompany]]&lt;=2),"High Risk","Normal")</f>
        <v>Normal</v>
      </c>
    </row>
    <row r="134" spans="1:42" x14ac:dyDescent="0.25">
      <c r="A134" s="6">
        <v>31</v>
      </c>
      <c r="B134" s="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s="11" t="str">
        <f>IF(HR_Data[[#This Row],[Age]]&lt;=25,"18-25",IF(HR_Data[[#This Row],[Age]]&lt;=35,"26-35",IF(HR_Data[[#This Row],[Age]]&lt;=45,"36-45",IF(HR_Data[[#This Row],[Age]]&lt;=55,"46-55","56+"))))</f>
        <v>26-35</v>
      </c>
      <c r="AK134" s="11" t="str">
        <f>IF(HR_Data[[#This Row],[MonthlyIncome]]&lt;3000,"Low",IF(HR_Data[[#This Row],[MonthlyIncome]]&lt;6000,"Medium",IF(HR_Data[[#This Row],[MonthlyIncome]]&lt;10000,"High","Very High")))</f>
        <v>Medium</v>
      </c>
      <c r="AL13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4" t="str">
        <f>IF(HR_Data[[#This Row],[TotalWorkingYears]]&lt;=5,"Junior",IF(HR_Data[[#This Row],[TotalWorkingYears]]&lt;=15,"Mid-Level","Senior"))</f>
        <v>Junior</v>
      </c>
      <c r="AN134" s="11" t="str">
        <f>IF(HR_Data[[#This Row],[PerformanceRating]]=3,"Standard","Excellent")</f>
        <v>Standard</v>
      </c>
      <c r="AO134" s="11" t="str">
        <f>IF(HR_Data[[#This Row],[JobSatisfaction]]&lt;=2,"Low","High")</f>
        <v>High</v>
      </c>
      <c r="AP134" s="11" t="str">
        <f>IF(AND(HR_Data[[#This Row],[OverTime]]="Yes",HR_Data[[#This Row],[JobSatisfaction]]&lt;=2,HR_Data[[#This Row],[YearsAtCompany]]&lt;=2),"High Risk","Normal")</f>
        <v>Normal</v>
      </c>
    </row>
    <row r="135" spans="1:42" x14ac:dyDescent="0.25">
      <c r="A135" s="6">
        <v>41</v>
      </c>
      <c r="B135" s="4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s="11" t="str">
        <f>IF(HR_Data[[#This Row],[Age]]&lt;=25,"18-25",IF(HR_Data[[#This Row],[Age]]&lt;=35,"26-35",IF(HR_Data[[#This Row],[Age]]&lt;=45,"36-45",IF(HR_Data[[#This Row],[Age]]&lt;=55,"46-55","56+"))))</f>
        <v>36-45</v>
      </c>
      <c r="AK135" s="11" t="str">
        <f>IF(HR_Data[[#This Row],[MonthlyIncome]]&lt;3000,"Low",IF(HR_Data[[#This Row],[MonthlyIncome]]&lt;6000,"Medium",IF(HR_Data[[#This Row],[MonthlyIncome]]&lt;10000,"High","Very High")))</f>
        <v>High</v>
      </c>
      <c r="AL13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5" t="str">
        <f>IF(HR_Data[[#This Row],[TotalWorkingYears]]&lt;=5,"Junior",IF(HR_Data[[#This Row],[TotalWorkingYears]]&lt;=15,"Mid-Level","Senior"))</f>
        <v>Mid-Level</v>
      </c>
      <c r="AN135" s="11" t="str">
        <f>IF(HR_Data[[#This Row],[PerformanceRating]]=3,"Standard","Excellent")</f>
        <v>Standard</v>
      </c>
      <c r="AO135" s="11" t="str">
        <f>IF(HR_Data[[#This Row],[JobSatisfaction]]&lt;=2,"Low","High")</f>
        <v>High</v>
      </c>
      <c r="AP135" s="11" t="str">
        <f>IF(AND(HR_Data[[#This Row],[OverTime]]="Yes",HR_Data[[#This Row],[JobSatisfaction]]&lt;=2,HR_Data[[#This Row],[YearsAtCompany]]&lt;=2),"High Risk","Normal")</f>
        <v>Normal</v>
      </c>
    </row>
    <row r="136" spans="1:42" x14ac:dyDescent="0.25">
      <c r="A136" s="6">
        <v>26</v>
      </c>
      <c r="B136" s="4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s="11" t="str">
        <f>IF(HR_Data[[#This Row],[Age]]&lt;=25,"18-25",IF(HR_Data[[#This Row],[Age]]&lt;=35,"26-35",IF(HR_Data[[#This Row],[Age]]&lt;=45,"36-45",IF(HR_Data[[#This Row],[Age]]&lt;=55,"46-55","56+"))))</f>
        <v>26-35</v>
      </c>
      <c r="AK136" s="11" t="str">
        <f>IF(HR_Data[[#This Row],[MonthlyIncome]]&lt;3000,"Low",IF(HR_Data[[#This Row],[MonthlyIncome]]&lt;6000,"Medium",IF(HR_Data[[#This Row],[MonthlyIncome]]&lt;10000,"High","Very High")))</f>
        <v>Low</v>
      </c>
      <c r="AL13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6" t="str">
        <f>IF(HR_Data[[#This Row],[TotalWorkingYears]]&lt;=5,"Junior",IF(HR_Data[[#This Row],[TotalWorkingYears]]&lt;=15,"Mid-Level","Senior"))</f>
        <v>Mid-Level</v>
      </c>
      <c r="AN136" s="11" t="str">
        <f>IF(HR_Data[[#This Row],[PerformanceRating]]=3,"Standard","Excellent")</f>
        <v>Excellent</v>
      </c>
      <c r="AO136" s="11" t="str">
        <f>IF(HR_Data[[#This Row],[JobSatisfaction]]&lt;=2,"Low","High")</f>
        <v>High</v>
      </c>
      <c r="AP136" s="11" t="str">
        <f>IF(AND(HR_Data[[#This Row],[OverTime]]="Yes",HR_Data[[#This Row],[JobSatisfaction]]&lt;=2,HR_Data[[#This Row],[YearsAtCompany]]&lt;=2),"High Risk","Normal")</f>
        <v>Normal</v>
      </c>
    </row>
    <row r="137" spans="1:42" x14ac:dyDescent="0.25">
      <c r="A137" s="6">
        <v>36</v>
      </c>
      <c r="B137" s="4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s="11" t="str">
        <f>IF(HR_Data[[#This Row],[Age]]&lt;=25,"18-25",IF(HR_Data[[#This Row],[Age]]&lt;=35,"26-35",IF(HR_Data[[#This Row],[Age]]&lt;=45,"36-45",IF(HR_Data[[#This Row],[Age]]&lt;=55,"46-55","56+"))))</f>
        <v>36-45</v>
      </c>
      <c r="AK137" s="11" t="str">
        <f>IF(HR_Data[[#This Row],[MonthlyIncome]]&lt;3000,"Low",IF(HR_Data[[#This Row],[MonthlyIncome]]&lt;6000,"Medium",IF(HR_Data[[#This Row],[MonthlyIncome]]&lt;10000,"High","Very High")))</f>
        <v>Medium</v>
      </c>
      <c r="AL13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7" t="str">
        <f>IF(HR_Data[[#This Row],[TotalWorkingYears]]&lt;=5,"Junior",IF(HR_Data[[#This Row],[TotalWorkingYears]]&lt;=15,"Mid-Level","Senior"))</f>
        <v>Mid-Level</v>
      </c>
      <c r="AN137" s="11" t="str">
        <f>IF(HR_Data[[#This Row],[PerformanceRating]]=3,"Standard","Excellent")</f>
        <v>Excellent</v>
      </c>
      <c r="AO137" s="11" t="str">
        <f>IF(HR_Data[[#This Row],[JobSatisfaction]]&lt;=2,"Low","High")</f>
        <v>Low</v>
      </c>
      <c r="AP137" s="11" t="str">
        <f>IF(AND(HR_Data[[#This Row],[OverTime]]="Yes",HR_Data[[#This Row],[JobSatisfaction]]&lt;=2,HR_Data[[#This Row],[YearsAtCompany]]&lt;=2),"High Risk","Normal")</f>
        <v>Normal</v>
      </c>
    </row>
    <row r="138" spans="1:42" x14ac:dyDescent="0.25">
      <c r="A138" s="6">
        <v>51</v>
      </c>
      <c r="B138" s="4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s="11" t="str">
        <f>IF(HR_Data[[#This Row],[Age]]&lt;=25,"18-25",IF(HR_Data[[#This Row],[Age]]&lt;=35,"26-35",IF(HR_Data[[#This Row],[Age]]&lt;=45,"36-45",IF(HR_Data[[#This Row],[Age]]&lt;=55,"46-55","56+"))))</f>
        <v>46-55</v>
      </c>
      <c r="AK138" s="11" t="str">
        <f>IF(HR_Data[[#This Row],[MonthlyIncome]]&lt;3000,"Low",IF(HR_Data[[#This Row],[MonthlyIncome]]&lt;6000,"Medium",IF(HR_Data[[#This Row],[MonthlyIncome]]&lt;10000,"High","Very High")))</f>
        <v>Very High</v>
      </c>
      <c r="AL13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8" t="str">
        <f>IF(HR_Data[[#This Row],[TotalWorkingYears]]&lt;=5,"Junior",IF(HR_Data[[#This Row],[TotalWorkingYears]]&lt;=15,"Mid-Level","Senior"))</f>
        <v>Senior</v>
      </c>
      <c r="AN138" s="11" t="str">
        <f>IF(HR_Data[[#This Row],[PerformanceRating]]=3,"Standard","Excellent")</f>
        <v>Standard</v>
      </c>
      <c r="AO138" s="11" t="str">
        <f>IF(HR_Data[[#This Row],[JobSatisfaction]]&lt;=2,"Low","High")</f>
        <v>High</v>
      </c>
      <c r="AP138" s="11" t="str">
        <f>IF(AND(HR_Data[[#This Row],[OverTime]]="Yes",HR_Data[[#This Row],[JobSatisfaction]]&lt;=2,HR_Data[[#This Row],[YearsAtCompany]]&lt;=2),"High Risk","Normal")</f>
        <v>Normal</v>
      </c>
    </row>
    <row r="139" spans="1:42" x14ac:dyDescent="0.25">
      <c r="A139" s="6">
        <v>39</v>
      </c>
      <c r="B139" s="4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s="11" t="str">
        <f>IF(HR_Data[[#This Row],[Age]]&lt;=25,"18-25",IF(HR_Data[[#This Row],[Age]]&lt;=35,"26-35",IF(HR_Data[[#This Row],[Age]]&lt;=45,"36-45",IF(HR_Data[[#This Row],[Age]]&lt;=55,"46-55","56+"))))</f>
        <v>36-45</v>
      </c>
      <c r="AK139" s="11" t="str">
        <f>IF(HR_Data[[#This Row],[MonthlyIncome]]&lt;3000,"Low",IF(HR_Data[[#This Row],[MonthlyIncome]]&lt;6000,"Medium",IF(HR_Data[[#This Row],[MonthlyIncome]]&lt;10000,"High","Very High")))</f>
        <v>Medium</v>
      </c>
      <c r="AL13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39" t="str">
        <f>IF(HR_Data[[#This Row],[TotalWorkingYears]]&lt;=5,"Junior",IF(HR_Data[[#This Row],[TotalWorkingYears]]&lt;=15,"Mid-Level","Senior"))</f>
        <v>Senior</v>
      </c>
      <c r="AN139" s="11" t="str">
        <f>IF(HR_Data[[#This Row],[PerformanceRating]]=3,"Standard","Excellent")</f>
        <v>Standard</v>
      </c>
      <c r="AO139" s="11" t="str">
        <f>IF(HR_Data[[#This Row],[JobSatisfaction]]&lt;=2,"Low","High")</f>
        <v>High</v>
      </c>
      <c r="AP139" s="11" t="str">
        <f>IF(AND(HR_Data[[#This Row],[OverTime]]="Yes",HR_Data[[#This Row],[JobSatisfaction]]&lt;=2,HR_Data[[#This Row],[YearsAtCompany]]&lt;=2),"High Risk","Normal")</f>
        <v>Normal</v>
      </c>
    </row>
    <row r="140" spans="1:42" x14ac:dyDescent="0.25">
      <c r="A140" s="6">
        <v>25</v>
      </c>
      <c r="B140" s="4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s="11" t="str">
        <f>IF(HR_Data[[#This Row],[Age]]&lt;=25,"18-25",IF(HR_Data[[#This Row],[Age]]&lt;=35,"26-35",IF(HR_Data[[#This Row],[Age]]&lt;=45,"36-45",IF(HR_Data[[#This Row],[Age]]&lt;=55,"46-55","56+"))))</f>
        <v>18-25</v>
      </c>
      <c r="AK140" s="11" t="str">
        <f>IF(HR_Data[[#This Row],[MonthlyIncome]]&lt;3000,"Low",IF(HR_Data[[#This Row],[MonthlyIncome]]&lt;6000,"Medium",IF(HR_Data[[#This Row],[MonthlyIncome]]&lt;10000,"High","Very High")))</f>
        <v>High</v>
      </c>
      <c r="AL14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0" t="str">
        <f>IF(HR_Data[[#This Row],[TotalWorkingYears]]&lt;=5,"Junior",IF(HR_Data[[#This Row],[TotalWorkingYears]]&lt;=15,"Mid-Level","Senior"))</f>
        <v>Mid-Level</v>
      </c>
      <c r="AN140" s="11" t="str">
        <f>IF(HR_Data[[#This Row],[PerformanceRating]]=3,"Standard","Excellent")</f>
        <v>Standard</v>
      </c>
      <c r="AO140" s="11" t="str">
        <f>IF(HR_Data[[#This Row],[JobSatisfaction]]&lt;=2,"Low","High")</f>
        <v>High</v>
      </c>
      <c r="AP140" s="11" t="str">
        <f>IF(AND(HR_Data[[#This Row],[OverTime]]="Yes",HR_Data[[#This Row],[JobSatisfaction]]&lt;=2,HR_Data[[#This Row],[YearsAtCompany]]&lt;=2),"High Risk","Normal")</f>
        <v>Normal</v>
      </c>
    </row>
    <row r="141" spans="1:42" x14ac:dyDescent="0.25">
      <c r="A141" s="6">
        <v>30</v>
      </c>
      <c r="B141" s="4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s="11" t="str">
        <f>IF(HR_Data[[#This Row],[Age]]&lt;=25,"18-25",IF(HR_Data[[#This Row],[Age]]&lt;=35,"26-35",IF(HR_Data[[#This Row],[Age]]&lt;=45,"36-45",IF(HR_Data[[#This Row],[Age]]&lt;=55,"46-55","56+"))))</f>
        <v>26-35</v>
      </c>
      <c r="AK141" s="11" t="str">
        <f>IF(HR_Data[[#This Row],[MonthlyIncome]]&lt;3000,"Low",IF(HR_Data[[#This Row],[MonthlyIncome]]&lt;6000,"Medium",IF(HR_Data[[#This Row],[MonthlyIncome]]&lt;10000,"High","Very High")))</f>
        <v>High</v>
      </c>
      <c r="AL141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41" t="str">
        <f>IF(HR_Data[[#This Row],[TotalWorkingYears]]&lt;=5,"Junior",IF(HR_Data[[#This Row],[TotalWorkingYears]]&lt;=15,"Mid-Level","Senior"))</f>
        <v>Mid-Level</v>
      </c>
      <c r="AN141" s="11" t="str">
        <f>IF(HR_Data[[#This Row],[PerformanceRating]]=3,"Standard","Excellent")</f>
        <v>Standard</v>
      </c>
      <c r="AO141" s="11" t="str">
        <f>IF(HR_Data[[#This Row],[JobSatisfaction]]&lt;=2,"Low","High")</f>
        <v>High</v>
      </c>
      <c r="AP141" s="11" t="str">
        <f>IF(AND(HR_Data[[#This Row],[OverTime]]="Yes",HR_Data[[#This Row],[JobSatisfaction]]&lt;=2,HR_Data[[#This Row],[YearsAtCompany]]&lt;=2),"High Risk","Normal")</f>
        <v>Normal</v>
      </c>
    </row>
    <row r="142" spans="1:42" x14ac:dyDescent="0.25">
      <c r="A142" s="6">
        <v>32</v>
      </c>
      <c r="B142" s="4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s="11" t="str">
        <f>IF(HR_Data[[#This Row],[Age]]&lt;=25,"18-25",IF(HR_Data[[#This Row],[Age]]&lt;=35,"26-35",IF(HR_Data[[#This Row],[Age]]&lt;=45,"36-45",IF(HR_Data[[#This Row],[Age]]&lt;=55,"46-55","56+"))))</f>
        <v>26-35</v>
      </c>
      <c r="AK142" s="11" t="str">
        <f>IF(HR_Data[[#This Row],[MonthlyIncome]]&lt;3000,"Low",IF(HR_Data[[#This Row],[MonthlyIncome]]&lt;6000,"Medium",IF(HR_Data[[#This Row],[MonthlyIncome]]&lt;10000,"High","Very High")))</f>
        <v>Medium</v>
      </c>
      <c r="AL14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2" t="str">
        <f>IF(HR_Data[[#This Row],[TotalWorkingYears]]&lt;=5,"Junior",IF(HR_Data[[#This Row],[TotalWorkingYears]]&lt;=15,"Mid-Level","Senior"))</f>
        <v>Mid-Level</v>
      </c>
      <c r="AN142" s="11" t="str">
        <f>IF(HR_Data[[#This Row],[PerformanceRating]]=3,"Standard","Excellent")</f>
        <v>Excellent</v>
      </c>
      <c r="AO142" s="11" t="str">
        <f>IF(HR_Data[[#This Row],[JobSatisfaction]]&lt;=2,"Low","High")</f>
        <v>Low</v>
      </c>
      <c r="AP142" s="11" t="str">
        <f>IF(AND(HR_Data[[#This Row],[OverTime]]="Yes",HR_Data[[#This Row],[JobSatisfaction]]&lt;=2,HR_Data[[#This Row],[YearsAtCompany]]&lt;=2),"High Risk","Normal")</f>
        <v>Normal</v>
      </c>
    </row>
    <row r="143" spans="1:42" x14ac:dyDescent="0.25">
      <c r="A143" s="6">
        <v>45</v>
      </c>
      <c r="B143" s="4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s="11" t="str">
        <f>IF(HR_Data[[#This Row],[Age]]&lt;=25,"18-25",IF(HR_Data[[#This Row],[Age]]&lt;=35,"26-35",IF(HR_Data[[#This Row],[Age]]&lt;=45,"36-45",IF(HR_Data[[#This Row],[Age]]&lt;=55,"46-55","56+"))))</f>
        <v>36-45</v>
      </c>
      <c r="AK143" s="11" t="str">
        <f>IF(HR_Data[[#This Row],[MonthlyIncome]]&lt;3000,"Low",IF(HR_Data[[#This Row],[MonthlyIncome]]&lt;6000,"Medium",IF(HR_Data[[#This Row],[MonthlyIncome]]&lt;10000,"High","Very High")))</f>
        <v>Medium</v>
      </c>
      <c r="AL14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3" t="str">
        <f>IF(HR_Data[[#This Row],[TotalWorkingYears]]&lt;=5,"Junior",IF(HR_Data[[#This Row],[TotalWorkingYears]]&lt;=15,"Mid-Level","Senior"))</f>
        <v>Mid-Level</v>
      </c>
      <c r="AN143" s="11" t="str">
        <f>IF(HR_Data[[#This Row],[PerformanceRating]]=3,"Standard","Excellent")</f>
        <v>Standard</v>
      </c>
      <c r="AO143" s="11" t="str">
        <f>IF(HR_Data[[#This Row],[JobSatisfaction]]&lt;=2,"Low","High")</f>
        <v>High</v>
      </c>
      <c r="AP143" s="11" t="str">
        <f>IF(AND(HR_Data[[#This Row],[OverTime]]="Yes",HR_Data[[#This Row],[JobSatisfaction]]&lt;=2,HR_Data[[#This Row],[YearsAtCompany]]&lt;=2),"High Risk","Normal")</f>
        <v>Normal</v>
      </c>
    </row>
    <row r="144" spans="1:42" x14ac:dyDescent="0.25">
      <c r="A144" s="6">
        <v>38</v>
      </c>
      <c r="B144" s="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s="11" t="str">
        <f>IF(HR_Data[[#This Row],[Age]]&lt;=25,"18-25",IF(HR_Data[[#This Row],[Age]]&lt;=35,"26-35",IF(HR_Data[[#This Row],[Age]]&lt;=45,"36-45",IF(HR_Data[[#This Row],[Age]]&lt;=55,"46-55","56+"))))</f>
        <v>36-45</v>
      </c>
      <c r="AK144" s="11" t="str">
        <f>IF(HR_Data[[#This Row],[MonthlyIncome]]&lt;3000,"Low",IF(HR_Data[[#This Row],[MonthlyIncome]]&lt;6000,"Medium",IF(HR_Data[[#This Row],[MonthlyIncome]]&lt;10000,"High","Very High")))</f>
        <v>Medium</v>
      </c>
      <c r="AL14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4" t="str">
        <f>IF(HR_Data[[#This Row],[TotalWorkingYears]]&lt;=5,"Junior",IF(HR_Data[[#This Row],[TotalWorkingYears]]&lt;=15,"Mid-Level","Senior"))</f>
        <v>Senior</v>
      </c>
      <c r="AN144" s="11" t="str">
        <f>IF(HR_Data[[#This Row],[PerformanceRating]]=3,"Standard","Excellent")</f>
        <v>Excellent</v>
      </c>
      <c r="AO144" s="11" t="str">
        <f>IF(HR_Data[[#This Row],[JobSatisfaction]]&lt;=2,"Low","High")</f>
        <v>High</v>
      </c>
      <c r="AP144" s="11" t="str">
        <f>IF(AND(HR_Data[[#This Row],[OverTime]]="Yes",HR_Data[[#This Row],[JobSatisfaction]]&lt;=2,HR_Data[[#This Row],[YearsAtCompany]]&lt;=2),"High Risk","Normal")</f>
        <v>Normal</v>
      </c>
    </row>
    <row r="145" spans="1:42" x14ac:dyDescent="0.25">
      <c r="A145" s="6">
        <v>30</v>
      </c>
      <c r="B145" s="4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s="11" t="str">
        <f>IF(HR_Data[[#This Row],[Age]]&lt;=25,"18-25",IF(HR_Data[[#This Row],[Age]]&lt;=35,"26-35",IF(HR_Data[[#This Row],[Age]]&lt;=45,"36-45",IF(HR_Data[[#This Row],[Age]]&lt;=55,"46-55","56+"))))</f>
        <v>26-35</v>
      </c>
      <c r="AK145" s="11" t="str">
        <f>IF(HR_Data[[#This Row],[MonthlyIncome]]&lt;3000,"Low",IF(HR_Data[[#This Row],[MonthlyIncome]]&lt;6000,"Medium",IF(HR_Data[[#This Row],[MonthlyIncome]]&lt;10000,"High","Very High")))</f>
        <v>Low</v>
      </c>
      <c r="AL14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5" t="str">
        <f>IF(HR_Data[[#This Row],[TotalWorkingYears]]&lt;=5,"Junior",IF(HR_Data[[#This Row],[TotalWorkingYears]]&lt;=15,"Mid-Level","Senior"))</f>
        <v>Junior</v>
      </c>
      <c r="AN145" s="11" t="str">
        <f>IF(HR_Data[[#This Row],[PerformanceRating]]=3,"Standard","Excellent")</f>
        <v>Standard</v>
      </c>
      <c r="AO145" s="11" t="str">
        <f>IF(HR_Data[[#This Row],[JobSatisfaction]]&lt;=2,"Low","High")</f>
        <v>High</v>
      </c>
      <c r="AP145" s="11" t="str">
        <f>IF(AND(HR_Data[[#This Row],[OverTime]]="Yes",HR_Data[[#This Row],[JobSatisfaction]]&lt;=2,HR_Data[[#This Row],[YearsAtCompany]]&lt;=2),"High Risk","Normal")</f>
        <v>Normal</v>
      </c>
    </row>
    <row r="146" spans="1:42" x14ac:dyDescent="0.25">
      <c r="A146" s="6">
        <v>32</v>
      </c>
      <c r="B146" s="4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s="11" t="str">
        <f>IF(HR_Data[[#This Row],[Age]]&lt;=25,"18-25",IF(HR_Data[[#This Row],[Age]]&lt;=35,"26-35",IF(HR_Data[[#This Row],[Age]]&lt;=45,"36-45",IF(HR_Data[[#This Row],[Age]]&lt;=55,"46-55","56+"))))</f>
        <v>26-35</v>
      </c>
      <c r="AK146" s="11" t="str">
        <f>IF(HR_Data[[#This Row],[MonthlyIncome]]&lt;3000,"Low",IF(HR_Data[[#This Row],[MonthlyIncome]]&lt;6000,"Medium",IF(HR_Data[[#This Row],[MonthlyIncome]]&lt;10000,"High","Very High")))</f>
        <v>Medium</v>
      </c>
      <c r="AL14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6" t="str">
        <f>IF(HR_Data[[#This Row],[TotalWorkingYears]]&lt;=5,"Junior",IF(HR_Data[[#This Row],[TotalWorkingYears]]&lt;=15,"Mid-Level","Senior"))</f>
        <v>Mid-Level</v>
      </c>
      <c r="AN146" s="11" t="str">
        <f>IF(HR_Data[[#This Row],[PerformanceRating]]=3,"Standard","Excellent")</f>
        <v>Standard</v>
      </c>
      <c r="AO146" s="11" t="str">
        <f>IF(HR_Data[[#This Row],[JobSatisfaction]]&lt;=2,"Low","High")</f>
        <v>High</v>
      </c>
      <c r="AP146" s="11" t="str">
        <f>IF(AND(HR_Data[[#This Row],[OverTime]]="Yes",HR_Data[[#This Row],[JobSatisfaction]]&lt;=2,HR_Data[[#This Row],[YearsAtCompany]]&lt;=2),"High Risk","Normal")</f>
        <v>Normal</v>
      </c>
    </row>
    <row r="147" spans="1:42" x14ac:dyDescent="0.25">
      <c r="A147" s="6">
        <v>30</v>
      </c>
      <c r="B147" s="4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s="11" t="str">
        <f>IF(HR_Data[[#This Row],[Age]]&lt;=25,"18-25",IF(HR_Data[[#This Row],[Age]]&lt;=35,"26-35",IF(HR_Data[[#This Row],[Age]]&lt;=45,"36-45",IF(HR_Data[[#This Row],[Age]]&lt;=55,"46-55","56+"))))</f>
        <v>26-35</v>
      </c>
      <c r="AK147" s="11" t="str">
        <f>IF(HR_Data[[#This Row],[MonthlyIncome]]&lt;3000,"Low",IF(HR_Data[[#This Row],[MonthlyIncome]]&lt;6000,"Medium",IF(HR_Data[[#This Row],[MonthlyIncome]]&lt;10000,"High","Very High")))</f>
        <v>Medium</v>
      </c>
      <c r="AL14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7" t="str">
        <f>IF(HR_Data[[#This Row],[TotalWorkingYears]]&lt;=5,"Junior",IF(HR_Data[[#This Row],[TotalWorkingYears]]&lt;=15,"Mid-Level","Senior"))</f>
        <v>Mid-Level</v>
      </c>
      <c r="AN147" s="11" t="str">
        <f>IF(HR_Data[[#This Row],[PerformanceRating]]=3,"Standard","Excellent")</f>
        <v>Standard</v>
      </c>
      <c r="AO147" s="11" t="str">
        <f>IF(HR_Data[[#This Row],[JobSatisfaction]]&lt;=2,"Low","High")</f>
        <v>Low</v>
      </c>
      <c r="AP147" s="11" t="str">
        <f>IF(AND(HR_Data[[#This Row],[OverTime]]="Yes",HR_Data[[#This Row],[JobSatisfaction]]&lt;=2,HR_Data[[#This Row],[YearsAtCompany]]&lt;=2),"High Risk","Normal")</f>
        <v>Normal</v>
      </c>
    </row>
    <row r="148" spans="1:42" x14ac:dyDescent="0.25">
      <c r="A148" s="6">
        <v>30</v>
      </c>
      <c r="B148" s="4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s="11" t="str">
        <f>IF(HR_Data[[#This Row],[Age]]&lt;=25,"18-25",IF(HR_Data[[#This Row],[Age]]&lt;=35,"26-35",IF(HR_Data[[#This Row],[Age]]&lt;=45,"36-45",IF(HR_Data[[#This Row],[Age]]&lt;=55,"46-55","56+"))))</f>
        <v>26-35</v>
      </c>
      <c r="AK148" s="11" t="str">
        <f>IF(HR_Data[[#This Row],[MonthlyIncome]]&lt;3000,"Low",IF(HR_Data[[#This Row],[MonthlyIncome]]&lt;6000,"Medium",IF(HR_Data[[#This Row],[MonthlyIncome]]&lt;10000,"High","Very High")))</f>
        <v>Low</v>
      </c>
      <c r="AL14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8" t="str">
        <f>IF(HR_Data[[#This Row],[TotalWorkingYears]]&lt;=5,"Junior",IF(HR_Data[[#This Row],[TotalWorkingYears]]&lt;=15,"Mid-Level","Senior"))</f>
        <v>Mid-Level</v>
      </c>
      <c r="AN148" s="11" t="str">
        <f>IF(HR_Data[[#This Row],[PerformanceRating]]=3,"Standard","Excellent")</f>
        <v>Standard</v>
      </c>
      <c r="AO148" s="11" t="str">
        <f>IF(HR_Data[[#This Row],[JobSatisfaction]]&lt;=2,"Low","High")</f>
        <v>High</v>
      </c>
      <c r="AP148" s="11" t="str">
        <f>IF(AND(HR_Data[[#This Row],[OverTime]]="Yes",HR_Data[[#This Row],[JobSatisfaction]]&lt;=2,HR_Data[[#This Row],[YearsAtCompany]]&lt;=2),"High Risk","Normal")</f>
        <v>Normal</v>
      </c>
    </row>
    <row r="149" spans="1:42" x14ac:dyDescent="0.25">
      <c r="A149" s="6">
        <v>41</v>
      </c>
      <c r="B149" s="4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s="11" t="str">
        <f>IF(HR_Data[[#This Row],[Age]]&lt;=25,"18-25",IF(HR_Data[[#This Row],[Age]]&lt;=35,"26-35",IF(HR_Data[[#This Row],[Age]]&lt;=45,"36-45",IF(HR_Data[[#This Row],[Age]]&lt;=55,"46-55","56+"))))</f>
        <v>36-45</v>
      </c>
      <c r="AK149" s="11" t="str">
        <f>IF(HR_Data[[#This Row],[MonthlyIncome]]&lt;3000,"Low",IF(HR_Data[[#This Row],[MonthlyIncome]]&lt;6000,"Medium",IF(HR_Data[[#This Row],[MonthlyIncome]]&lt;10000,"High","Very High")))</f>
        <v>Very High</v>
      </c>
      <c r="AL14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9" t="str">
        <f>IF(HR_Data[[#This Row],[TotalWorkingYears]]&lt;=5,"Junior",IF(HR_Data[[#This Row],[TotalWorkingYears]]&lt;=15,"Mid-Level","Senior"))</f>
        <v>Senior</v>
      </c>
      <c r="AN149" s="11" t="str">
        <f>IF(HR_Data[[#This Row],[PerformanceRating]]=3,"Standard","Excellent")</f>
        <v>Standard</v>
      </c>
      <c r="AO149" s="11" t="str">
        <f>IF(HR_Data[[#This Row],[JobSatisfaction]]&lt;=2,"Low","High")</f>
        <v>Low</v>
      </c>
      <c r="AP149" s="11" t="str">
        <f>IF(AND(HR_Data[[#This Row],[OverTime]]="Yes",HR_Data[[#This Row],[JobSatisfaction]]&lt;=2,HR_Data[[#This Row],[YearsAtCompany]]&lt;=2),"High Risk","Normal")</f>
        <v>Normal</v>
      </c>
    </row>
    <row r="150" spans="1:42" x14ac:dyDescent="0.25">
      <c r="A150" s="6">
        <v>41</v>
      </c>
      <c r="B150" s="4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s="11" t="str">
        <f>IF(HR_Data[[#This Row],[Age]]&lt;=25,"18-25",IF(HR_Data[[#This Row],[Age]]&lt;=35,"26-35",IF(HR_Data[[#This Row],[Age]]&lt;=45,"36-45",IF(HR_Data[[#This Row],[Age]]&lt;=55,"46-55","56+"))))</f>
        <v>36-45</v>
      </c>
      <c r="AK150" s="11" t="str">
        <f>IF(HR_Data[[#This Row],[MonthlyIncome]]&lt;3000,"Low",IF(HR_Data[[#This Row],[MonthlyIncome]]&lt;6000,"Medium",IF(HR_Data[[#This Row],[MonthlyIncome]]&lt;10000,"High","Very High")))</f>
        <v>Low</v>
      </c>
      <c r="AL15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50" t="str">
        <f>IF(HR_Data[[#This Row],[TotalWorkingYears]]&lt;=5,"Junior",IF(HR_Data[[#This Row],[TotalWorkingYears]]&lt;=15,"Mid-Level","Senior"))</f>
        <v>Mid-Level</v>
      </c>
      <c r="AN150" s="11" t="str">
        <f>IF(HR_Data[[#This Row],[PerformanceRating]]=3,"Standard","Excellent")</f>
        <v>Excellent</v>
      </c>
      <c r="AO150" s="11" t="str">
        <f>IF(HR_Data[[#This Row],[JobSatisfaction]]&lt;=2,"Low","High")</f>
        <v>Low</v>
      </c>
      <c r="AP150" s="11" t="str">
        <f>IF(AND(HR_Data[[#This Row],[OverTime]]="Yes",HR_Data[[#This Row],[JobSatisfaction]]&lt;=2,HR_Data[[#This Row],[YearsAtCompany]]&lt;=2),"High Risk","Normal")</f>
        <v>Normal</v>
      </c>
    </row>
    <row r="151" spans="1:42" x14ac:dyDescent="0.25">
      <c r="A151" s="6">
        <v>19</v>
      </c>
      <c r="B151" s="4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s="11" t="str">
        <f>IF(HR_Data[[#This Row],[Age]]&lt;=25,"18-25",IF(HR_Data[[#This Row],[Age]]&lt;=35,"26-35",IF(HR_Data[[#This Row],[Age]]&lt;=45,"36-45",IF(HR_Data[[#This Row],[Age]]&lt;=55,"46-55","56+"))))</f>
        <v>18-25</v>
      </c>
      <c r="AK151" s="11" t="str">
        <f>IF(HR_Data[[#This Row],[MonthlyIncome]]&lt;3000,"Low",IF(HR_Data[[#This Row],[MonthlyIncome]]&lt;6000,"Medium",IF(HR_Data[[#This Row],[MonthlyIncome]]&lt;10000,"High","Very High")))</f>
        <v>Low</v>
      </c>
      <c r="AL15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51" t="str">
        <f>IF(HR_Data[[#This Row],[TotalWorkingYears]]&lt;=5,"Junior",IF(HR_Data[[#This Row],[TotalWorkingYears]]&lt;=15,"Mid-Level","Senior"))</f>
        <v>Junior</v>
      </c>
      <c r="AN151" s="11" t="str">
        <f>IF(HR_Data[[#This Row],[PerformanceRating]]=3,"Standard","Excellent")</f>
        <v>Standard</v>
      </c>
      <c r="AO151" s="11" t="str">
        <f>IF(HR_Data[[#This Row],[JobSatisfaction]]&lt;=2,"Low","High")</f>
        <v>Low</v>
      </c>
      <c r="AP151" s="11" t="str">
        <f>IF(AND(HR_Data[[#This Row],[OverTime]]="Yes",HR_Data[[#This Row],[JobSatisfaction]]&lt;=2,HR_Data[[#This Row],[YearsAtCompany]]&lt;=2),"High Risk","Normal")</f>
        <v>Normal</v>
      </c>
    </row>
    <row r="152" spans="1:42" x14ac:dyDescent="0.25">
      <c r="A152" s="6">
        <v>40</v>
      </c>
      <c r="B152" s="4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s="11" t="str">
        <f>IF(HR_Data[[#This Row],[Age]]&lt;=25,"18-25",IF(HR_Data[[#This Row],[Age]]&lt;=35,"26-35",IF(HR_Data[[#This Row],[Age]]&lt;=45,"36-45",IF(HR_Data[[#This Row],[Age]]&lt;=55,"46-55","56+"))))</f>
        <v>36-45</v>
      </c>
      <c r="AK152" s="11" t="str">
        <f>IF(HR_Data[[#This Row],[MonthlyIncome]]&lt;3000,"Low",IF(HR_Data[[#This Row],[MonthlyIncome]]&lt;6000,"Medium",IF(HR_Data[[#This Row],[MonthlyIncome]]&lt;10000,"High","Very High")))</f>
        <v>Medium</v>
      </c>
      <c r="AL152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52" t="str">
        <f>IF(HR_Data[[#This Row],[TotalWorkingYears]]&lt;=5,"Junior",IF(HR_Data[[#This Row],[TotalWorkingYears]]&lt;=15,"Mid-Level","Senior"))</f>
        <v>Senior</v>
      </c>
      <c r="AN152" s="11" t="str">
        <f>IF(HR_Data[[#This Row],[PerformanceRating]]=3,"Standard","Excellent")</f>
        <v>Standard</v>
      </c>
      <c r="AO152" s="11" t="str">
        <f>IF(HR_Data[[#This Row],[JobSatisfaction]]&lt;=2,"Low","High")</f>
        <v>Low</v>
      </c>
      <c r="AP152" s="11" t="str">
        <f>IF(AND(HR_Data[[#This Row],[OverTime]]="Yes",HR_Data[[#This Row],[JobSatisfaction]]&lt;=2,HR_Data[[#This Row],[YearsAtCompany]]&lt;=2),"High Risk","Normal")</f>
        <v>Normal</v>
      </c>
    </row>
    <row r="153" spans="1:42" x14ac:dyDescent="0.25">
      <c r="A153" s="6">
        <v>35</v>
      </c>
      <c r="B153" s="4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s="11" t="str">
        <f>IF(HR_Data[[#This Row],[Age]]&lt;=25,"18-25",IF(HR_Data[[#This Row],[Age]]&lt;=35,"26-35",IF(HR_Data[[#This Row],[Age]]&lt;=45,"36-45",IF(HR_Data[[#This Row],[Age]]&lt;=55,"46-55","56+"))))</f>
        <v>26-35</v>
      </c>
      <c r="AK153" s="11" t="str">
        <f>IF(HR_Data[[#This Row],[MonthlyIncome]]&lt;3000,"Low",IF(HR_Data[[#This Row],[MonthlyIncome]]&lt;6000,"Medium",IF(HR_Data[[#This Row],[MonthlyIncome]]&lt;10000,"High","Very High")))</f>
        <v>High</v>
      </c>
      <c r="AL15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53" t="str">
        <f>IF(HR_Data[[#This Row],[TotalWorkingYears]]&lt;=5,"Junior",IF(HR_Data[[#This Row],[TotalWorkingYears]]&lt;=15,"Mid-Level","Senior"))</f>
        <v>Mid-Level</v>
      </c>
      <c r="AN153" s="11" t="str">
        <f>IF(HR_Data[[#This Row],[PerformanceRating]]=3,"Standard","Excellent")</f>
        <v>Standard</v>
      </c>
      <c r="AO153" s="11" t="str">
        <f>IF(HR_Data[[#This Row],[JobSatisfaction]]&lt;=2,"Low","High")</f>
        <v>Low</v>
      </c>
      <c r="AP153" s="11" t="str">
        <f>IF(AND(HR_Data[[#This Row],[OverTime]]="Yes",HR_Data[[#This Row],[JobSatisfaction]]&lt;=2,HR_Data[[#This Row],[YearsAtCompany]]&lt;=2),"High Risk","Normal")</f>
        <v>Normal</v>
      </c>
    </row>
    <row r="154" spans="1:42" x14ac:dyDescent="0.25">
      <c r="A154" s="6">
        <v>53</v>
      </c>
      <c r="B154" s="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s="11" t="str">
        <f>IF(HR_Data[[#This Row],[Age]]&lt;=25,"18-25",IF(HR_Data[[#This Row],[Age]]&lt;=35,"26-35",IF(HR_Data[[#This Row],[Age]]&lt;=45,"36-45",IF(HR_Data[[#This Row],[Age]]&lt;=55,"46-55","56+"))))</f>
        <v>46-55</v>
      </c>
      <c r="AK154" s="11" t="str">
        <f>IF(HR_Data[[#This Row],[MonthlyIncome]]&lt;3000,"Low",IF(HR_Data[[#This Row],[MonthlyIncome]]&lt;6000,"Medium",IF(HR_Data[[#This Row],[MonthlyIncome]]&lt;10000,"High","Very High")))</f>
        <v>Low</v>
      </c>
      <c r="AL15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54" t="str">
        <f>IF(HR_Data[[#This Row],[TotalWorkingYears]]&lt;=5,"Junior",IF(HR_Data[[#This Row],[TotalWorkingYears]]&lt;=15,"Mid-Level","Senior"))</f>
        <v>Mid-Level</v>
      </c>
      <c r="AN154" s="11" t="str">
        <f>IF(HR_Data[[#This Row],[PerformanceRating]]=3,"Standard","Excellent")</f>
        <v>Excellent</v>
      </c>
      <c r="AO154" s="11" t="str">
        <f>IF(HR_Data[[#This Row],[JobSatisfaction]]&lt;=2,"Low","High")</f>
        <v>High</v>
      </c>
      <c r="AP154" s="11" t="str">
        <f>IF(AND(HR_Data[[#This Row],[OverTime]]="Yes",HR_Data[[#This Row],[JobSatisfaction]]&lt;=2,HR_Data[[#This Row],[YearsAtCompany]]&lt;=2),"High Risk","Normal")</f>
        <v>Normal</v>
      </c>
    </row>
    <row r="155" spans="1:42" x14ac:dyDescent="0.25">
      <c r="A155" s="6">
        <v>45</v>
      </c>
      <c r="B155" s="4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s="11" t="str">
        <f>IF(HR_Data[[#This Row],[Age]]&lt;=25,"18-25",IF(HR_Data[[#This Row],[Age]]&lt;=35,"26-35",IF(HR_Data[[#This Row],[Age]]&lt;=45,"36-45",IF(HR_Data[[#This Row],[Age]]&lt;=55,"46-55","56+"))))</f>
        <v>36-45</v>
      </c>
      <c r="AK155" s="11" t="str">
        <f>IF(HR_Data[[#This Row],[MonthlyIncome]]&lt;3000,"Low",IF(HR_Data[[#This Row],[MonthlyIncome]]&lt;6000,"Medium",IF(HR_Data[[#This Row],[MonthlyIncome]]&lt;10000,"High","Very High")))</f>
        <v>Low</v>
      </c>
      <c r="AL15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55" t="str">
        <f>IF(HR_Data[[#This Row],[TotalWorkingYears]]&lt;=5,"Junior",IF(HR_Data[[#This Row],[TotalWorkingYears]]&lt;=15,"Mid-Level","Senior"))</f>
        <v>Senior</v>
      </c>
      <c r="AN155" s="11" t="str">
        <f>IF(HR_Data[[#This Row],[PerformanceRating]]=3,"Standard","Excellent")</f>
        <v>Standard</v>
      </c>
      <c r="AO155" s="11" t="str">
        <f>IF(HR_Data[[#This Row],[JobSatisfaction]]&lt;=2,"Low","High")</f>
        <v>Low</v>
      </c>
      <c r="AP155" s="11" t="str">
        <f>IF(AND(HR_Data[[#This Row],[OverTime]]="Yes",HR_Data[[#This Row],[JobSatisfaction]]&lt;=2,HR_Data[[#This Row],[YearsAtCompany]]&lt;=2),"High Risk","Normal")</f>
        <v>Normal</v>
      </c>
    </row>
    <row r="156" spans="1:42" x14ac:dyDescent="0.25">
      <c r="A156" s="6">
        <v>32</v>
      </c>
      <c r="B156" s="4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s="11" t="str">
        <f>IF(HR_Data[[#This Row],[Age]]&lt;=25,"18-25",IF(HR_Data[[#This Row],[Age]]&lt;=35,"26-35",IF(HR_Data[[#This Row],[Age]]&lt;=45,"36-45",IF(HR_Data[[#This Row],[Age]]&lt;=55,"46-55","56+"))))</f>
        <v>26-35</v>
      </c>
      <c r="AK156" s="11" t="str">
        <f>IF(HR_Data[[#This Row],[MonthlyIncome]]&lt;3000,"Low",IF(HR_Data[[#This Row],[MonthlyIncome]]&lt;6000,"Medium",IF(HR_Data[[#This Row],[MonthlyIncome]]&lt;10000,"High","Very High")))</f>
        <v>High</v>
      </c>
      <c r="AL15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56" t="str">
        <f>IF(HR_Data[[#This Row],[TotalWorkingYears]]&lt;=5,"Junior",IF(HR_Data[[#This Row],[TotalWorkingYears]]&lt;=15,"Mid-Level","Senior"))</f>
        <v>Mid-Level</v>
      </c>
      <c r="AN156" s="11" t="str">
        <f>IF(HR_Data[[#This Row],[PerformanceRating]]=3,"Standard","Excellent")</f>
        <v>Standard</v>
      </c>
      <c r="AO156" s="11" t="str">
        <f>IF(HR_Data[[#This Row],[JobSatisfaction]]&lt;=2,"Low","High")</f>
        <v>High</v>
      </c>
      <c r="AP156" s="11" t="str">
        <f>IF(AND(HR_Data[[#This Row],[OverTime]]="Yes",HR_Data[[#This Row],[JobSatisfaction]]&lt;=2,HR_Data[[#This Row],[YearsAtCompany]]&lt;=2),"High Risk","Normal")</f>
        <v>Normal</v>
      </c>
    </row>
    <row r="157" spans="1:42" x14ac:dyDescent="0.25">
      <c r="A157" s="6">
        <v>29</v>
      </c>
      <c r="B157" s="4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s="11" t="str">
        <f>IF(HR_Data[[#This Row],[Age]]&lt;=25,"18-25",IF(HR_Data[[#This Row],[Age]]&lt;=35,"26-35",IF(HR_Data[[#This Row],[Age]]&lt;=45,"36-45",IF(HR_Data[[#This Row],[Age]]&lt;=55,"46-55","56+"))))</f>
        <v>26-35</v>
      </c>
      <c r="AK157" s="11" t="str">
        <f>IF(HR_Data[[#This Row],[MonthlyIncome]]&lt;3000,"Low",IF(HR_Data[[#This Row],[MonthlyIncome]]&lt;6000,"Medium",IF(HR_Data[[#This Row],[MonthlyIncome]]&lt;10000,"High","Very High")))</f>
        <v>Medium</v>
      </c>
      <c r="AL15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57" t="str">
        <f>IF(HR_Data[[#This Row],[TotalWorkingYears]]&lt;=5,"Junior",IF(HR_Data[[#This Row],[TotalWorkingYears]]&lt;=15,"Mid-Level","Senior"))</f>
        <v>Mid-Level</v>
      </c>
      <c r="AN157" s="11" t="str">
        <f>IF(HR_Data[[#This Row],[PerformanceRating]]=3,"Standard","Excellent")</f>
        <v>Standard</v>
      </c>
      <c r="AO157" s="11" t="str">
        <f>IF(HR_Data[[#This Row],[JobSatisfaction]]&lt;=2,"Low","High")</f>
        <v>High</v>
      </c>
      <c r="AP157" s="11" t="str">
        <f>IF(AND(HR_Data[[#This Row],[OverTime]]="Yes",HR_Data[[#This Row],[JobSatisfaction]]&lt;=2,HR_Data[[#This Row],[YearsAtCompany]]&lt;=2),"High Risk","Normal")</f>
        <v>Normal</v>
      </c>
    </row>
    <row r="158" spans="1:42" x14ac:dyDescent="0.25">
      <c r="A158" s="6">
        <v>51</v>
      </c>
      <c r="B158" s="4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s="11" t="str">
        <f>IF(HR_Data[[#This Row],[Age]]&lt;=25,"18-25",IF(HR_Data[[#This Row],[Age]]&lt;=35,"26-35",IF(HR_Data[[#This Row],[Age]]&lt;=45,"36-45",IF(HR_Data[[#This Row],[Age]]&lt;=55,"46-55","56+"))))</f>
        <v>46-55</v>
      </c>
      <c r="AK158" s="11" t="str">
        <f>IF(HR_Data[[#This Row],[MonthlyIncome]]&lt;3000,"Low",IF(HR_Data[[#This Row],[MonthlyIncome]]&lt;6000,"Medium",IF(HR_Data[[#This Row],[MonthlyIncome]]&lt;10000,"High","Very High")))</f>
        <v>High</v>
      </c>
      <c r="AL15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58" t="str">
        <f>IF(HR_Data[[#This Row],[TotalWorkingYears]]&lt;=5,"Junior",IF(HR_Data[[#This Row],[TotalWorkingYears]]&lt;=15,"Mid-Level","Senior"))</f>
        <v>Mid-Level</v>
      </c>
      <c r="AN158" s="11" t="str">
        <f>IF(HR_Data[[#This Row],[PerformanceRating]]=3,"Standard","Excellent")</f>
        <v>Standard</v>
      </c>
      <c r="AO158" s="11" t="str">
        <f>IF(HR_Data[[#This Row],[JobSatisfaction]]&lt;=2,"Low","High")</f>
        <v>High</v>
      </c>
      <c r="AP158" s="11" t="str">
        <f>IF(AND(HR_Data[[#This Row],[OverTime]]="Yes",HR_Data[[#This Row],[JobSatisfaction]]&lt;=2,HR_Data[[#This Row],[YearsAtCompany]]&lt;=2),"High Risk","Normal")</f>
        <v>Normal</v>
      </c>
    </row>
    <row r="159" spans="1:42" x14ac:dyDescent="0.25">
      <c r="A159" s="6">
        <v>58</v>
      </c>
      <c r="B159" s="4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s="11" t="str">
        <f>IF(HR_Data[[#This Row],[Age]]&lt;=25,"18-25",IF(HR_Data[[#This Row],[Age]]&lt;=35,"26-35",IF(HR_Data[[#This Row],[Age]]&lt;=45,"36-45",IF(HR_Data[[#This Row],[Age]]&lt;=55,"46-55","56+"))))</f>
        <v>56+</v>
      </c>
      <c r="AK159" s="11" t="str">
        <f>IF(HR_Data[[#This Row],[MonthlyIncome]]&lt;3000,"Low",IF(HR_Data[[#This Row],[MonthlyIncome]]&lt;6000,"Medium",IF(HR_Data[[#This Row],[MonthlyIncome]]&lt;10000,"High","Very High")))</f>
        <v>Medium</v>
      </c>
      <c r="AL15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59" t="str">
        <f>IF(HR_Data[[#This Row],[TotalWorkingYears]]&lt;=5,"Junior",IF(HR_Data[[#This Row],[TotalWorkingYears]]&lt;=15,"Mid-Level","Senior"))</f>
        <v>Mid-Level</v>
      </c>
      <c r="AN159" s="11" t="str">
        <f>IF(HR_Data[[#This Row],[PerformanceRating]]=3,"Standard","Excellent")</f>
        <v>Excellent</v>
      </c>
      <c r="AO159" s="11" t="str">
        <f>IF(HR_Data[[#This Row],[JobSatisfaction]]&lt;=2,"Low","High")</f>
        <v>Low</v>
      </c>
      <c r="AP159" s="11" t="str">
        <f>IF(AND(HR_Data[[#This Row],[OverTime]]="Yes",HR_Data[[#This Row],[JobSatisfaction]]&lt;=2,HR_Data[[#This Row],[YearsAtCompany]]&lt;=2),"High Risk","Normal")</f>
        <v>High Risk</v>
      </c>
    </row>
    <row r="160" spans="1:42" x14ac:dyDescent="0.25">
      <c r="A160" s="6">
        <v>40</v>
      </c>
      <c r="B160" s="4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s="11" t="str">
        <f>IF(HR_Data[[#This Row],[Age]]&lt;=25,"18-25",IF(HR_Data[[#This Row],[Age]]&lt;=35,"26-35",IF(HR_Data[[#This Row],[Age]]&lt;=45,"36-45",IF(HR_Data[[#This Row],[Age]]&lt;=55,"46-55","56+"))))</f>
        <v>36-45</v>
      </c>
      <c r="AK160" s="11" t="str">
        <f>IF(HR_Data[[#This Row],[MonthlyIncome]]&lt;3000,"Low",IF(HR_Data[[#This Row],[MonthlyIncome]]&lt;6000,"Medium",IF(HR_Data[[#This Row],[MonthlyIncome]]&lt;10000,"High","Very High")))</f>
        <v>Very High</v>
      </c>
      <c r="AL16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60" t="str">
        <f>IF(HR_Data[[#This Row],[TotalWorkingYears]]&lt;=5,"Junior",IF(HR_Data[[#This Row],[TotalWorkingYears]]&lt;=15,"Mid-Level","Senior"))</f>
        <v>Mid-Level</v>
      </c>
      <c r="AN160" s="11" t="str">
        <f>IF(HR_Data[[#This Row],[PerformanceRating]]=3,"Standard","Excellent")</f>
        <v>Standard</v>
      </c>
      <c r="AO160" s="11" t="str">
        <f>IF(HR_Data[[#This Row],[JobSatisfaction]]&lt;=2,"Low","High")</f>
        <v>High</v>
      </c>
      <c r="AP160" s="11" t="str">
        <f>IF(AND(HR_Data[[#This Row],[OverTime]]="Yes",HR_Data[[#This Row],[JobSatisfaction]]&lt;=2,HR_Data[[#This Row],[YearsAtCompany]]&lt;=2),"High Risk","Normal")</f>
        <v>Normal</v>
      </c>
    </row>
    <row r="161" spans="1:42" x14ac:dyDescent="0.25">
      <c r="A161" s="6">
        <v>34</v>
      </c>
      <c r="B161" s="4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s="11" t="str">
        <f>IF(HR_Data[[#This Row],[Age]]&lt;=25,"18-25",IF(HR_Data[[#This Row],[Age]]&lt;=35,"26-35",IF(HR_Data[[#This Row],[Age]]&lt;=45,"36-45",IF(HR_Data[[#This Row],[Age]]&lt;=55,"46-55","56+"))))</f>
        <v>26-35</v>
      </c>
      <c r="AK161" s="11" t="str">
        <f>IF(HR_Data[[#This Row],[MonthlyIncome]]&lt;3000,"Low",IF(HR_Data[[#This Row],[MonthlyIncome]]&lt;6000,"Medium",IF(HR_Data[[#This Row],[MonthlyIncome]]&lt;10000,"High","Very High")))</f>
        <v>Low</v>
      </c>
      <c r="AL16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61" t="str">
        <f>IF(HR_Data[[#This Row],[TotalWorkingYears]]&lt;=5,"Junior",IF(HR_Data[[#This Row],[TotalWorkingYears]]&lt;=15,"Mid-Level","Senior"))</f>
        <v>Mid-Level</v>
      </c>
      <c r="AN161" s="11" t="str">
        <f>IF(HR_Data[[#This Row],[PerformanceRating]]=3,"Standard","Excellent")</f>
        <v>Standard</v>
      </c>
      <c r="AO161" s="11" t="str">
        <f>IF(HR_Data[[#This Row],[JobSatisfaction]]&lt;=2,"Low","High")</f>
        <v>High</v>
      </c>
      <c r="AP161" s="11" t="str">
        <f>IF(AND(HR_Data[[#This Row],[OverTime]]="Yes",HR_Data[[#This Row],[JobSatisfaction]]&lt;=2,HR_Data[[#This Row],[YearsAtCompany]]&lt;=2),"High Risk","Normal")</f>
        <v>Normal</v>
      </c>
    </row>
    <row r="162" spans="1:42" x14ac:dyDescent="0.25">
      <c r="A162" s="6">
        <v>22</v>
      </c>
      <c r="B162" s="4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s="11" t="str">
        <f>IF(HR_Data[[#This Row],[Age]]&lt;=25,"18-25",IF(HR_Data[[#This Row],[Age]]&lt;=35,"26-35",IF(HR_Data[[#This Row],[Age]]&lt;=45,"36-45",IF(HR_Data[[#This Row],[Age]]&lt;=55,"46-55","56+"))))</f>
        <v>18-25</v>
      </c>
      <c r="AK162" s="11" t="str">
        <f>IF(HR_Data[[#This Row],[MonthlyIncome]]&lt;3000,"Low",IF(HR_Data[[#This Row],[MonthlyIncome]]&lt;6000,"Medium",IF(HR_Data[[#This Row],[MonthlyIncome]]&lt;10000,"High","Very High")))</f>
        <v>Low</v>
      </c>
      <c r="AL16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62" t="str">
        <f>IF(HR_Data[[#This Row],[TotalWorkingYears]]&lt;=5,"Junior",IF(HR_Data[[#This Row],[TotalWorkingYears]]&lt;=15,"Mid-Level","Senior"))</f>
        <v>Junior</v>
      </c>
      <c r="AN162" s="11" t="str">
        <f>IF(HR_Data[[#This Row],[PerformanceRating]]=3,"Standard","Excellent")</f>
        <v>Excellent</v>
      </c>
      <c r="AO162" s="11" t="str">
        <f>IF(HR_Data[[#This Row],[JobSatisfaction]]&lt;=2,"Low","High")</f>
        <v>High</v>
      </c>
      <c r="AP162" s="11" t="str">
        <f>IF(AND(HR_Data[[#This Row],[OverTime]]="Yes",HR_Data[[#This Row],[JobSatisfaction]]&lt;=2,HR_Data[[#This Row],[YearsAtCompany]]&lt;=2),"High Risk","Normal")</f>
        <v>Normal</v>
      </c>
    </row>
    <row r="163" spans="1:42" x14ac:dyDescent="0.25">
      <c r="A163" s="6">
        <v>27</v>
      </c>
      <c r="B163" s="4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s="11" t="str">
        <f>IF(HR_Data[[#This Row],[Age]]&lt;=25,"18-25",IF(HR_Data[[#This Row],[Age]]&lt;=35,"26-35",IF(HR_Data[[#This Row],[Age]]&lt;=45,"36-45",IF(HR_Data[[#This Row],[Age]]&lt;=55,"46-55","56+"))))</f>
        <v>26-35</v>
      </c>
      <c r="AK163" s="11" t="str">
        <f>IF(HR_Data[[#This Row],[MonthlyIncome]]&lt;3000,"Low",IF(HR_Data[[#This Row],[MonthlyIncome]]&lt;6000,"Medium",IF(HR_Data[[#This Row],[MonthlyIncome]]&lt;10000,"High","Very High")))</f>
        <v>Low</v>
      </c>
      <c r="AL16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63" t="str">
        <f>IF(HR_Data[[#This Row],[TotalWorkingYears]]&lt;=5,"Junior",IF(HR_Data[[#This Row],[TotalWorkingYears]]&lt;=15,"Mid-Level","Senior"))</f>
        <v>Mid-Level</v>
      </c>
      <c r="AN163" s="11" t="str">
        <f>IF(HR_Data[[#This Row],[PerformanceRating]]=3,"Standard","Excellent")</f>
        <v>Standard</v>
      </c>
      <c r="AO163" s="11" t="str">
        <f>IF(HR_Data[[#This Row],[JobSatisfaction]]&lt;=2,"Low","High")</f>
        <v>Low</v>
      </c>
      <c r="AP163" s="11" t="str">
        <f>IF(AND(HR_Data[[#This Row],[OverTime]]="Yes",HR_Data[[#This Row],[JobSatisfaction]]&lt;=2,HR_Data[[#This Row],[YearsAtCompany]]&lt;=2),"High Risk","Normal")</f>
        <v>Normal</v>
      </c>
    </row>
    <row r="164" spans="1:42" x14ac:dyDescent="0.25">
      <c r="A164" s="6">
        <v>28</v>
      </c>
      <c r="B164" s="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s="11" t="str">
        <f>IF(HR_Data[[#This Row],[Age]]&lt;=25,"18-25",IF(HR_Data[[#This Row],[Age]]&lt;=35,"26-35",IF(HR_Data[[#This Row],[Age]]&lt;=45,"36-45",IF(HR_Data[[#This Row],[Age]]&lt;=55,"46-55","56+"))))</f>
        <v>26-35</v>
      </c>
      <c r="AK164" s="11" t="str">
        <f>IF(HR_Data[[#This Row],[MonthlyIncome]]&lt;3000,"Low",IF(HR_Data[[#This Row],[MonthlyIncome]]&lt;6000,"Medium",IF(HR_Data[[#This Row],[MonthlyIncome]]&lt;10000,"High","Very High")))</f>
        <v>Low</v>
      </c>
      <c r="AL16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64" t="str">
        <f>IF(HR_Data[[#This Row],[TotalWorkingYears]]&lt;=5,"Junior",IF(HR_Data[[#This Row],[TotalWorkingYears]]&lt;=15,"Mid-Level","Senior"))</f>
        <v>Junior</v>
      </c>
      <c r="AN164" s="11" t="str">
        <f>IF(HR_Data[[#This Row],[PerformanceRating]]=3,"Standard","Excellent")</f>
        <v>Standard</v>
      </c>
      <c r="AO164" s="11" t="str">
        <f>IF(HR_Data[[#This Row],[JobSatisfaction]]&lt;=2,"Low","High")</f>
        <v>High</v>
      </c>
      <c r="AP164" s="11" t="str">
        <f>IF(AND(HR_Data[[#This Row],[OverTime]]="Yes",HR_Data[[#This Row],[JobSatisfaction]]&lt;=2,HR_Data[[#This Row],[YearsAtCompany]]&lt;=2),"High Risk","Normal")</f>
        <v>Normal</v>
      </c>
    </row>
    <row r="165" spans="1:42" x14ac:dyDescent="0.25">
      <c r="A165" s="6">
        <v>57</v>
      </c>
      <c r="B165" s="4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s="11" t="str">
        <f>IF(HR_Data[[#This Row],[Age]]&lt;=25,"18-25",IF(HR_Data[[#This Row],[Age]]&lt;=35,"26-35",IF(HR_Data[[#This Row],[Age]]&lt;=45,"36-45",IF(HR_Data[[#This Row],[Age]]&lt;=55,"46-55","56+"))))</f>
        <v>56+</v>
      </c>
      <c r="AK165" s="11" t="str">
        <f>IF(HR_Data[[#This Row],[MonthlyIncome]]&lt;3000,"Low",IF(HR_Data[[#This Row],[MonthlyIncome]]&lt;6000,"Medium",IF(HR_Data[[#This Row],[MonthlyIncome]]&lt;10000,"High","Very High")))</f>
        <v>High</v>
      </c>
      <c r="AL16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65" t="str">
        <f>IF(HR_Data[[#This Row],[TotalWorkingYears]]&lt;=5,"Junior",IF(HR_Data[[#This Row],[TotalWorkingYears]]&lt;=15,"Mid-Level","Senior"))</f>
        <v>Mid-Level</v>
      </c>
      <c r="AN165" s="11" t="str">
        <f>IF(HR_Data[[#This Row],[PerformanceRating]]=3,"Standard","Excellent")</f>
        <v>Standard</v>
      </c>
      <c r="AO165" s="11" t="str">
        <f>IF(HR_Data[[#This Row],[JobSatisfaction]]&lt;=2,"Low","High")</f>
        <v>High</v>
      </c>
      <c r="AP165" s="11" t="str">
        <f>IF(AND(HR_Data[[#This Row],[OverTime]]="Yes",HR_Data[[#This Row],[JobSatisfaction]]&lt;=2,HR_Data[[#This Row],[YearsAtCompany]]&lt;=2),"High Risk","Normal")</f>
        <v>Normal</v>
      </c>
    </row>
    <row r="166" spans="1:42" x14ac:dyDescent="0.25">
      <c r="A166" s="6">
        <v>27</v>
      </c>
      <c r="B166" s="4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s="11" t="str">
        <f>IF(HR_Data[[#This Row],[Age]]&lt;=25,"18-25",IF(HR_Data[[#This Row],[Age]]&lt;=35,"26-35",IF(HR_Data[[#This Row],[Age]]&lt;=45,"36-45",IF(HR_Data[[#This Row],[Age]]&lt;=55,"46-55","56+"))))</f>
        <v>26-35</v>
      </c>
      <c r="AK166" s="11" t="str">
        <f>IF(HR_Data[[#This Row],[MonthlyIncome]]&lt;3000,"Low",IF(HR_Data[[#This Row],[MonthlyIncome]]&lt;6000,"Medium",IF(HR_Data[[#This Row],[MonthlyIncome]]&lt;10000,"High","Very High")))</f>
        <v>Low</v>
      </c>
      <c r="AL16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66" t="str">
        <f>IF(HR_Data[[#This Row],[TotalWorkingYears]]&lt;=5,"Junior",IF(HR_Data[[#This Row],[TotalWorkingYears]]&lt;=15,"Mid-Level","Senior"))</f>
        <v>Junior</v>
      </c>
      <c r="AN166" s="11" t="str">
        <f>IF(HR_Data[[#This Row],[PerformanceRating]]=3,"Standard","Excellent")</f>
        <v>Standard</v>
      </c>
      <c r="AO166" s="11" t="str">
        <f>IF(HR_Data[[#This Row],[JobSatisfaction]]&lt;=2,"Low","High")</f>
        <v>High</v>
      </c>
      <c r="AP166" s="11" t="str">
        <f>IF(AND(HR_Data[[#This Row],[OverTime]]="Yes",HR_Data[[#This Row],[JobSatisfaction]]&lt;=2,HR_Data[[#This Row],[YearsAtCompany]]&lt;=2),"High Risk","Normal")</f>
        <v>Normal</v>
      </c>
    </row>
    <row r="167" spans="1:42" x14ac:dyDescent="0.25">
      <c r="A167" s="6">
        <v>50</v>
      </c>
      <c r="B167" s="4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s="11" t="str">
        <f>IF(HR_Data[[#This Row],[Age]]&lt;=25,"18-25",IF(HR_Data[[#This Row],[Age]]&lt;=35,"26-35",IF(HR_Data[[#This Row],[Age]]&lt;=45,"36-45",IF(HR_Data[[#This Row],[Age]]&lt;=55,"46-55","56+"))))</f>
        <v>46-55</v>
      </c>
      <c r="AK167" s="11" t="str">
        <f>IF(HR_Data[[#This Row],[MonthlyIncome]]&lt;3000,"Low",IF(HR_Data[[#This Row],[MonthlyIncome]]&lt;6000,"Medium",IF(HR_Data[[#This Row],[MonthlyIncome]]&lt;10000,"High","Very High")))</f>
        <v>Very High</v>
      </c>
      <c r="AL16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67" t="str">
        <f>IF(HR_Data[[#This Row],[TotalWorkingYears]]&lt;=5,"Junior",IF(HR_Data[[#This Row],[TotalWorkingYears]]&lt;=15,"Mid-Level","Senior"))</f>
        <v>Senior</v>
      </c>
      <c r="AN167" s="11" t="str">
        <f>IF(HR_Data[[#This Row],[PerformanceRating]]=3,"Standard","Excellent")</f>
        <v>Standard</v>
      </c>
      <c r="AO167" s="11" t="str">
        <f>IF(HR_Data[[#This Row],[JobSatisfaction]]&lt;=2,"Low","High")</f>
        <v>Low</v>
      </c>
      <c r="AP167" s="11" t="str">
        <f>IF(AND(HR_Data[[#This Row],[OverTime]]="Yes",HR_Data[[#This Row],[JobSatisfaction]]&lt;=2,HR_Data[[#This Row],[YearsAtCompany]]&lt;=2),"High Risk","Normal")</f>
        <v>Normal</v>
      </c>
    </row>
    <row r="168" spans="1:42" x14ac:dyDescent="0.25">
      <c r="A168" s="6">
        <v>41</v>
      </c>
      <c r="B168" s="4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s="11" t="str">
        <f>IF(HR_Data[[#This Row],[Age]]&lt;=25,"18-25",IF(HR_Data[[#This Row],[Age]]&lt;=35,"26-35",IF(HR_Data[[#This Row],[Age]]&lt;=45,"36-45",IF(HR_Data[[#This Row],[Age]]&lt;=55,"46-55","56+"))))</f>
        <v>36-45</v>
      </c>
      <c r="AK168" s="11" t="str">
        <f>IF(HR_Data[[#This Row],[MonthlyIncome]]&lt;3000,"Low",IF(HR_Data[[#This Row],[MonthlyIncome]]&lt;6000,"Medium",IF(HR_Data[[#This Row],[MonthlyIncome]]&lt;10000,"High","Very High")))</f>
        <v>Low</v>
      </c>
      <c r="AL16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68" t="str">
        <f>IF(HR_Data[[#This Row],[TotalWorkingYears]]&lt;=5,"Junior",IF(HR_Data[[#This Row],[TotalWorkingYears]]&lt;=15,"Mid-Level","Senior"))</f>
        <v>Mid-Level</v>
      </c>
      <c r="AN168" s="11" t="str">
        <f>IF(HR_Data[[#This Row],[PerformanceRating]]=3,"Standard","Excellent")</f>
        <v>Standard</v>
      </c>
      <c r="AO168" s="11" t="str">
        <f>IF(HR_Data[[#This Row],[JobSatisfaction]]&lt;=2,"Low","High")</f>
        <v>High</v>
      </c>
      <c r="AP168" s="11" t="str">
        <f>IF(AND(HR_Data[[#This Row],[OverTime]]="Yes",HR_Data[[#This Row],[JobSatisfaction]]&lt;=2,HR_Data[[#This Row],[YearsAtCompany]]&lt;=2),"High Risk","Normal")</f>
        <v>Normal</v>
      </c>
    </row>
    <row r="169" spans="1:42" x14ac:dyDescent="0.25">
      <c r="A169" s="6">
        <v>30</v>
      </c>
      <c r="B169" s="4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s="11" t="str">
        <f>IF(HR_Data[[#This Row],[Age]]&lt;=25,"18-25",IF(HR_Data[[#This Row],[Age]]&lt;=35,"26-35",IF(HR_Data[[#This Row],[Age]]&lt;=45,"36-45",IF(HR_Data[[#This Row],[Age]]&lt;=55,"46-55","56+"))))</f>
        <v>26-35</v>
      </c>
      <c r="AK169" s="11" t="str">
        <f>IF(HR_Data[[#This Row],[MonthlyIncome]]&lt;3000,"Low",IF(HR_Data[[#This Row],[MonthlyIncome]]&lt;6000,"Medium",IF(HR_Data[[#This Row],[MonthlyIncome]]&lt;10000,"High","Very High")))</f>
        <v>High</v>
      </c>
      <c r="AL16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69" t="str">
        <f>IF(HR_Data[[#This Row],[TotalWorkingYears]]&lt;=5,"Junior",IF(HR_Data[[#This Row],[TotalWorkingYears]]&lt;=15,"Mid-Level","Senior"))</f>
        <v>Mid-Level</v>
      </c>
      <c r="AN169" s="11" t="str">
        <f>IF(HR_Data[[#This Row],[PerformanceRating]]=3,"Standard","Excellent")</f>
        <v>Standard</v>
      </c>
      <c r="AO169" s="11" t="str">
        <f>IF(HR_Data[[#This Row],[JobSatisfaction]]&lt;=2,"Low","High")</f>
        <v>High</v>
      </c>
      <c r="AP169" s="11" t="str">
        <f>IF(AND(HR_Data[[#This Row],[OverTime]]="Yes",HR_Data[[#This Row],[JobSatisfaction]]&lt;=2,HR_Data[[#This Row],[YearsAtCompany]]&lt;=2),"High Risk","Normal")</f>
        <v>Normal</v>
      </c>
    </row>
    <row r="170" spans="1:42" x14ac:dyDescent="0.25">
      <c r="A170" s="6">
        <v>38</v>
      </c>
      <c r="B170" s="4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s="11" t="str">
        <f>IF(HR_Data[[#This Row],[Age]]&lt;=25,"18-25",IF(HR_Data[[#This Row],[Age]]&lt;=35,"26-35",IF(HR_Data[[#This Row],[Age]]&lt;=45,"36-45",IF(HR_Data[[#This Row],[Age]]&lt;=55,"46-55","56+"))))</f>
        <v>36-45</v>
      </c>
      <c r="AK170" s="11" t="str">
        <f>IF(HR_Data[[#This Row],[MonthlyIncome]]&lt;3000,"Low",IF(HR_Data[[#This Row],[MonthlyIncome]]&lt;6000,"Medium",IF(HR_Data[[#This Row],[MonthlyIncome]]&lt;10000,"High","Very High")))</f>
        <v>High</v>
      </c>
      <c r="AL17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70" t="str">
        <f>IF(HR_Data[[#This Row],[TotalWorkingYears]]&lt;=5,"Junior",IF(HR_Data[[#This Row],[TotalWorkingYears]]&lt;=15,"Mid-Level","Senior"))</f>
        <v>Mid-Level</v>
      </c>
      <c r="AN170" s="11" t="str">
        <f>IF(HR_Data[[#This Row],[PerformanceRating]]=3,"Standard","Excellent")</f>
        <v>Excellent</v>
      </c>
      <c r="AO170" s="11" t="str">
        <f>IF(HR_Data[[#This Row],[JobSatisfaction]]&lt;=2,"Low","High")</f>
        <v>High</v>
      </c>
      <c r="AP170" s="11" t="str">
        <f>IF(AND(HR_Data[[#This Row],[OverTime]]="Yes",HR_Data[[#This Row],[JobSatisfaction]]&lt;=2,HR_Data[[#This Row],[YearsAtCompany]]&lt;=2),"High Risk","Normal")</f>
        <v>Normal</v>
      </c>
    </row>
    <row r="171" spans="1:42" x14ac:dyDescent="0.25">
      <c r="A171" s="6">
        <v>32</v>
      </c>
      <c r="B171" s="4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s="11" t="str">
        <f>IF(HR_Data[[#This Row],[Age]]&lt;=25,"18-25",IF(HR_Data[[#This Row],[Age]]&lt;=35,"26-35",IF(HR_Data[[#This Row],[Age]]&lt;=45,"36-45",IF(HR_Data[[#This Row],[Age]]&lt;=55,"46-55","56+"))))</f>
        <v>26-35</v>
      </c>
      <c r="AK171" s="11" t="str">
        <f>IF(HR_Data[[#This Row],[MonthlyIncome]]&lt;3000,"Low",IF(HR_Data[[#This Row],[MonthlyIncome]]&lt;6000,"Medium",IF(HR_Data[[#This Row],[MonthlyIncome]]&lt;10000,"High","Very High")))</f>
        <v>Medium</v>
      </c>
      <c r="AL17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71" t="str">
        <f>IF(HR_Data[[#This Row],[TotalWorkingYears]]&lt;=5,"Junior",IF(HR_Data[[#This Row],[TotalWorkingYears]]&lt;=15,"Mid-Level","Senior"))</f>
        <v>Mid-Level</v>
      </c>
      <c r="AN171" s="11" t="str">
        <f>IF(HR_Data[[#This Row],[PerformanceRating]]=3,"Standard","Excellent")</f>
        <v>Excellent</v>
      </c>
      <c r="AO171" s="11" t="str">
        <f>IF(HR_Data[[#This Row],[JobSatisfaction]]&lt;=2,"Low","High")</f>
        <v>High</v>
      </c>
      <c r="AP171" s="11" t="str">
        <f>IF(AND(HR_Data[[#This Row],[OverTime]]="Yes",HR_Data[[#This Row],[JobSatisfaction]]&lt;=2,HR_Data[[#This Row],[YearsAtCompany]]&lt;=2),"High Risk","Normal")</f>
        <v>Normal</v>
      </c>
    </row>
    <row r="172" spans="1:42" x14ac:dyDescent="0.25">
      <c r="A172" s="6">
        <v>27</v>
      </c>
      <c r="B172" s="4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s="11" t="str">
        <f>IF(HR_Data[[#This Row],[Age]]&lt;=25,"18-25",IF(HR_Data[[#This Row],[Age]]&lt;=35,"26-35",IF(HR_Data[[#This Row],[Age]]&lt;=45,"36-45",IF(HR_Data[[#This Row],[Age]]&lt;=55,"46-55","56+"))))</f>
        <v>26-35</v>
      </c>
      <c r="AK172" s="11" t="str">
        <f>IF(HR_Data[[#This Row],[MonthlyIncome]]&lt;3000,"Low",IF(HR_Data[[#This Row],[MonthlyIncome]]&lt;6000,"Medium",IF(HR_Data[[#This Row],[MonthlyIncome]]&lt;10000,"High","Very High")))</f>
        <v>Medium</v>
      </c>
      <c r="AL17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72" t="str">
        <f>IF(HR_Data[[#This Row],[TotalWorkingYears]]&lt;=5,"Junior",IF(HR_Data[[#This Row],[TotalWorkingYears]]&lt;=15,"Mid-Level","Senior"))</f>
        <v>Mid-Level</v>
      </c>
      <c r="AN172" s="11" t="str">
        <f>IF(HR_Data[[#This Row],[PerformanceRating]]=3,"Standard","Excellent")</f>
        <v>Standard</v>
      </c>
      <c r="AO172" s="11" t="str">
        <f>IF(HR_Data[[#This Row],[JobSatisfaction]]&lt;=2,"Low","High")</f>
        <v>Low</v>
      </c>
      <c r="AP172" s="11" t="str">
        <f>IF(AND(HR_Data[[#This Row],[OverTime]]="Yes",HR_Data[[#This Row],[JobSatisfaction]]&lt;=2,HR_Data[[#This Row],[YearsAtCompany]]&lt;=2),"High Risk","Normal")</f>
        <v>Normal</v>
      </c>
    </row>
    <row r="173" spans="1:42" x14ac:dyDescent="0.25">
      <c r="A173" s="6">
        <v>19</v>
      </c>
      <c r="B173" s="4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s="11" t="str">
        <f>IF(HR_Data[[#This Row],[Age]]&lt;=25,"18-25",IF(HR_Data[[#This Row],[Age]]&lt;=35,"26-35",IF(HR_Data[[#This Row],[Age]]&lt;=45,"36-45",IF(HR_Data[[#This Row],[Age]]&lt;=55,"46-55","56+"))))</f>
        <v>18-25</v>
      </c>
      <c r="AK173" s="11" t="str">
        <f>IF(HR_Data[[#This Row],[MonthlyIncome]]&lt;3000,"Low",IF(HR_Data[[#This Row],[MonthlyIncome]]&lt;6000,"Medium",IF(HR_Data[[#This Row],[MonthlyIncome]]&lt;10000,"High","Very High")))</f>
        <v>Low</v>
      </c>
      <c r="AL17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73" t="str">
        <f>IF(HR_Data[[#This Row],[TotalWorkingYears]]&lt;=5,"Junior",IF(HR_Data[[#This Row],[TotalWorkingYears]]&lt;=15,"Mid-Level","Senior"))</f>
        <v>Junior</v>
      </c>
      <c r="AN173" s="11" t="str">
        <f>IF(HR_Data[[#This Row],[PerformanceRating]]=3,"Standard","Excellent")</f>
        <v>Excellent</v>
      </c>
      <c r="AO173" s="11" t="str">
        <f>IF(HR_Data[[#This Row],[JobSatisfaction]]&lt;=2,"Low","High")</f>
        <v>Low</v>
      </c>
      <c r="AP173" s="11" t="str">
        <f>IF(AND(HR_Data[[#This Row],[OverTime]]="Yes",HR_Data[[#This Row],[JobSatisfaction]]&lt;=2,HR_Data[[#This Row],[YearsAtCompany]]&lt;=2),"High Risk","Normal")</f>
        <v>Normal</v>
      </c>
    </row>
    <row r="174" spans="1:42" x14ac:dyDescent="0.25">
      <c r="A174" s="6">
        <v>36</v>
      </c>
      <c r="B174" s="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s="11" t="str">
        <f>IF(HR_Data[[#This Row],[Age]]&lt;=25,"18-25",IF(HR_Data[[#This Row],[Age]]&lt;=35,"26-35",IF(HR_Data[[#This Row],[Age]]&lt;=45,"36-45",IF(HR_Data[[#This Row],[Age]]&lt;=55,"46-55","56+"))))</f>
        <v>36-45</v>
      </c>
      <c r="AK174" s="11" t="str">
        <f>IF(HR_Data[[#This Row],[MonthlyIncome]]&lt;3000,"Low",IF(HR_Data[[#This Row],[MonthlyIncome]]&lt;6000,"Medium",IF(HR_Data[[#This Row],[MonthlyIncome]]&lt;10000,"High","Very High")))</f>
        <v>Low</v>
      </c>
      <c r="AL17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74" t="str">
        <f>IF(HR_Data[[#This Row],[TotalWorkingYears]]&lt;=5,"Junior",IF(HR_Data[[#This Row],[TotalWorkingYears]]&lt;=15,"Mid-Level","Senior"))</f>
        <v>Mid-Level</v>
      </c>
      <c r="AN174" s="11" t="str">
        <f>IF(HR_Data[[#This Row],[PerformanceRating]]=3,"Standard","Excellent")</f>
        <v>Standard</v>
      </c>
      <c r="AO174" s="11" t="str">
        <f>IF(HR_Data[[#This Row],[JobSatisfaction]]&lt;=2,"Low","High")</f>
        <v>Low</v>
      </c>
      <c r="AP174" s="11" t="str">
        <f>IF(AND(HR_Data[[#This Row],[OverTime]]="Yes",HR_Data[[#This Row],[JobSatisfaction]]&lt;=2,HR_Data[[#This Row],[YearsAtCompany]]&lt;=2),"High Risk","Normal")</f>
        <v>Normal</v>
      </c>
    </row>
    <row r="175" spans="1:42" x14ac:dyDescent="0.25">
      <c r="A175" s="6">
        <v>30</v>
      </c>
      <c r="B175" s="4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s="11" t="str">
        <f>IF(HR_Data[[#This Row],[Age]]&lt;=25,"18-25",IF(HR_Data[[#This Row],[Age]]&lt;=35,"26-35",IF(HR_Data[[#This Row],[Age]]&lt;=45,"36-45",IF(HR_Data[[#This Row],[Age]]&lt;=55,"46-55","56+"))))</f>
        <v>26-35</v>
      </c>
      <c r="AK175" s="11" t="str">
        <f>IF(HR_Data[[#This Row],[MonthlyIncome]]&lt;3000,"Low",IF(HR_Data[[#This Row],[MonthlyIncome]]&lt;6000,"Medium",IF(HR_Data[[#This Row],[MonthlyIncome]]&lt;10000,"High","Very High")))</f>
        <v>Medium</v>
      </c>
      <c r="AL175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75" t="str">
        <f>IF(HR_Data[[#This Row],[TotalWorkingYears]]&lt;=5,"Junior",IF(HR_Data[[#This Row],[TotalWorkingYears]]&lt;=15,"Mid-Level","Senior"))</f>
        <v>Mid-Level</v>
      </c>
      <c r="AN175" s="11" t="str">
        <f>IF(HR_Data[[#This Row],[PerformanceRating]]=3,"Standard","Excellent")</f>
        <v>Standard</v>
      </c>
      <c r="AO175" s="11" t="str">
        <f>IF(HR_Data[[#This Row],[JobSatisfaction]]&lt;=2,"Low","High")</f>
        <v>Low</v>
      </c>
      <c r="AP175" s="11" t="str">
        <f>IF(AND(HR_Data[[#This Row],[OverTime]]="Yes",HR_Data[[#This Row],[JobSatisfaction]]&lt;=2,HR_Data[[#This Row],[YearsAtCompany]]&lt;=2),"High Risk","Normal")</f>
        <v>Normal</v>
      </c>
    </row>
    <row r="176" spans="1:42" x14ac:dyDescent="0.25">
      <c r="A176" s="6">
        <v>45</v>
      </c>
      <c r="B176" s="4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s="11" t="str">
        <f>IF(HR_Data[[#This Row],[Age]]&lt;=25,"18-25",IF(HR_Data[[#This Row],[Age]]&lt;=35,"26-35",IF(HR_Data[[#This Row],[Age]]&lt;=45,"36-45",IF(HR_Data[[#This Row],[Age]]&lt;=55,"46-55","56+"))))</f>
        <v>36-45</v>
      </c>
      <c r="AK176" s="11" t="str">
        <f>IF(HR_Data[[#This Row],[MonthlyIncome]]&lt;3000,"Low",IF(HR_Data[[#This Row],[MonthlyIncome]]&lt;6000,"Medium",IF(HR_Data[[#This Row],[MonthlyIncome]]&lt;10000,"High","Very High")))</f>
        <v>Medium</v>
      </c>
      <c r="AL17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76" t="str">
        <f>IF(HR_Data[[#This Row],[TotalWorkingYears]]&lt;=5,"Junior",IF(HR_Data[[#This Row],[TotalWorkingYears]]&lt;=15,"Mid-Level","Senior"))</f>
        <v>Mid-Level</v>
      </c>
      <c r="AN176" s="11" t="str">
        <f>IF(HR_Data[[#This Row],[PerformanceRating]]=3,"Standard","Excellent")</f>
        <v>Standard</v>
      </c>
      <c r="AO176" s="11" t="str">
        <f>IF(HR_Data[[#This Row],[JobSatisfaction]]&lt;=2,"Low","High")</f>
        <v>Low</v>
      </c>
      <c r="AP176" s="11" t="str">
        <f>IF(AND(HR_Data[[#This Row],[OverTime]]="Yes",HR_Data[[#This Row],[JobSatisfaction]]&lt;=2,HR_Data[[#This Row],[YearsAtCompany]]&lt;=2),"High Risk","Normal")</f>
        <v>Normal</v>
      </c>
    </row>
    <row r="177" spans="1:42" x14ac:dyDescent="0.25">
      <c r="A177" s="6">
        <v>56</v>
      </c>
      <c r="B177" s="4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s="11" t="str">
        <f>IF(HR_Data[[#This Row],[Age]]&lt;=25,"18-25",IF(HR_Data[[#This Row],[Age]]&lt;=35,"26-35",IF(HR_Data[[#This Row],[Age]]&lt;=45,"36-45",IF(HR_Data[[#This Row],[Age]]&lt;=55,"46-55","56+"))))</f>
        <v>56+</v>
      </c>
      <c r="AK177" s="11" t="str">
        <f>IF(HR_Data[[#This Row],[MonthlyIncome]]&lt;3000,"Low",IF(HR_Data[[#This Row],[MonthlyIncome]]&lt;6000,"Medium",IF(HR_Data[[#This Row],[MonthlyIncome]]&lt;10000,"High","Very High")))</f>
        <v>Medium</v>
      </c>
      <c r="AL17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77" t="str">
        <f>IF(HR_Data[[#This Row],[TotalWorkingYears]]&lt;=5,"Junior",IF(HR_Data[[#This Row],[TotalWorkingYears]]&lt;=15,"Mid-Level","Senior"))</f>
        <v>Senior</v>
      </c>
      <c r="AN177" s="11" t="str">
        <f>IF(HR_Data[[#This Row],[PerformanceRating]]=3,"Standard","Excellent")</f>
        <v>Standard</v>
      </c>
      <c r="AO177" s="11" t="str">
        <f>IF(HR_Data[[#This Row],[JobSatisfaction]]&lt;=2,"Low","High")</f>
        <v>Low</v>
      </c>
      <c r="AP177" s="11" t="str">
        <f>IF(AND(HR_Data[[#This Row],[OverTime]]="Yes",HR_Data[[#This Row],[JobSatisfaction]]&lt;=2,HR_Data[[#This Row],[YearsAtCompany]]&lt;=2),"High Risk","Normal")</f>
        <v>High Risk</v>
      </c>
    </row>
    <row r="178" spans="1:42" x14ac:dyDescent="0.25">
      <c r="A178" s="6">
        <v>33</v>
      </c>
      <c r="B178" s="4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s="11" t="str">
        <f>IF(HR_Data[[#This Row],[Age]]&lt;=25,"18-25",IF(HR_Data[[#This Row],[Age]]&lt;=35,"26-35",IF(HR_Data[[#This Row],[Age]]&lt;=45,"36-45",IF(HR_Data[[#This Row],[Age]]&lt;=55,"46-55","56+"))))</f>
        <v>26-35</v>
      </c>
      <c r="AK178" s="11" t="str">
        <f>IF(HR_Data[[#This Row],[MonthlyIncome]]&lt;3000,"Low",IF(HR_Data[[#This Row],[MonthlyIncome]]&lt;6000,"Medium",IF(HR_Data[[#This Row],[MonthlyIncome]]&lt;10000,"High","Very High")))</f>
        <v>Low</v>
      </c>
      <c r="AL17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78" t="str">
        <f>IF(HR_Data[[#This Row],[TotalWorkingYears]]&lt;=5,"Junior",IF(HR_Data[[#This Row],[TotalWorkingYears]]&lt;=15,"Mid-Level","Senior"))</f>
        <v>Junior</v>
      </c>
      <c r="AN178" s="11" t="str">
        <f>IF(HR_Data[[#This Row],[PerformanceRating]]=3,"Standard","Excellent")</f>
        <v>Standard</v>
      </c>
      <c r="AO178" s="11" t="str">
        <f>IF(HR_Data[[#This Row],[JobSatisfaction]]&lt;=2,"Low","High")</f>
        <v>High</v>
      </c>
      <c r="AP178" s="11" t="str">
        <f>IF(AND(HR_Data[[#This Row],[OverTime]]="Yes",HR_Data[[#This Row],[JobSatisfaction]]&lt;=2,HR_Data[[#This Row],[YearsAtCompany]]&lt;=2),"High Risk","Normal")</f>
        <v>Normal</v>
      </c>
    </row>
    <row r="179" spans="1:42" x14ac:dyDescent="0.25">
      <c r="A179" s="6">
        <v>19</v>
      </c>
      <c r="B179" s="4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s="11" t="str">
        <f>IF(HR_Data[[#This Row],[Age]]&lt;=25,"18-25",IF(HR_Data[[#This Row],[Age]]&lt;=35,"26-35",IF(HR_Data[[#This Row],[Age]]&lt;=45,"36-45",IF(HR_Data[[#This Row],[Age]]&lt;=55,"46-55","56+"))))</f>
        <v>18-25</v>
      </c>
      <c r="AK179" s="11" t="str">
        <f>IF(HR_Data[[#This Row],[MonthlyIncome]]&lt;3000,"Low",IF(HR_Data[[#This Row],[MonthlyIncome]]&lt;6000,"Medium",IF(HR_Data[[#This Row],[MonthlyIncome]]&lt;10000,"High","Very High")))</f>
        <v>Low</v>
      </c>
      <c r="AL17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79" t="str">
        <f>IF(HR_Data[[#This Row],[TotalWorkingYears]]&lt;=5,"Junior",IF(HR_Data[[#This Row],[TotalWorkingYears]]&lt;=15,"Mid-Level","Senior"))</f>
        <v>Junior</v>
      </c>
      <c r="AN179" s="11" t="str">
        <f>IF(HR_Data[[#This Row],[PerformanceRating]]=3,"Standard","Excellent")</f>
        <v>Excellent</v>
      </c>
      <c r="AO179" s="11" t="str">
        <f>IF(HR_Data[[#This Row],[JobSatisfaction]]&lt;=2,"Low","High")</f>
        <v>High</v>
      </c>
      <c r="AP179" s="11" t="str">
        <f>IF(AND(HR_Data[[#This Row],[OverTime]]="Yes",HR_Data[[#This Row],[JobSatisfaction]]&lt;=2,HR_Data[[#This Row],[YearsAtCompany]]&lt;=2),"High Risk","Normal")</f>
        <v>Normal</v>
      </c>
    </row>
    <row r="180" spans="1:42" x14ac:dyDescent="0.25">
      <c r="A180" s="6">
        <v>46</v>
      </c>
      <c r="B180" s="4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s="11" t="str">
        <f>IF(HR_Data[[#This Row],[Age]]&lt;=25,"18-25",IF(HR_Data[[#This Row],[Age]]&lt;=35,"26-35",IF(HR_Data[[#This Row],[Age]]&lt;=45,"36-45",IF(HR_Data[[#This Row],[Age]]&lt;=55,"46-55","56+"))))</f>
        <v>46-55</v>
      </c>
      <c r="AK180" s="11" t="str">
        <f>IF(HR_Data[[#This Row],[MonthlyIncome]]&lt;3000,"Low",IF(HR_Data[[#This Row],[MonthlyIncome]]&lt;6000,"Medium",IF(HR_Data[[#This Row],[MonthlyIncome]]&lt;10000,"High","Very High")))</f>
        <v>Very High</v>
      </c>
      <c r="AL18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80" t="str">
        <f>IF(HR_Data[[#This Row],[TotalWorkingYears]]&lt;=5,"Junior",IF(HR_Data[[#This Row],[TotalWorkingYears]]&lt;=15,"Mid-Level","Senior"))</f>
        <v>Senior</v>
      </c>
      <c r="AN180" s="11" t="str">
        <f>IF(HR_Data[[#This Row],[PerformanceRating]]=3,"Standard","Excellent")</f>
        <v>Excellent</v>
      </c>
      <c r="AO180" s="11" t="str">
        <f>IF(HR_Data[[#This Row],[JobSatisfaction]]&lt;=2,"Low","High")</f>
        <v>Low</v>
      </c>
      <c r="AP180" s="11" t="str">
        <f>IF(AND(HR_Data[[#This Row],[OverTime]]="Yes",HR_Data[[#This Row],[JobSatisfaction]]&lt;=2,HR_Data[[#This Row],[YearsAtCompany]]&lt;=2),"High Risk","Normal")</f>
        <v>Normal</v>
      </c>
    </row>
    <row r="181" spans="1:42" x14ac:dyDescent="0.25">
      <c r="A181" s="6">
        <v>38</v>
      </c>
      <c r="B181" s="4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s="11" t="str">
        <f>IF(HR_Data[[#This Row],[Age]]&lt;=25,"18-25",IF(HR_Data[[#This Row],[Age]]&lt;=35,"26-35",IF(HR_Data[[#This Row],[Age]]&lt;=45,"36-45",IF(HR_Data[[#This Row],[Age]]&lt;=55,"46-55","56+"))))</f>
        <v>36-45</v>
      </c>
      <c r="AK181" s="11" t="str">
        <f>IF(HR_Data[[#This Row],[MonthlyIncome]]&lt;3000,"Low",IF(HR_Data[[#This Row],[MonthlyIncome]]&lt;6000,"Medium",IF(HR_Data[[#This Row],[MonthlyIncome]]&lt;10000,"High","Very High")))</f>
        <v>Low</v>
      </c>
      <c r="AL18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81" t="str">
        <f>IF(HR_Data[[#This Row],[TotalWorkingYears]]&lt;=5,"Junior",IF(HR_Data[[#This Row],[TotalWorkingYears]]&lt;=15,"Mid-Level","Senior"))</f>
        <v>Junior</v>
      </c>
      <c r="AN181" s="11" t="str">
        <f>IF(HR_Data[[#This Row],[PerformanceRating]]=3,"Standard","Excellent")</f>
        <v>Standard</v>
      </c>
      <c r="AO181" s="11" t="str">
        <f>IF(HR_Data[[#This Row],[JobSatisfaction]]&lt;=2,"Low","High")</f>
        <v>High</v>
      </c>
      <c r="AP181" s="11" t="str">
        <f>IF(AND(HR_Data[[#This Row],[OverTime]]="Yes",HR_Data[[#This Row],[JobSatisfaction]]&lt;=2,HR_Data[[#This Row],[YearsAtCompany]]&lt;=2),"High Risk","Normal")</f>
        <v>Normal</v>
      </c>
    </row>
    <row r="182" spans="1:42" x14ac:dyDescent="0.25">
      <c r="A182" s="6">
        <v>31</v>
      </c>
      <c r="B182" s="4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s="11" t="str">
        <f>IF(HR_Data[[#This Row],[Age]]&lt;=25,"18-25",IF(HR_Data[[#This Row],[Age]]&lt;=35,"26-35",IF(HR_Data[[#This Row],[Age]]&lt;=45,"36-45",IF(HR_Data[[#This Row],[Age]]&lt;=55,"46-55","56+"))))</f>
        <v>26-35</v>
      </c>
      <c r="AK182" s="11" t="str">
        <f>IF(HR_Data[[#This Row],[MonthlyIncome]]&lt;3000,"Low",IF(HR_Data[[#This Row],[MonthlyIncome]]&lt;6000,"Medium",IF(HR_Data[[#This Row],[MonthlyIncome]]&lt;10000,"High","Very High")))</f>
        <v>Medium</v>
      </c>
      <c r="AL18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82" t="str">
        <f>IF(HR_Data[[#This Row],[TotalWorkingYears]]&lt;=5,"Junior",IF(HR_Data[[#This Row],[TotalWorkingYears]]&lt;=15,"Mid-Level","Senior"))</f>
        <v>Mid-Level</v>
      </c>
      <c r="AN182" s="11" t="str">
        <f>IF(HR_Data[[#This Row],[PerformanceRating]]=3,"Standard","Excellent")</f>
        <v>Excellent</v>
      </c>
      <c r="AO182" s="11" t="str">
        <f>IF(HR_Data[[#This Row],[JobSatisfaction]]&lt;=2,"Low","High")</f>
        <v>High</v>
      </c>
      <c r="AP182" s="11" t="str">
        <f>IF(AND(HR_Data[[#This Row],[OverTime]]="Yes",HR_Data[[#This Row],[JobSatisfaction]]&lt;=2,HR_Data[[#This Row],[YearsAtCompany]]&lt;=2),"High Risk","Normal")</f>
        <v>Normal</v>
      </c>
    </row>
    <row r="183" spans="1:42" x14ac:dyDescent="0.25">
      <c r="A183" s="6">
        <v>34</v>
      </c>
      <c r="B183" s="4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s="11" t="str">
        <f>IF(HR_Data[[#This Row],[Age]]&lt;=25,"18-25",IF(HR_Data[[#This Row],[Age]]&lt;=35,"26-35",IF(HR_Data[[#This Row],[Age]]&lt;=45,"36-45",IF(HR_Data[[#This Row],[Age]]&lt;=55,"46-55","56+"))))</f>
        <v>26-35</v>
      </c>
      <c r="AK183" s="11" t="str">
        <f>IF(HR_Data[[#This Row],[MonthlyIncome]]&lt;3000,"Low",IF(HR_Data[[#This Row],[MonthlyIncome]]&lt;6000,"Medium",IF(HR_Data[[#This Row],[MonthlyIncome]]&lt;10000,"High","Very High")))</f>
        <v>Low</v>
      </c>
      <c r="AL18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83" t="str">
        <f>IF(HR_Data[[#This Row],[TotalWorkingYears]]&lt;=5,"Junior",IF(HR_Data[[#This Row],[TotalWorkingYears]]&lt;=15,"Mid-Level","Senior"))</f>
        <v>Mid-Level</v>
      </c>
      <c r="AN183" s="11" t="str">
        <f>IF(HR_Data[[#This Row],[PerformanceRating]]=3,"Standard","Excellent")</f>
        <v>Standard</v>
      </c>
      <c r="AO183" s="11" t="str">
        <f>IF(HR_Data[[#This Row],[JobSatisfaction]]&lt;=2,"Low","High")</f>
        <v>Low</v>
      </c>
      <c r="AP183" s="11" t="str">
        <f>IF(AND(HR_Data[[#This Row],[OverTime]]="Yes",HR_Data[[#This Row],[JobSatisfaction]]&lt;=2,HR_Data[[#This Row],[YearsAtCompany]]&lt;=2),"High Risk","Normal")</f>
        <v>Normal</v>
      </c>
    </row>
    <row r="184" spans="1:42" x14ac:dyDescent="0.25">
      <c r="A184" s="6">
        <v>41</v>
      </c>
      <c r="B184" s="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s="11" t="str">
        <f>IF(HR_Data[[#This Row],[Age]]&lt;=25,"18-25",IF(HR_Data[[#This Row],[Age]]&lt;=35,"26-35",IF(HR_Data[[#This Row],[Age]]&lt;=45,"36-45",IF(HR_Data[[#This Row],[Age]]&lt;=55,"46-55","56+"))))</f>
        <v>36-45</v>
      </c>
      <c r="AK184" s="11" t="str">
        <f>IF(HR_Data[[#This Row],[MonthlyIncome]]&lt;3000,"Low",IF(HR_Data[[#This Row],[MonthlyIncome]]&lt;6000,"Medium",IF(HR_Data[[#This Row],[MonthlyIncome]]&lt;10000,"High","Very High")))</f>
        <v>Medium</v>
      </c>
      <c r="AL18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84" t="str">
        <f>IF(HR_Data[[#This Row],[TotalWorkingYears]]&lt;=5,"Junior",IF(HR_Data[[#This Row],[TotalWorkingYears]]&lt;=15,"Mid-Level","Senior"))</f>
        <v>Junior</v>
      </c>
      <c r="AN184" s="11" t="str">
        <f>IF(HR_Data[[#This Row],[PerformanceRating]]=3,"Standard","Excellent")</f>
        <v>Excellent</v>
      </c>
      <c r="AO184" s="11" t="str">
        <f>IF(HR_Data[[#This Row],[JobSatisfaction]]&lt;=2,"Low","High")</f>
        <v>Low</v>
      </c>
      <c r="AP184" s="11" t="str">
        <f>IF(AND(HR_Data[[#This Row],[OverTime]]="Yes",HR_Data[[#This Row],[JobSatisfaction]]&lt;=2,HR_Data[[#This Row],[YearsAtCompany]]&lt;=2),"High Risk","Normal")</f>
        <v>Normal</v>
      </c>
    </row>
    <row r="185" spans="1:42" x14ac:dyDescent="0.25">
      <c r="A185" s="6">
        <v>50</v>
      </c>
      <c r="B185" s="4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s="11" t="str">
        <f>IF(HR_Data[[#This Row],[Age]]&lt;=25,"18-25",IF(HR_Data[[#This Row],[Age]]&lt;=35,"26-35",IF(HR_Data[[#This Row],[Age]]&lt;=45,"36-45",IF(HR_Data[[#This Row],[Age]]&lt;=55,"46-55","56+"))))</f>
        <v>46-55</v>
      </c>
      <c r="AK185" s="11" t="str">
        <f>IF(HR_Data[[#This Row],[MonthlyIncome]]&lt;3000,"Low",IF(HR_Data[[#This Row],[MonthlyIncome]]&lt;6000,"Medium",IF(HR_Data[[#This Row],[MonthlyIncome]]&lt;10000,"High","Very High")))</f>
        <v>Medium</v>
      </c>
      <c r="AL18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85" t="str">
        <f>IF(HR_Data[[#This Row],[TotalWorkingYears]]&lt;=5,"Junior",IF(HR_Data[[#This Row],[TotalWorkingYears]]&lt;=15,"Mid-Level","Senior"))</f>
        <v>Junior</v>
      </c>
      <c r="AN185" s="11" t="str">
        <f>IF(HR_Data[[#This Row],[PerformanceRating]]=3,"Standard","Excellent")</f>
        <v>Standard</v>
      </c>
      <c r="AO185" s="11" t="str">
        <f>IF(HR_Data[[#This Row],[JobSatisfaction]]&lt;=2,"Low","High")</f>
        <v>High</v>
      </c>
      <c r="AP185" s="11" t="str">
        <f>IF(AND(HR_Data[[#This Row],[OverTime]]="Yes",HR_Data[[#This Row],[JobSatisfaction]]&lt;=2,HR_Data[[#This Row],[YearsAtCompany]]&lt;=2),"High Risk","Normal")</f>
        <v>Normal</v>
      </c>
    </row>
    <row r="186" spans="1:42" x14ac:dyDescent="0.25">
      <c r="A186" s="6">
        <v>53</v>
      </c>
      <c r="B186" s="4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s="11" t="str">
        <f>IF(HR_Data[[#This Row],[Age]]&lt;=25,"18-25",IF(HR_Data[[#This Row],[Age]]&lt;=35,"26-35",IF(HR_Data[[#This Row],[Age]]&lt;=45,"36-45",IF(HR_Data[[#This Row],[Age]]&lt;=55,"46-55","56+"))))</f>
        <v>46-55</v>
      </c>
      <c r="AK186" s="11" t="str">
        <f>IF(HR_Data[[#This Row],[MonthlyIncome]]&lt;3000,"Low",IF(HR_Data[[#This Row],[MonthlyIncome]]&lt;6000,"Medium",IF(HR_Data[[#This Row],[MonthlyIncome]]&lt;10000,"High","Very High")))</f>
        <v>Medium</v>
      </c>
      <c r="AL18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86" t="str">
        <f>IF(HR_Data[[#This Row],[TotalWorkingYears]]&lt;=5,"Junior",IF(HR_Data[[#This Row],[TotalWorkingYears]]&lt;=15,"Mid-Level","Senior"))</f>
        <v>Junior</v>
      </c>
      <c r="AN186" s="11" t="str">
        <f>IF(HR_Data[[#This Row],[PerformanceRating]]=3,"Standard","Excellent")</f>
        <v>Standard</v>
      </c>
      <c r="AO186" s="11" t="str">
        <f>IF(HR_Data[[#This Row],[JobSatisfaction]]&lt;=2,"Low","High")</f>
        <v>Low</v>
      </c>
      <c r="AP186" s="11" t="str">
        <f>IF(AND(HR_Data[[#This Row],[OverTime]]="Yes",HR_Data[[#This Row],[JobSatisfaction]]&lt;=2,HR_Data[[#This Row],[YearsAtCompany]]&lt;=2),"High Risk","Normal")</f>
        <v>Normal</v>
      </c>
    </row>
    <row r="187" spans="1:42" x14ac:dyDescent="0.25">
      <c r="A187" s="6">
        <v>33</v>
      </c>
      <c r="B187" s="4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s="11" t="str">
        <f>IF(HR_Data[[#This Row],[Age]]&lt;=25,"18-25",IF(HR_Data[[#This Row],[Age]]&lt;=35,"26-35",IF(HR_Data[[#This Row],[Age]]&lt;=45,"36-45",IF(HR_Data[[#This Row],[Age]]&lt;=55,"46-55","56+"))))</f>
        <v>26-35</v>
      </c>
      <c r="AK187" s="11" t="str">
        <f>IF(HR_Data[[#This Row],[MonthlyIncome]]&lt;3000,"Low",IF(HR_Data[[#This Row],[MonthlyIncome]]&lt;6000,"Medium",IF(HR_Data[[#This Row],[MonthlyIncome]]&lt;10000,"High","Very High")))</f>
        <v>Low</v>
      </c>
      <c r="AL18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87" t="str">
        <f>IF(HR_Data[[#This Row],[TotalWorkingYears]]&lt;=5,"Junior",IF(HR_Data[[#This Row],[TotalWorkingYears]]&lt;=15,"Mid-Level","Senior"))</f>
        <v>Mid-Level</v>
      </c>
      <c r="AN187" s="11" t="str">
        <f>IF(HR_Data[[#This Row],[PerformanceRating]]=3,"Standard","Excellent")</f>
        <v>Standard</v>
      </c>
      <c r="AO187" s="11" t="str">
        <f>IF(HR_Data[[#This Row],[JobSatisfaction]]&lt;=2,"Low","High")</f>
        <v>Low</v>
      </c>
      <c r="AP187" s="11" t="str">
        <f>IF(AND(HR_Data[[#This Row],[OverTime]]="Yes",HR_Data[[#This Row],[JobSatisfaction]]&lt;=2,HR_Data[[#This Row],[YearsAtCompany]]&lt;=2),"High Risk","Normal")</f>
        <v>Normal</v>
      </c>
    </row>
    <row r="188" spans="1:42" x14ac:dyDescent="0.25">
      <c r="A188" s="6">
        <v>40</v>
      </c>
      <c r="B188" s="4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s="11" t="str">
        <f>IF(HR_Data[[#This Row],[Age]]&lt;=25,"18-25",IF(HR_Data[[#This Row],[Age]]&lt;=35,"26-35",IF(HR_Data[[#This Row],[Age]]&lt;=45,"36-45",IF(HR_Data[[#This Row],[Age]]&lt;=55,"46-55","56+"))))</f>
        <v>36-45</v>
      </c>
      <c r="AK188" s="11" t="str">
        <f>IF(HR_Data[[#This Row],[MonthlyIncome]]&lt;3000,"Low",IF(HR_Data[[#This Row],[MonthlyIncome]]&lt;6000,"Medium",IF(HR_Data[[#This Row],[MonthlyIncome]]&lt;10000,"High","Very High")))</f>
        <v>Very High</v>
      </c>
      <c r="AL18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88" t="str">
        <f>IF(HR_Data[[#This Row],[TotalWorkingYears]]&lt;=5,"Junior",IF(HR_Data[[#This Row],[TotalWorkingYears]]&lt;=15,"Mid-Level","Senior"))</f>
        <v>Senior</v>
      </c>
      <c r="AN188" s="11" t="str">
        <f>IF(HR_Data[[#This Row],[PerformanceRating]]=3,"Standard","Excellent")</f>
        <v>Standard</v>
      </c>
      <c r="AO188" s="11" t="str">
        <f>IF(HR_Data[[#This Row],[JobSatisfaction]]&lt;=2,"Low","High")</f>
        <v>High</v>
      </c>
      <c r="AP188" s="11" t="str">
        <f>IF(AND(HR_Data[[#This Row],[OverTime]]="Yes",HR_Data[[#This Row],[JobSatisfaction]]&lt;=2,HR_Data[[#This Row],[YearsAtCompany]]&lt;=2),"High Risk","Normal")</f>
        <v>Normal</v>
      </c>
    </row>
    <row r="189" spans="1:42" x14ac:dyDescent="0.25">
      <c r="A189" s="6">
        <v>55</v>
      </c>
      <c r="B189" s="4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s="11" t="str">
        <f>IF(HR_Data[[#This Row],[Age]]&lt;=25,"18-25",IF(HR_Data[[#This Row],[Age]]&lt;=35,"26-35",IF(HR_Data[[#This Row],[Age]]&lt;=45,"36-45",IF(HR_Data[[#This Row],[Age]]&lt;=55,"46-55","56+"))))</f>
        <v>46-55</v>
      </c>
      <c r="AK189" s="11" t="str">
        <f>IF(HR_Data[[#This Row],[MonthlyIncome]]&lt;3000,"Low",IF(HR_Data[[#This Row],[MonthlyIncome]]&lt;6000,"Medium",IF(HR_Data[[#This Row],[MonthlyIncome]]&lt;10000,"High","Very High")))</f>
        <v>Very High</v>
      </c>
      <c r="AL18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89" t="str">
        <f>IF(HR_Data[[#This Row],[TotalWorkingYears]]&lt;=5,"Junior",IF(HR_Data[[#This Row],[TotalWorkingYears]]&lt;=15,"Mid-Level","Senior"))</f>
        <v>Senior</v>
      </c>
      <c r="AN189" s="11" t="str">
        <f>IF(HR_Data[[#This Row],[PerformanceRating]]=3,"Standard","Excellent")</f>
        <v>Standard</v>
      </c>
      <c r="AO189" s="11" t="str">
        <f>IF(HR_Data[[#This Row],[JobSatisfaction]]&lt;=2,"Low","High")</f>
        <v>Low</v>
      </c>
      <c r="AP189" s="11" t="str">
        <f>IF(AND(HR_Data[[#This Row],[OverTime]]="Yes",HR_Data[[#This Row],[JobSatisfaction]]&lt;=2,HR_Data[[#This Row],[YearsAtCompany]]&lt;=2),"High Risk","Normal")</f>
        <v>Normal</v>
      </c>
    </row>
    <row r="190" spans="1:42" x14ac:dyDescent="0.25">
      <c r="A190" s="6">
        <v>34</v>
      </c>
      <c r="B190" s="4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s="11" t="str">
        <f>IF(HR_Data[[#This Row],[Age]]&lt;=25,"18-25",IF(HR_Data[[#This Row],[Age]]&lt;=35,"26-35",IF(HR_Data[[#This Row],[Age]]&lt;=45,"36-45",IF(HR_Data[[#This Row],[Age]]&lt;=55,"46-55","56+"))))</f>
        <v>26-35</v>
      </c>
      <c r="AK190" s="11" t="str">
        <f>IF(HR_Data[[#This Row],[MonthlyIncome]]&lt;3000,"Low",IF(HR_Data[[#This Row],[MonthlyIncome]]&lt;6000,"Medium",IF(HR_Data[[#This Row],[MonthlyIncome]]&lt;10000,"High","Very High")))</f>
        <v>High</v>
      </c>
      <c r="AL19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90" t="str">
        <f>IF(HR_Data[[#This Row],[TotalWorkingYears]]&lt;=5,"Junior",IF(HR_Data[[#This Row],[TotalWorkingYears]]&lt;=15,"Mid-Level","Senior"))</f>
        <v>Mid-Level</v>
      </c>
      <c r="AN190" s="11" t="str">
        <f>IF(HR_Data[[#This Row],[PerformanceRating]]=3,"Standard","Excellent")</f>
        <v>Standard</v>
      </c>
      <c r="AO190" s="11" t="str">
        <f>IF(HR_Data[[#This Row],[JobSatisfaction]]&lt;=2,"Low","High")</f>
        <v>High</v>
      </c>
      <c r="AP190" s="11" t="str">
        <f>IF(AND(HR_Data[[#This Row],[OverTime]]="Yes",HR_Data[[#This Row],[JobSatisfaction]]&lt;=2,HR_Data[[#This Row],[YearsAtCompany]]&lt;=2),"High Risk","Normal")</f>
        <v>Normal</v>
      </c>
    </row>
    <row r="191" spans="1:42" x14ac:dyDescent="0.25">
      <c r="A191" s="6">
        <v>51</v>
      </c>
      <c r="B191" s="4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s="11" t="str">
        <f>IF(HR_Data[[#This Row],[Age]]&lt;=25,"18-25",IF(HR_Data[[#This Row],[Age]]&lt;=35,"26-35",IF(HR_Data[[#This Row],[Age]]&lt;=45,"36-45",IF(HR_Data[[#This Row],[Age]]&lt;=55,"46-55","56+"))))</f>
        <v>46-55</v>
      </c>
      <c r="AK191" s="11" t="str">
        <f>IF(HR_Data[[#This Row],[MonthlyIncome]]&lt;3000,"Low",IF(HR_Data[[#This Row],[MonthlyIncome]]&lt;6000,"Medium",IF(HR_Data[[#This Row],[MonthlyIncome]]&lt;10000,"High","Very High")))</f>
        <v>Very High</v>
      </c>
      <c r="AL19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91" t="str">
        <f>IF(HR_Data[[#This Row],[TotalWorkingYears]]&lt;=5,"Junior",IF(HR_Data[[#This Row],[TotalWorkingYears]]&lt;=15,"Mid-Level","Senior"))</f>
        <v>Senior</v>
      </c>
      <c r="AN191" s="11" t="str">
        <f>IF(HR_Data[[#This Row],[PerformanceRating]]=3,"Standard","Excellent")</f>
        <v>Standard</v>
      </c>
      <c r="AO191" s="11" t="str">
        <f>IF(HR_Data[[#This Row],[JobSatisfaction]]&lt;=2,"Low","High")</f>
        <v>Low</v>
      </c>
      <c r="AP191" s="11" t="str">
        <f>IF(AND(HR_Data[[#This Row],[OverTime]]="Yes",HR_Data[[#This Row],[JobSatisfaction]]&lt;=2,HR_Data[[#This Row],[YearsAtCompany]]&lt;=2),"High Risk","Normal")</f>
        <v>Normal</v>
      </c>
    </row>
    <row r="192" spans="1:42" x14ac:dyDescent="0.25">
      <c r="A192" s="6">
        <v>52</v>
      </c>
      <c r="B192" s="4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s="11" t="str">
        <f>IF(HR_Data[[#This Row],[Age]]&lt;=25,"18-25",IF(HR_Data[[#This Row],[Age]]&lt;=35,"26-35",IF(HR_Data[[#This Row],[Age]]&lt;=45,"36-45",IF(HR_Data[[#This Row],[Age]]&lt;=55,"46-55","56+"))))</f>
        <v>46-55</v>
      </c>
      <c r="AK192" s="11" t="str">
        <f>IF(HR_Data[[#This Row],[MonthlyIncome]]&lt;3000,"Low",IF(HR_Data[[#This Row],[MonthlyIncome]]&lt;6000,"Medium",IF(HR_Data[[#This Row],[MonthlyIncome]]&lt;10000,"High","Very High")))</f>
        <v>Very High</v>
      </c>
      <c r="AL192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92" t="str">
        <f>IF(HR_Data[[#This Row],[TotalWorkingYears]]&lt;=5,"Junior",IF(HR_Data[[#This Row],[TotalWorkingYears]]&lt;=15,"Mid-Level","Senior"))</f>
        <v>Senior</v>
      </c>
      <c r="AN192" s="11" t="str">
        <f>IF(HR_Data[[#This Row],[PerformanceRating]]=3,"Standard","Excellent")</f>
        <v>Standard</v>
      </c>
      <c r="AO192" s="11" t="str">
        <f>IF(HR_Data[[#This Row],[JobSatisfaction]]&lt;=2,"Low","High")</f>
        <v>High</v>
      </c>
      <c r="AP192" s="11" t="str">
        <f>IF(AND(HR_Data[[#This Row],[OverTime]]="Yes",HR_Data[[#This Row],[JobSatisfaction]]&lt;=2,HR_Data[[#This Row],[YearsAtCompany]]&lt;=2),"High Risk","Normal")</f>
        <v>Normal</v>
      </c>
    </row>
    <row r="193" spans="1:42" x14ac:dyDescent="0.25">
      <c r="A193" s="6">
        <v>27</v>
      </c>
      <c r="B193" s="4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s="11" t="str">
        <f>IF(HR_Data[[#This Row],[Age]]&lt;=25,"18-25",IF(HR_Data[[#This Row],[Age]]&lt;=35,"26-35",IF(HR_Data[[#This Row],[Age]]&lt;=45,"36-45",IF(HR_Data[[#This Row],[Age]]&lt;=55,"46-55","56+"))))</f>
        <v>26-35</v>
      </c>
      <c r="AK193" s="11" t="str">
        <f>IF(HR_Data[[#This Row],[MonthlyIncome]]&lt;3000,"Low",IF(HR_Data[[#This Row],[MonthlyIncome]]&lt;6000,"Medium",IF(HR_Data[[#This Row],[MonthlyIncome]]&lt;10000,"High","Very High")))</f>
        <v>Low</v>
      </c>
      <c r="AL19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93" t="str">
        <f>IF(HR_Data[[#This Row],[TotalWorkingYears]]&lt;=5,"Junior",IF(HR_Data[[#This Row],[TotalWorkingYears]]&lt;=15,"Mid-Level","Senior"))</f>
        <v>Mid-Level</v>
      </c>
      <c r="AN193" s="11" t="str">
        <f>IF(HR_Data[[#This Row],[PerformanceRating]]=3,"Standard","Excellent")</f>
        <v>Standard</v>
      </c>
      <c r="AO193" s="11" t="str">
        <f>IF(HR_Data[[#This Row],[JobSatisfaction]]&lt;=2,"Low","High")</f>
        <v>Low</v>
      </c>
      <c r="AP193" s="11" t="str">
        <f>IF(AND(HR_Data[[#This Row],[OverTime]]="Yes",HR_Data[[#This Row],[JobSatisfaction]]&lt;=2,HR_Data[[#This Row],[YearsAtCompany]]&lt;=2),"High Risk","Normal")</f>
        <v>Normal</v>
      </c>
    </row>
    <row r="194" spans="1:42" x14ac:dyDescent="0.25">
      <c r="A194" s="6">
        <v>35</v>
      </c>
      <c r="B194" s="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s="11" t="str">
        <f>IF(HR_Data[[#This Row],[Age]]&lt;=25,"18-25",IF(HR_Data[[#This Row],[Age]]&lt;=35,"26-35",IF(HR_Data[[#This Row],[Age]]&lt;=45,"36-45",IF(HR_Data[[#This Row],[Age]]&lt;=55,"46-55","56+"))))</f>
        <v>26-35</v>
      </c>
      <c r="AK194" s="11" t="str">
        <f>IF(HR_Data[[#This Row],[MonthlyIncome]]&lt;3000,"Low",IF(HR_Data[[#This Row],[MonthlyIncome]]&lt;6000,"Medium",IF(HR_Data[[#This Row],[MonthlyIncome]]&lt;10000,"High","Very High")))</f>
        <v>Medium</v>
      </c>
      <c r="AL19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94" t="str">
        <f>IF(HR_Data[[#This Row],[TotalWorkingYears]]&lt;=5,"Junior",IF(HR_Data[[#This Row],[TotalWorkingYears]]&lt;=15,"Mid-Level","Senior"))</f>
        <v>Mid-Level</v>
      </c>
      <c r="AN194" s="11" t="str">
        <f>IF(HR_Data[[#This Row],[PerformanceRating]]=3,"Standard","Excellent")</f>
        <v>Standard</v>
      </c>
      <c r="AO194" s="11" t="str">
        <f>IF(HR_Data[[#This Row],[JobSatisfaction]]&lt;=2,"Low","High")</f>
        <v>High</v>
      </c>
      <c r="AP194" s="11" t="str">
        <f>IF(AND(HR_Data[[#This Row],[OverTime]]="Yes",HR_Data[[#This Row],[JobSatisfaction]]&lt;=2,HR_Data[[#This Row],[YearsAtCompany]]&lt;=2),"High Risk","Normal")</f>
        <v>Normal</v>
      </c>
    </row>
    <row r="195" spans="1:42" x14ac:dyDescent="0.25">
      <c r="A195" s="6">
        <v>43</v>
      </c>
      <c r="B195" s="4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s="11" t="str">
        <f>IF(HR_Data[[#This Row],[Age]]&lt;=25,"18-25",IF(HR_Data[[#This Row],[Age]]&lt;=35,"26-35",IF(HR_Data[[#This Row],[Age]]&lt;=45,"36-45",IF(HR_Data[[#This Row],[Age]]&lt;=55,"46-55","56+"))))</f>
        <v>36-45</v>
      </c>
      <c r="AK195" s="11" t="str">
        <f>IF(HR_Data[[#This Row],[MonthlyIncome]]&lt;3000,"Low",IF(HR_Data[[#This Row],[MonthlyIncome]]&lt;6000,"Medium",IF(HR_Data[[#This Row],[MonthlyIncome]]&lt;10000,"High","Very High")))</f>
        <v>Low</v>
      </c>
      <c r="AL19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95" t="str">
        <f>IF(HR_Data[[#This Row],[TotalWorkingYears]]&lt;=5,"Junior",IF(HR_Data[[#This Row],[TotalWorkingYears]]&lt;=15,"Mid-Level","Senior"))</f>
        <v>Mid-Level</v>
      </c>
      <c r="AN195" s="11" t="str">
        <f>IF(HR_Data[[#This Row],[PerformanceRating]]=3,"Standard","Excellent")</f>
        <v>Standard</v>
      </c>
      <c r="AO195" s="11" t="str">
        <f>IF(HR_Data[[#This Row],[JobSatisfaction]]&lt;=2,"Low","High")</f>
        <v>High</v>
      </c>
      <c r="AP195" s="11" t="str">
        <f>IF(AND(HR_Data[[#This Row],[OverTime]]="Yes",HR_Data[[#This Row],[JobSatisfaction]]&lt;=2,HR_Data[[#This Row],[YearsAtCompany]]&lt;=2),"High Risk","Normal")</f>
        <v>Normal</v>
      </c>
    </row>
    <row r="196" spans="1:42" x14ac:dyDescent="0.25">
      <c r="A196" s="6">
        <v>45</v>
      </c>
      <c r="B196" s="4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s="11" t="str">
        <f>IF(HR_Data[[#This Row],[Age]]&lt;=25,"18-25",IF(HR_Data[[#This Row],[Age]]&lt;=35,"26-35",IF(HR_Data[[#This Row],[Age]]&lt;=45,"36-45",IF(HR_Data[[#This Row],[Age]]&lt;=55,"46-55","56+"))))</f>
        <v>36-45</v>
      </c>
      <c r="AK196" s="11" t="str">
        <f>IF(HR_Data[[#This Row],[MonthlyIncome]]&lt;3000,"Low",IF(HR_Data[[#This Row],[MonthlyIncome]]&lt;6000,"Medium",IF(HR_Data[[#This Row],[MonthlyIncome]]&lt;10000,"High","Very High")))</f>
        <v>Very High</v>
      </c>
      <c r="AL19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96" t="str">
        <f>IF(HR_Data[[#This Row],[TotalWorkingYears]]&lt;=5,"Junior",IF(HR_Data[[#This Row],[TotalWorkingYears]]&lt;=15,"Mid-Level","Senior"))</f>
        <v>Senior</v>
      </c>
      <c r="AN196" s="11" t="str">
        <f>IF(HR_Data[[#This Row],[PerformanceRating]]=3,"Standard","Excellent")</f>
        <v>Excellent</v>
      </c>
      <c r="AO196" s="11" t="str">
        <f>IF(HR_Data[[#This Row],[JobSatisfaction]]&lt;=2,"Low","High")</f>
        <v>High</v>
      </c>
      <c r="AP196" s="11" t="str">
        <f>IF(AND(HR_Data[[#This Row],[OverTime]]="Yes",HR_Data[[#This Row],[JobSatisfaction]]&lt;=2,HR_Data[[#This Row],[YearsAtCompany]]&lt;=2),"High Risk","Normal")</f>
        <v>Normal</v>
      </c>
    </row>
    <row r="197" spans="1:42" x14ac:dyDescent="0.25">
      <c r="A197" s="6">
        <v>37</v>
      </c>
      <c r="B197" s="4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s="11" t="str">
        <f>IF(HR_Data[[#This Row],[Age]]&lt;=25,"18-25",IF(HR_Data[[#This Row],[Age]]&lt;=35,"26-35",IF(HR_Data[[#This Row],[Age]]&lt;=45,"36-45",IF(HR_Data[[#This Row],[Age]]&lt;=55,"46-55","56+"))))</f>
        <v>36-45</v>
      </c>
      <c r="AK197" s="11" t="str">
        <f>IF(HR_Data[[#This Row],[MonthlyIncome]]&lt;3000,"Low",IF(HR_Data[[#This Row],[MonthlyIncome]]&lt;6000,"Medium",IF(HR_Data[[#This Row],[MonthlyIncome]]&lt;10000,"High","Very High")))</f>
        <v>Medium</v>
      </c>
      <c r="AL19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97" t="str">
        <f>IF(HR_Data[[#This Row],[TotalWorkingYears]]&lt;=5,"Junior",IF(HR_Data[[#This Row],[TotalWorkingYears]]&lt;=15,"Mid-Level","Senior"))</f>
        <v>Mid-Level</v>
      </c>
      <c r="AN197" s="11" t="str">
        <f>IF(HR_Data[[#This Row],[PerformanceRating]]=3,"Standard","Excellent")</f>
        <v>Standard</v>
      </c>
      <c r="AO197" s="11" t="str">
        <f>IF(HR_Data[[#This Row],[JobSatisfaction]]&lt;=2,"Low","High")</f>
        <v>Low</v>
      </c>
      <c r="AP197" s="11" t="str">
        <f>IF(AND(HR_Data[[#This Row],[OverTime]]="Yes",HR_Data[[#This Row],[JobSatisfaction]]&lt;=2,HR_Data[[#This Row],[YearsAtCompany]]&lt;=2),"High Risk","Normal")</f>
        <v>Normal</v>
      </c>
    </row>
    <row r="198" spans="1:42" x14ac:dyDescent="0.25">
      <c r="A198" s="6">
        <v>35</v>
      </c>
      <c r="B198" s="4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s="11" t="str">
        <f>IF(HR_Data[[#This Row],[Age]]&lt;=25,"18-25",IF(HR_Data[[#This Row],[Age]]&lt;=35,"26-35",IF(HR_Data[[#This Row],[Age]]&lt;=45,"36-45",IF(HR_Data[[#This Row],[Age]]&lt;=55,"46-55","56+"))))</f>
        <v>26-35</v>
      </c>
      <c r="AK198" s="11" t="str">
        <f>IF(HR_Data[[#This Row],[MonthlyIncome]]&lt;3000,"Low",IF(HR_Data[[#This Row],[MonthlyIncome]]&lt;6000,"Medium",IF(HR_Data[[#This Row],[MonthlyIncome]]&lt;10000,"High","Very High")))</f>
        <v>Medium</v>
      </c>
      <c r="AL19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98" t="str">
        <f>IF(HR_Data[[#This Row],[TotalWorkingYears]]&lt;=5,"Junior",IF(HR_Data[[#This Row],[TotalWorkingYears]]&lt;=15,"Mid-Level","Senior"))</f>
        <v>Mid-Level</v>
      </c>
      <c r="AN198" s="11" t="str">
        <f>IF(HR_Data[[#This Row],[PerformanceRating]]=3,"Standard","Excellent")</f>
        <v>Standard</v>
      </c>
      <c r="AO198" s="11" t="str">
        <f>IF(HR_Data[[#This Row],[JobSatisfaction]]&lt;=2,"Low","High")</f>
        <v>Low</v>
      </c>
      <c r="AP198" s="11" t="str">
        <f>IF(AND(HR_Data[[#This Row],[OverTime]]="Yes",HR_Data[[#This Row],[JobSatisfaction]]&lt;=2,HR_Data[[#This Row],[YearsAtCompany]]&lt;=2),"High Risk","Normal")</f>
        <v>Normal</v>
      </c>
    </row>
    <row r="199" spans="1:42" x14ac:dyDescent="0.25">
      <c r="A199" s="6">
        <v>42</v>
      </c>
      <c r="B199" s="4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s="11" t="str">
        <f>IF(HR_Data[[#This Row],[Age]]&lt;=25,"18-25",IF(HR_Data[[#This Row],[Age]]&lt;=35,"26-35",IF(HR_Data[[#This Row],[Age]]&lt;=45,"36-45",IF(HR_Data[[#This Row],[Age]]&lt;=55,"46-55","56+"))))</f>
        <v>36-45</v>
      </c>
      <c r="AK199" s="11" t="str">
        <f>IF(HR_Data[[#This Row],[MonthlyIncome]]&lt;3000,"Low",IF(HR_Data[[#This Row],[MonthlyIncome]]&lt;6000,"Medium",IF(HR_Data[[#This Row],[MonthlyIncome]]&lt;10000,"High","Very High")))</f>
        <v>Medium</v>
      </c>
      <c r="AL19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99" t="str">
        <f>IF(HR_Data[[#This Row],[TotalWorkingYears]]&lt;=5,"Junior",IF(HR_Data[[#This Row],[TotalWorkingYears]]&lt;=15,"Mid-Level","Senior"))</f>
        <v>Mid-Level</v>
      </c>
      <c r="AN199" s="11" t="str">
        <f>IF(HR_Data[[#This Row],[PerformanceRating]]=3,"Standard","Excellent")</f>
        <v>Standard</v>
      </c>
      <c r="AO199" s="11" t="str">
        <f>IF(HR_Data[[#This Row],[JobSatisfaction]]&lt;=2,"Low","High")</f>
        <v>High</v>
      </c>
      <c r="AP199" s="11" t="str">
        <f>IF(AND(HR_Data[[#This Row],[OverTime]]="Yes",HR_Data[[#This Row],[JobSatisfaction]]&lt;=2,HR_Data[[#This Row],[YearsAtCompany]]&lt;=2),"High Risk","Normal")</f>
        <v>Normal</v>
      </c>
    </row>
    <row r="200" spans="1:42" x14ac:dyDescent="0.25">
      <c r="A200" s="6">
        <v>38</v>
      </c>
      <c r="B200" s="4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s="11" t="str">
        <f>IF(HR_Data[[#This Row],[Age]]&lt;=25,"18-25",IF(HR_Data[[#This Row],[Age]]&lt;=35,"26-35",IF(HR_Data[[#This Row],[Age]]&lt;=45,"36-45",IF(HR_Data[[#This Row],[Age]]&lt;=55,"46-55","56+"))))</f>
        <v>36-45</v>
      </c>
      <c r="AK200" s="11" t="str">
        <f>IF(HR_Data[[#This Row],[MonthlyIncome]]&lt;3000,"Low",IF(HR_Data[[#This Row],[MonthlyIncome]]&lt;6000,"Medium",IF(HR_Data[[#This Row],[MonthlyIncome]]&lt;10000,"High","Very High")))</f>
        <v>High</v>
      </c>
      <c r="AL20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00" t="str">
        <f>IF(HR_Data[[#This Row],[TotalWorkingYears]]&lt;=5,"Junior",IF(HR_Data[[#This Row],[TotalWorkingYears]]&lt;=15,"Mid-Level","Senior"))</f>
        <v>Mid-Level</v>
      </c>
      <c r="AN200" s="11" t="str">
        <f>IF(HR_Data[[#This Row],[PerformanceRating]]=3,"Standard","Excellent")</f>
        <v>Standard</v>
      </c>
      <c r="AO200" s="11" t="str">
        <f>IF(HR_Data[[#This Row],[JobSatisfaction]]&lt;=2,"Low","High")</f>
        <v>High</v>
      </c>
      <c r="AP200" s="11" t="str">
        <f>IF(AND(HR_Data[[#This Row],[OverTime]]="Yes",HR_Data[[#This Row],[JobSatisfaction]]&lt;=2,HR_Data[[#This Row],[YearsAtCompany]]&lt;=2),"High Risk","Normal")</f>
        <v>Normal</v>
      </c>
    </row>
    <row r="201" spans="1:42" x14ac:dyDescent="0.25">
      <c r="A201" s="6">
        <v>38</v>
      </c>
      <c r="B201" s="4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s="11" t="str">
        <f>IF(HR_Data[[#This Row],[Age]]&lt;=25,"18-25",IF(HR_Data[[#This Row],[Age]]&lt;=35,"26-35",IF(HR_Data[[#This Row],[Age]]&lt;=45,"36-45",IF(HR_Data[[#This Row],[Age]]&lt;=55,"46-55","56+"))))</f>
        <v>36-45</v>
      </c>
      <c r="AK201" s="11" t="str">
        <f>IF(HR_Data[[#This Row],[MonthlyIncome]]&lt;3000,"Low",IF(HR_Data[[#This Row],[MonthlyIncome]]&lt;6000,"Medium",IF(HR_Data[[#This Row],[MonthlyIncome]]&lt;10000,"High","Very High")))</f>
        <v>High</v>
      </c>
      <c r="AL20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01" t="str">
        <f>IF(HR_Data[[#This Row],[TotalWorkingYears]]&lt;=5,"Junior",IF(HR_Data[[#This Row],[TotalWorkingYears]]&lt;=15,"Mid-Level","Senior"))</f>
        <v>Mid-Level</v>
      </c>
      <c r="AN201" s="11" t="str">
        <f>IF(HR_Data[[#This Row],[PerformanceRating]]=3,"Standard","Excellent")</f>
        <v>Standard</v>
      </c>
      <c r="AO201" s="11" t="str">
        <f>IF(HR_Data[[#This Row],[JobSatisfaction]]&lt;=2,"Low","High")</f>
        <v>High</v>
      </c>
      <c r="AP201" s="11" t="str">
        <f>IF(AND(HR_Data[[#This Row],[OverTime]]="Yes",HR_Data[[#This Row],[JobSatisfaction]]&lt;=2,HR_Data[[#This Row],[YearsAtCompany]]&lt;=2),"High Risk","Normal")</f>
        <v>Normal</v>
      </c>
    </row>
    <row r="202" spans="1:42" x14ac:dyDescent="0.25">
      <c r="A202" s="6">
        <v>27</v>
      </c>
      <c r="B202" s="4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s="11" t="str">
        <f>IF(HR_Data[[#This Row],[Age]]&lt;=25,"18-25",IF(HR_Data[[#This Row],[Age]]&lt;=35,"26-35",IF(HR_Data[[#This Row],[Age]]&lt;=45,"36-45",IF(HR_Data[[#This Row],[Age]]&lt;=55,"46-55","56+"))))</f>
        <v>26-35</v>
      </c>
      <c r="AK202" s="11" t="str">
        <f>IF(HR_Data[[#This Row],[MonthlyIncome]]&lt;3000,"Low",IF(HR_Data[[#This Row],[MonthlyIncome]]&lt;6000,"Medium",IF(HR_Data[[#This Row],[MonthlyIncome]]&lt;10000,"High","Very High")))</f>
        <v>Medium</v>
      </c>
      <c r="AL20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02" t="str">
        <f>IF(HR_Data[[#This Row],[TotalWorkingYears]]&lt;=5,"Junior",IF(HR_Data[[#This Row],[TotalWorkingYears]]&lt;=15,"Mid-Level","Senior"))</f>
        <v>Mid-Level</v>
      </c>
      <c r="AN202" s="11" t="str">
        <f>IF(HR_Data[[#This Row],[PerformanceRating]]=3,"Standard","Excellent")</f>
        <v>Standard</v>
      </c>
      <c r="AO202" s="11" t="str">
        <f>IF(HR_Data[[#This Row],[JobSatisfaction]]&lt;=2,"Low","High")</f>
        <v>Low</v>
      </c>
      <c r="AP202" s="11" t="str">
        <f>IF(AND(HR_Data[[#This Row],[OverTime]]="Yes",HR_Data[[#This Row],[JobSatisfaction]]&lt;=2,HR_Data[[#This Row],[YearsAtCompany]]&lt;=2),"High Risk","Normal")</f>
        <v>Normal</v>
      </c>
    </row>
    <row r="203" spans="1:42" x14ac:dyDescent="0.25">
      <c r="A203" s="6">
        <v>49</v>
      </c>
      <c r="B203" s="4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s="11" t="str">
        <f>IF(HR_Data[[#This Row],[Age]]&lt;=25,"18-25",IF(HR_Data[[#This Row],[Age]]&lt;=35,"26-35",IF(HR_Data[[#This Row],[Age]]&lt;=45,"36-45",IF(HR_Data[[#This Row],[Age]]&lt;=55,"46-55","56+"))))</f>
        <v>46-55</v>
      </c>
      <c r="AK203" s="11" t="str">
        <f>IF(HR_Data[[#This Row],[MonthlyIncome]]&lt;3000,"Low",IF(HR_Data[[#This Row],[MonthlyIncome]]&lt;6000,"Medium",IF(HR_Data[[#This Row],[MonthlyIncome]]&lt;10000,"High","Very High")))</f>
        <v>High</v>
      </c>
      <c r="AL20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03" t="str">
        <f>IF(HR_Data[[#This Row],[TotalWorkingYears]]&lt;=5,"Junior",IF(HR_Data[[#This Row],[TotalWorkingYears]]&lt;=15,"Mid-Level","Senior"))</f>
        <v>Mid-Level</v>
      </c>
      <c r="AN203" s="11" t="str">
        <f>IF(HR_Data[[#This Row],[PerformanceRating]]=3,"Standard","Excellent")</f>
        <v>Standard</v>
      </c>
      <c r="AO203" s="11" t="str">
        <f>IF(HR_Data[[#This Row],[JobSatisfaction]]&lt;=2,"Low","High")</f>
        <v>High</v>
      </c>
      <c r="AP203" s="11" t="str">
        <f>IF(AND(HR_Data[[#This Row],[OverTime]]="Yes",HR_Data[[#This Row],[JobSatisfaction]]&lt;=2,HR_Data[[#This Row],[YearsAtCompany]]&lt;=2),"High Risk","Normal")</f>
        <v>Normal</v>
      </c>
    </row>
    <row r="204" spans="1:42" x14ac:dyDescent="0.25">
      <c r="A204" s="6">
        <v>34</v>
      </c>
      <c r="B204" s="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s="11" t="str">
        <f>IF(HR_Data[[#This Row],[Age]]&lt;=25,"18-25",IF(HR_Data[[#This Row],[Age]]&lt;=35,"26-35",IF(HR_Data[[#This Row],[Age]]&lt;=45,"36-45",IF(HR_Data[[#This Row],[Age]]&lt;=55,"46-55","56+"))))</f>
        <v>26-35</v>
      </c>
      <c r="AK204" s="11" t="str">
        <f>IF(HR_Data[[#This Row],[MonthlyIncome]]&lt;3000,"Low",IF(HR_Data[[#This Row],[MonthlyIncome]]&lt;6000,"Medium",IF(HR_Data[[#This Row],[MonthlyIncome]]&lt;10000,"High","Very High")))</f>
        <v>Medium</v>
      </c>
      <c r="AL20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04" t="str">
        <f>IF(HR_Data[[#This Row],[TotalWorkingYears]]&lt;=5,"Junior",IF(HR_Data[[#This Row],[TotalWorkingYears]]&lt;=15,"Mid-Level","Senior"))</f>
        <v>Junior</v>
      </c>
      <c r="AN204" s="11" t="str">
        <f>IF(HR_Data[[#This Row],[PerformanceRating]]=3,"Standard","Excellent")</f>
        <v>Standard</v>
      </c>
      <c r="AO204" s="11" t="str">
        <f>IF(HR_Data[[#This Row],[JobSatisfaction]]&lt;=2,"Low","High")</f>
        <v>High</v>
      </c>
      <c r="AP204" s="11" t="str">
        <f>IF(AND(HR_Data[[#This Row],[OverTime]]="Yes",HR_Data[[#This Row],[JobSatisfaction]]&lt;=2,HR_Data[[#This Row],[YearsAtCompany]]&lt;=2),"High Risk","Normal")</f>
        <v>Normal</v>
      </c>
    </row>
    <row r="205" spans="1:42" x14ac:dyDescent="0.25">
      <c r="A205" s="6">
        <v>40</v>
      </c>
      <c r="B205" s="4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s="11" t="str">
        <f>IF(HR_Data[[#This Row],[Age]]&lt;=25,"18-25",IF(HR_Data[[#This Row],[Age]]&lt;=35,"26-35",IF(HR_Data[[#This Row],[Age]]&lt;=45,"36-45",IF(HR_Data[[#This Row],[Age]]&lt;=55,"46-55","56+"))))</f>
        <v>36-45</v>
      </c>
      <c r="AK205" s="11" t="str">
        <f>IF(HR_Data[[#This Row],[MonthlyIncome]]&lt;3000,"Low",IF(HR_Data[[#This Row],[MonthlyIncome]]&lt;6000,"Medium",IF(HR_Data[[#This Row],[MonthlyIncome]]&lt;10000,"High","Very High")))</f>
        <v>Low</v>
      </c>
      <c r="AL20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05" t="str">
        <f>IF(HR_Data[[#This Row],[TotalWorkingYears]]&lt;=5,"Junior",IF(HR_Data[[#This Row],[TotalWorkingYears]]&lt;=15,"Mid-Level","Senior"))</f>
        <v>Mid-Level</v>
      </c>
      <c r="AN205" s="11" t="str">
        <f>IF(HR_Data[[#This Row],[PerformanceRating]]=3,"Standard","Excellent")</f>
        <v>Standard</v>
      </c>
      <c r="AO205" s="11" t="str">
        <f>IF(HR_Data[[#This Row],[JobSatisfaction]]&lt;=2,"Low","High")</f>
        <v>High</v>
      </c>
      <c r="AP205" s="11" t="str">
        <f>IF(AND(HR_Data[[#This Row],[OverTime]]="Yes",HR_Data[[#This Row],[JobSatisfaction]]&lt;=2,HR_Data[[#This Row],[YearsAtCompany]]&lt;=2),"High Risk","Normal")</f>
        <v>Normal</v>
      </c>
    </row>
    <row r="206" spans="1:42" x14ac:dyDescent="0.25">
      <c r="A206" s="6">
        <v>38</v>
      </c>
      <c r="B206" s="4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s="11" t="str">
        <f>IF(HR_Data[[#This Row],[Age]]&lt;=25,"18-25",IF(HR_Data[[#This Row],[Age]]&lt;=35,"26-35",IF(HR_Data[[#This Row],[Age]]&lt;=45,"36-45",IF(HR_Data[[#This Row],[Age]]&lt;=55,"46-55","56+"))))</f>
        <v>36-45</v>
      </c>
      <c r="AK206" s="11" t="str">
        <f>IF(HR_Data[[#This Row],[MonthlyIncome]]&lt;3000,"Low",IF(HR_Data[[#This Row],[MonthlyIncome]]&lt;6000,"Medium",IF(HR_Data[[#This Row],[MonthlyIncome]]&lt;10000,"High","Very High")))</f>
        <v>High</v>
      </c>
      <c r="AL20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06" t="str">
        <f>IF(HR_Data[[#This Row],[TotalWorkingYears]]&lt;=5,"Junior",IF(HR_Data[[#This Row],[TotalWorkingYears]]&lt;=15,"Mid-Level","Senior"))</f>
        <v>Senior</v>
      </c>
      <c r="AN206" s="11" t="str">
        <f>IF(HR_Data[[#This Row],[PerformanceRating]]=3,"Standard","Excellent")</f>
        <v>Standard</v>
      </c>
      <c r="AO206" s="11" t="str">
        <f>IF(HR_Data[[#This Row],[JobSatisfaction]]&lt;=2,"Low","High")</f>
        <v>Low</v>
      </c>
      <c r="AP206" s="11" t="str">
        <f>IF(AND(HR_Data[[#This Row],[OverTime]]="Yes",HR_Data[[#This Row],[JobSatisfaction]]&lt;=2,HR_Data[[#This Row],[YearsAtCompany]]&lt;=2),"High Risk","Normal")</f>
        <v>High Risk</v>
      </c>
    </row>
    <row r="207" spans="1:42" x14ac:dyDescent="0.25">
      <c r="A207" s="6">
        <v>29</v>
      </c>
      <c r="B207" s="4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s="11" t="str">
        <f>IF(HR_Data[[#This Row],[Age]]&lt;=25,"18-25",IF(HR_Data[[#This Row],[Age]]&lt;=35,"26-35",IF(HR_Data[[#This Row],[Age]]&lt;=45,"36-45",IF(HR_Data[[#This Row],[Age]]&lt;=55,"46-55","56+"))))</f>
        <v>26-35</v>
      </c>
      <c r="AK207" s="11" t="str">
        <f>IF(HR_Data[[#This Row],[MonthlyIncome]]&lt;3000,"Low",IF(HR_Data[[#This Row],[MonthlyIncome]]&lt;6000,"Medium",IF(HR_Data[[#This Row],[MonthlyIncome]]&lt;10000,"High","Very High")))</f>
        <v>High</v>
      </c>
      <c r="AL20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07" t="str">
        <f>IF(HR_Data[[#This Row],[TotalWorkingYears]]&lt;=5,"Junior",IF(HR_Data[[#This Row],[TotalWorkingYears]]&lt;=15,"Mid-Level","Senior"))</f>
        <v>Mid-Level</v>
      </c>
      <c r="AN207" s="11" t="str">
        <f>IF(HR_Data[[#This Row],[PerformanceRating]]=3,"Standard","Excellent")</f>
        <v>Excellent</v>
      </c>
      <c r="AO207" s="11" t="str">
        <f>IF(HR_Data[[#This Row],[JobSatisfaction]]&lt;=2,"Low","High")</f>
        <v>High</v>
      </c>
      <c r="AP207" s="11" t="str">
        <f>IF(AND(HR_Data[[#This Row],[OverTime]]="Yes",HR_Data[[#This Row],[JobSatisfaction]]&lt;=2,HR_Data[[#This Row],[YearsAtCompany]]&lt;=2),"High Risk","Normal")</f>
        <v>Normal</v>
      </c>
    </row>
    <row r="208" spans="1:42" x14ac:dyDescent="0.25">
      <c r="A208" s="6">
        <v>22</v>
      </c>
      <c r="B208" s="4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s="11" t="str">
        <f>IF(HR_Data[[#This Row],[Age]]&lt;=25,"18-25",IF(HR_Data[[#This Row],[Age]]&lt;=35,"26-35",IF(HR_Data[[#This Row],[Age]]&lt;=45,"36-45",IF(HR_Data[[#This Row],[Age]]&lt;=55,"46-55","56+"))))</f>
        <v>18-25</v>
      </c>
      <c r="AK208" s="11" t="str">
        <f>IF(HR_Data[[#This Row],[MonthlyIncome]]&lt;3000,"Low",IF(HR_Data[[#This Row],[MonthlyIncome]]&lt;6000,"Medium",IF(HR_Data[[#This Row],[MonthlyIncome]]&lt;10000,"High","Very High")))</f>
        <v>Low</v>
      </c>
      <c r="AL20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08" t="str">
        <f>IF(HR_Data[[#This Row],[TotalWorkingYears]]&lt;=5,"Junior",IF(HR_Data[[#This Row],[TotalWorkingYears]]&lt;=15,"Mid-Level","Senior"))</f>
        <v>Junior</v>
      </c>
      <c r="AN208" s="11" t="str">
        <f>IF(HR_Data[[#This Row],[PerformanceRating]]=3,"Standard","Excellent")</f>
        <v>Standard</v>
      </c>
      <c r="AO208" s="11" t="str">
        <f>IF(HR_Data[[#This Row],[JobSatisfaction]]&lt;=2,"Low","High")</f>
        <v>Low</v>
      </c>
      <c r="AP208" s="11" t="str">
        <f>IF(AND(HR_Data[[#This Row],[OverTime]]="Yes",HR_Data[[#This Row],[JobSatisfaction]]&lt;=2,HR_Data[[#This Row],[YearsAtCompany]]&lt;=2),"High Risk","Normal")</f>
        <v>Normal</v>
      </c>
    </row>
    <row r="209" spans="1:42" x14ac:dyDescent="0.25">
      <c r="A209" s="6">
        <v>36</v>
      </c>
      <c r="B209" s="4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s="11" t="str">
        <f>IF(HR_Data[[#This Row],[Age]]&lt;=25,"18-25",IF(HR_Data[[#This Row],[Age]]&lt;=35,"26-35",IF(HR_Data[[#This Row],[Age]]&lt;=45,"36-45",IF(HR_Data[[#This Row],[Age]]&lt;=55,"46-55","56+"))))</f>
        <v>36-45</v>
      </c>
      <c r="AK209" s="11" t="str">
        <f>IF(HR_Data[[#This Row],[MonthlyIncome]]&lt;3000,"Low",IF(HR_Data[[#This Row],[MonthlyIncome]]&lt;6000,"Medium",IF(HR_Data[[#This Row],[MonthlyIncome]]&lt;10000,"High","Very High")))</f>
        <v>Low</v>
      </c>
      <c r="AL20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09" t="str">
        <f>IF(HR_Data[[#This Row],[TotalWorkingYears]]&lt;=5,"Junior",IF(HR_Data[[#This Row],[TotalWorkingYears]]&lt;=15,"Mid-Level","Senior"))</f>
        <v>Mid-Level</v>
      </c>
      <c r="AN209" s="11" t="str">
        <f>IF(HR_Data[[#This Row],[PerformanceRating]]=3,"Standard","Excellent")</f>
        <v>Standard</v>
      </c>
      <c r="AO209" s="11" t="str">
        <f>IF(HR_Data[[#This Row],[JobSatisfaction]]&lt;=2,"Low","High")</f>
        <v>High</v>
      </c>
      <c r="AP209" s="11" t="str">
        <f>IF(AND(HR_Data[[#This Row],[OverTime]]="Yes",HR_Data[[#This Row],[JobSatisfaction]]&lt;=2,HR_Data[[#This Row],[YearsAtCompany]]&lt;=2),"High Risk","Normal")</f>
        <v>Normal</v>
      </c>
    </row>
    <row r="210" spans="1:42" x14ac:dyDescent="0.25">
      <c r="A210" s="6">
        <v>40</v>
      </c>
      <c r="B210" s="4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s="11" t="str">
        <f>IF(HR_Data[[#This Row],[Age]]&lt;=25,"18-25",IF(HR_Data[[#This Row],[Age]]&lt;=35,"26-35",IF(HR_Data[[#This Row],[Age]]&lt;=45,"36-45",IF(HR_Data[[#This Row],[Age]]&lt;=55,"46-55","56+"))))</f>
        <v>36-45</v>
      </c>
      <c r="AK210" s="11" t="str">
        <f>IF(HR_Data[[#This Row],[MonthlyIncome]]&lt;3000,"Low",IF(HR_Data[[#This Row],[MonthlyIncome]]&lt;6000,"Medium",IF(HR_Data[[#This Row],[MonthlyIncome]]&lt;10000,"High","Very High")))</f>
        <v>Medium</v>
      </c>
      <c r="AL21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10" t="str">
        <f>IF(HR_Data[[#This Row],[TotalWorkingYears]]&lt;=5,"Junior",IF(HR_Data[[#This Row],[TotalWorkingYears]]&lt;=15,"Mid-Level","Senior"))</f>
        <v>Junior</v>
      </c>
      <c r="AN210" s="11" t="str">
        <f>IF(HR_Data[[#This Row],[PerformanceRating]]=3,"Standard","Excellent")</f>
        <v>Standard</v>
      </c>
      <c r="AO210" s="11" t="str">
        <f>IF(HR_Data[[#This Row],[JobSatisfaction]]&lt;=2,"Low","High")</f>
        <v>High</v>
      </c>
      <c r="AP210" s="11" t="str">
        <f>IF(AND(HR_Data[[#This Row],[OverTime]]="Yes",HR_Data[[#This Row],[JobSatisfaction]]&lt;=2,HR_Data[[#This Row],[YearsAtCompany]]&lt;=2),"High Risk","Normal")</f>
        <v>Normal</v>
      </c>
    </row>
    <row r="211" spans="1:42" x14ac:dyDescent="0.25">
      <c r="A211" s="6">
        <v>46</v>
      </c>
      <c r="B211" s="4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s="11" t="str">
        <f>IF(HR_Data[[#This Row],[Age]]&lt;=25,"18-25",IF(HR_Data[[#This Row],[Age]]&lt;=35,"26-35",IF(HR_Data[[#This Row],[Age]]&lt;=45,"36-45",IF(HR_Data[[#This Row],[Age]]&lt;=55,"46-55","56+"))))</f>
        <v>46-55</v>
      </c>
      <c r="AK211" s="11" t="str">
        <f>IF(HR_Data[[#This Row],[MonthlyIncome]]&lt;3000,"Low",IF(HR_Data[[#This Row],[MonthlyIncome]]&lt;6000,"Medium",IF(HR_Data[[#This Row],[MonthlyIncome]]&lt;10000,"High","Very High")))</f>
        <v>High</v>
      </c>
      <c r="AL21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11" t="str">
        <f>IF(HR_Data[[#This Row],[TotalWorkingYears]]&lt;=5,"Junior",IF(HR_Data[[#This Row],[TotalWorkingYears]]&lt;=15,"Mid-Level","Senior"))</f>
        <v>Senior</v>
      </c>
      <c r="AN211" s="11" t="str">
        <f>IF(HR_Data[[#This Row],[PerformanceRating]]=3,"Standard","Excellent")</f>
        <v>Standard</v>
      </c>
      <c r="AO211" s="11" t="str">
        <f>IF(HR_Data[[#This Row],[JobSatisfaction]]&lt;=2,"Low","High")</f>
        <v>Low</v>
      </c>
      <c r="AP211" s="11" t="str">
        <f>IF(AND(HR_Data[[#This Row],[OverTime]]="Yes",HR_Data[[#This Row],[JobSatisfaction]]&lt;=2,HR_Data[[#This Row],[YearsAtCompany]]&lt;=2),"High Risk","Normal")</f>
        <v>Normal</v>
      </c>
    </row>
    <row r="212" spans="1:42" x14ac:dyDescent="0.25">
      <c r="A212" s="6">
        <v>32</v>
      </c>
      <c r="B212" s="4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s="11" t="str">
        <f>IF(HR_Data[[#This Row],[Age]]&lt;=25,"18-25",IF(HR_Data[[#This Row],[Age]]&lt;=35,"26-35",IF(HR_Data[[#This Row],[Age]]&lt;=45,"36-45",IF(HR_Data[[#This Row],[Age]]&lt;=55,"46-55","56+"))))</f>
        <v>26-35</v>
      </c>
      <c r="AK212" s="11" t="str">
        <f>IF(HR_Data[[#This Row],[MonthlyIncome]]&lt;3000,"Low",IF(HR_Data[[#This Row],[MonthlyIncome]]&lt;6000,"Medium",IF(HR_Data[[#This Row],[MonthlyIncome]]&lt;10000,"High","Very High")))</f>
        <v>Very High</v>
      </c>
      <c r="AL21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212" t="str">
        <f>IF(HR_Data[[#This Row],[TotalWorkingYears]]&lt;=5,"Junior",IF(HR_Data[[#This Row],[TotalWorkingYears]]&lt;=15,"Mid-Level","Senior"))</f>
        <v>Mid-Level</v>
      </c>
      <c r="AN212" s="11" t="str">
        <f>IF(HR_Data[[#This Row],[PerformanceRating]]=3,"Standard","Excellent")</f>
        <v>Standard</v>
      </c>
      <c r="AO212" s="11" t="str">
        <f>IF(HR_Data[[#This Row],[JobSatisfaction]]&lt;=2,"Low","High")</f>
        <v>High</v>
      </c>
      <c r="AP212" s="11" t="str">
        <f>IF(AND(HR_Data[[#This Row],[OverTime]]="Yes",HR_Data[[#This Row],[JobSatisfaction]]&lt;=2,HR_Data[[#This Row],[YearsAtCompany]]&lt;=2),"High Risk","Normal")</f>
        <v>Normal</v>
      </c>
    </row>
    <row r="213" spans="1:42" x14ac:dyDescent="0.25">
      <c r="A213" s="6">
        <v>30</v>
      </c>
      <c r="B213" s="4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s="11" t="str">
        <f>IF(HR_Data[[#This Row],[Age]]&lt;=25,"18-25",IF(HR_Data[[#This Row],[Age]]&lt;=35,"26-35",IF(HR_Data[[#This Row],[Age]]&lt;=45,"36-45",IF(HR_Data[[#This Row],[Age]]&lt;=55,"46-55","56+"))))</f>
        <v>26-35</v>
      </c>
      <c r="AK213" s="11" t="str">
        <f>IF(HR_Data[[#This Row],[MonthlyIncome]]&lt;3000,"Low",IF(HR_Data[[#This Row],[MonthlyIncome]]&lt;6000,"Medium",IF(HR_Data[[#This Row],[MonthlyIncome]]&lt;10000,"High","Very High")))</f>
        <v>High</v>
      </c>
      <c r="AL213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213" t="str">
        <f>IF(HR_Data[[#This Row],[TotalWorkingYears]]&lt;=5,"Junior",IF(HR_Data[[#This Row],[TotalWorkingYears]]&lt;=15,"Mid-Level","Senior"))</f>
        <v>Mid-Level</v>
      </c>
      <c r="AN213" s="11" t="str">
        <f>IF(HR_Data[[#This Row],[PerformanceRating]]=3,"Standard","Excellent")</f>
        <v>Excellent</v>
      </c>
      <c r="AO213" s="11" t="str">
        <f>IF(HR_Data[[#This Row],[JobSatisfaction]]&lt;=2,"Low","High")</f>
        <v>High</v>
      </c>
      <c r="AP213" s="11" t="str">
        <f>IF(AND(HR_Data[[#This Row],[OverTime]]="Yes",HR_Data[[#This Row],[JobSatisfaction]]&lt;=2,HR_Data[[#This Row],[YearsAtCompany]]&lt;=2),"High Risk","Normal")</f>
        <v>Normal</v>
      </c>
    </row>
    <row r="214" spans="1:42" x14ac:dyDescent="0.25">
      <c r="A214" s="6">
        <v>27</v>
      </c>
      <c r="B214" s="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s="11" t="str">
        <f>IF(HR_Data[[#This Row],[Age]]&lt;=25,"18-25",IF(HR_Data[[#This Row],[Age]]&lt;=35,"26-35",IF(HR_Data[[#This Row],[Age]]&lt;=45,"36-45",IF(HR_Data[[#This Row],[Age]]&lt;=55,"46-55","56+"))))</f>
        <v>26-35</v>
      </c>
      <c r="AK214" s="11" t="str">
        <f>IF(HR_Data[[#This Row],[MonthlyIncome]]&lt;3000,"Low",IF(HR_Data[[#This Row],[MonthlyIncome]]&lt;6000,"Medium",IF(HR_Data[[#This Row],[MonthlyIncome]]&lt;10000,"High","Very High")))</f>
        <v>High</v>
      </c>
      <c r="AL21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14" t="str">
        <f>IF(HR_Data[[#This Row],[TotalWorkingYears]]&lt;=5,"Junior",IF(HR_Data[[#This Row],[TotalWorkingYears]]&lt;=15,"Mid-Level","Senior"))</f>
        <v>Mid-Level</v>
      </c>
      <c r="AN214" s="11" t="str">
        <f>IF(HR_Data[[#This Row],[PerformanceRating]]=3,"Standard","Excellent")</f>
        <v>Standard</v>
      </c>
      <c r="AO214" s="11" t="str">
        <f>IF(HR_Data[[#This Row],[JobSatisfaction]]&lt;=2,"Low","High")</f>
        <v>High</v>
      </c>
      <c r="AP214" s="11" t="str">
        <f>IF(AND(HR_Data[[#This Row],[OverTime]]="Yes",HR_Data[[#This Row],[JobSatisfaction]]&lt;=2,HR_Data[[#This Row],[YearsAtCompany]]&lt;=2),"High Risk","Normal")</f>
        <v>Normal</v>
      </c>
    </row>
    <row r="215" spans="1:42" x14ac:dyDescent="0.25">
      <c r="A215" s="6">
        <v>51</v>
      </c>
      <c r="B215" s="4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s="11" t="str">
        <f>IF(HR_Data[[#This Row],[Age]]&lt;=25,"18-25",IF(HR_Data[[#This Row],[Age]]&lt;=35,"26-35",IF(HR_Data[[#This Row],[Age]]&lt;=45,"36-45",IF(HR_Data[[#This Row],[Age]]&lt;=55,"46-55","56+"))))</f>
        <v>46-55</v>
      </c>
      <c r="AK215" s="11" t="str">
        <f>IF(HR_Data[[#This Row],[MonthlyIncome]]&lt;3000,"Low",IF(HR_Data[[#This Row],[MonthlyIncome]]&lt;6000,"Medium",IF(HR_Data[[#This Row],[MonthlyIncome]]&lt;10000,"High","Very High")))</f>
        <v>Very High</v>
      </c>
      <c r="AL21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15" t="str">
        <f>IF(HR_Data[[#This Row],[TotalWorkingYears]]&lt;=5,"Junior",IF(HR_Data[[#This Row],[TotalWorkingYears]]&lt;=15,"Mid-Level","Senior"))</f>
        <v>Senior</v>
      </c>
      <c r="AN215" s="11" t="str">
        <f>IF(HR_Data[[#This Row],[PerformanceRating]]=3,"Standard","Excellent")</f>
        <v>Standard</v>
      </c>
      <c r="AO215" s="11" t="str">
        <f>IF(HR_Data[[#This Row],[JobSatisfaction]]&lt;=2,"Low","High")</f>
        <v>Low</v>
      </c>
      <c r="AP215" s="11" t="str">
        <f>IF(AND(HR_Data[[#This Row],[OverTime]]="Yes",HR_Data[[#This Row],[JobSatisfaction]]&lt;=2,HR_Data[[#This Row],[YearsAtCompany]]&lt;=2),"High Risk","Normal")</f>
        <v>Normal</v>
      </c>
    </row>
    <row r="216" spans="1:42" x14ac:dyDescent="0.25">
      <c r="A216" s="6">
        <v>30</v>
      </c>
      <c r="B216" s="4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s="11" t="str">
        <f>IF(HR_Data[[#This Row],[Age]]&lt;=25,"18-25",IF(HR_Data[[#This Row],[Age]]&lt;=35,"26-35",IF(HR_Data[[#This Row],[Age]]&lt;=45,"36-45",IF(HR_Data[[#This Row],[Age]]&lt;=55,"46-55","56+"))))</f>
        <v>26-35</v>
      </c>
      <c r="AK216" s="11" t="str">
        <f>IF(HR_Data[[#This Row],[MonthlyIncome]]&lt;3000,"Low",IF(HR_Data[[#This Row],[MonthlyIncome]]&lt;6000,"Medium",IF(HR_Data[[#This Row],[MonthlyIncome]]&lt;10000,"High","Very High")))</f>
        <v>Low</v>
      </c>
      <c r="AL21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16" t="str">
        <f>IF(HR_Data[[#This Row],[TotalWorkingYears]]&lt;=5,"Junior",IF(HR_Data[[#This Row],[TotalWorkingYears]]&lt;=15,"Mid-Level","Senior"))</f>
        <v>Mid-Level</v>
      </c>
      <c r="AN216" s="11" t="str">
        <f>IF(HR_Data[[#This Row],[PerformanceRating]]=3,"Standard","Excellent")</f>
        <v>Standard</v>
      </c>
      <c r="AO216" s="11" t="str">
        <f>IF(HR_Data[[#This Row],[JobSatisfaction]]&lt;=2,"Low","High")</f>
        <v>Low</v>
      </c>
      <c r="AP216" s="11" t="str">
        <f>IF(AND(HR_Data[[#This Row],[OverTime]]="Yes",HR_Data[[#This Row],[JobSatisfaction]]&lt;=2,HR_Data[[#This Row],[YearsAtCompany]]&lt;=2),"High Risk","Normal")</f>
        <v>Normal</v>
      </c>
    </row>
    <row r="217" spans="1:42" x14ac:dyDescent="0.25">
      <c r="A217" s="6">
        <v>41</v>
      </c>
      <c r="B217" s="4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s="11" t="str">
        <f>IF(HR_Data[[#This Row],[Age]]&lt;=25,"18-25",IF(HR_Data[[#This Row],[Age]]&lt;=35,"26-35",IF(HR_Data[[#This Row],[Age]]&lt;=45,"36-45",IF(HR_Data[[#This Row],[Age]]&lt;=55,"46-55","56+"))))</f>
        <v>36-45</v>
      </c>
      <c r="AK217" s="11" t="str">
        <f>IF(HR_Data[[#This Row],[MonthlyIncome]]&lt;3000,"Low",IF(HR_Data[[#This Row],[MonthlyIncome]]&lt;6000,"Medium",IF(HR_Data[[#This Row],[MonthlyIncome]]&lt;10000,"High","Very High")))</f>
        <v>Very High</v>
      </c>
      <c r="AL21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17" t="str">
        <f>IF(HR_Data[[#This Row],[TotalWorkingYears]]&lt;=5,"Junior",IF(HR_Data[[#This Row],[TotalWorkingYears]]&lt;=15,"Mid-Level","Senior"))</f>
        <v>Senior</v>
      </c>
      <c r="AN217" s="11" t="str">
        <f>IF(HR_Data[[#This Row],[PerformanceRating]]=3,"Standard","Excellent")</f>
        <v>Standard</v>
      </c>
      <c r="AO217" s="11" t="str">
        <f>IF(HR_Data[[#This Row],[JobSatisfaction]]&lt;=2,"Low","High")</f>
        <v>High</v>
      </c>
      <c r="AP217" s="11" t="str">
        <f>IF(AND(HR_Data[[#This Row],[OverTime]]="Yes",HR_Data[[#This Row],[JobSatisfaction]]&lt;=2,HR_Data[[#This Row],[YearsAtCompany]]&lt;=2),"High Risk","Normal")</f>
        <v>Normal</v>
      </c>
    </row>
    <row r="218" spans="1:42" x14ac:dyDescent="0.25">
      <c r="A218" s="6">
        <v>30</v>
      </c>
      <c r="B218" s="4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s="11" t="str">
        <f>IF(HR_Data[[#This Row],[Age]]&lt;=25,"18-25",IF(HR_Data[[#This Row],[Age]]&lt;=35,"26-35",IF(HR_Data[[#This Row],[Age]]&lt;=45,"36-45",IF(HR_Data[[#This Row],[Age]]&lt;=55,"46-55","56+"))))</f>
        <v>26-35</v>
      </c>
      <c r="AK218" s="11" t="str">
        <f>IF(HR_Data[[#This Row],[MonthlyIncome]]&lt;3000,"Low",IF(HR_Data[[#This Row],[MonthlyIncome]]&lt;6000,"Medium",IF(HR_Data[[#This Row],[MonthlyIncome]]&lt;10000,"High","Very High")))</f>
        <v>High</v>
      </c>
      <c r="AL21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18" t="str">
        <f>IF(HR_Data[[#This Row],[TotalWorkingYears]]&lt;=5,"Junior",IF(HR_Data[[#This Row],[TotalWorkingYears]]&lt;=15,"Mid-Level","Senior"))</f>
        <v>Mid-Level</v>
      </c>
      <c r="AN218" s="11" t="str">
        <f>IF(HR_Data[[#This Row],[PerformanceRating]]=3,"Standard","Excellent")</f>
        <v>Standard</v>
      </c>
      <c r="AO218" s="11" t="str">
        <f>IF(HR_Data[[#This Row],[JobSatisfaction]]&lt;=2,"Low","High")</f>
        <v>Low</v>
      </c>
      <c r="AP218" s="11" t="str">
        <f>IF(AND(HR_Data[[#This Row],[OverTime]]="Yes",HR_Data[[#This Row],[JobSatisfaction]]&lt;=2,HR_Data[[#This Row],[YearsAtCompany]]&lt;=2),"High Risk","Normal")</f>
        <v>Normal</v>
      </c>
    </row>
    <row r="219" spans="1:42" x14ac:dyDescent="0.25">
      <c r="A219" s="6">
        <v>29</v>
      </c>
      <c r="B219" s="4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s="11" t="str">
        <f>IF(HR_Data[[#This Row],[Age]]&lt;=25,"18-25",IF(HR_Data[[#This Row],[Age]]&lt;=35,"26-35",IF(HR_Data[[#This Row],[Age]]&lt;=45,"36-45",IF(HR_Data[[#This Row],[Age]]&lt;=55,"46-55","56+"))))</f>
        <v>26-35</v>
      </c>
      <c r="AK219" s="11" t="str">
        <f>IF(HR_Data[[#This Row],[MonthlyIncome]]&lt;3000,"Low",IF(HR_Data[[#This Row],[MonthlyIncome]]&lt;6000,"Medium",IF(HR_Data[[#This Row],[MonthlyIncome]]&lt;10000,"High","Very High")))</f>
        <v>Low</v>
      </c>
      <c r="AL21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19" t="str">
        <f>IF(HR_Data[[#This Row],[TotalWorkingYears]]&lt;=5,"Junior",IF(HR_Data[[#This Row],[TotalWorkingYears]]&lt;=15,"Mid-Level","Senior"))</f>
        <v>Mid-Level</v>
      </c>
      <c r="AN219" s="11" t="str">
        <f>IF(HR_Data[[#This Row],[PerformanceRating]]=3,"Standard","Excellent")</f>
        <v>Standard</v>
      </c>
      <c r="AO219" s="11" t="str">
        <f>IF(HR_Data[[#This Row],[JobSatisfaction]]&lt;=2,"Low","High")</f>
        <v>High</v>
      </c>
      <c r="AP219" s="11" t="str">
        <f>IF(AND(HR_Data[[#This Row],[OverTime]]="Yes",HR_Data[[#This Row],[JobSatisfaction]]&lt;=2,HR_Data[[#This Row],[YearsAtCompany]]&lt;=2),"High Risk","Normal")</f>
        <v>Normal</v>
      </c>
    </row>
    <row r="220" spans="1:42" x14ac:dyDescent="0.25">
      <c r="A220" s="6">
        <v>45</v>
      </c>
      <c r="B220" s="4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s="11" t="str">
        <f>IF(HR_Data[[#This Row],[Age]]&lt;=25,"18-25",IF(HR_Data[[#This Row],[Age]]&lt;=35,"26-35",IF(HR_Data[[#This Row],[Age]]&lt;=45,"36-45",IF(HR_Data[[#This Row],[Age]]&lt;=55,"46-55","56+"))))</f>
        <v>36-45</v>
      </c>
      <c r="AK220" s="11" t="str">
        <f>IF(HR_Data[[#This Row],[MonthlyIncome]]&lt;3000,"Low",IF(HR_Data[[#This Row],[MonthlyIncome]]&lt;6000,"Medium",IF(HR_Data[[#This Row],[MonthlyIncome]]&lt;10000,"High","Very High")))</f>
        <v>High</v>
      </c>
      <c r="AL22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20" t="str">
        <f>IF(HR_Data[[#This Row],[TotalWorkingYears]]&lt;=5,"Junior",IF(HR_Data[[#This Row],[TotalWorkingYears]]&lt;=15,"Mid-Level","Senior"))</f>
        <v>Senior</v>
      </c>
      <c r="AN220" s="11" t="str">
        <f>IF(HR_Data[[#This Row],[PerformanceRating]]=3,"Standard","Excellent")</f>
        <v>Standard</v>
      </c>
      <c r="AO220" s="11" t="str">
        <f>IF(HR_Data[[#This Row],[JobSatisfaction]]&lt;=2,"Low","High")</f>
        <v>High</v>
      </c>
      <c r="AP220" s="11" t="str">
        <f>IF(AND(HR_Data[[#This Row],[OverTime]]="Yes",HR_Data[[#This Row],[JobSatisfaction]]&lt;=2,HR_Data[[#This Row],[YearsAtCompany]]&lt;=2),"High Risk","Normal")</f>
        <v>Normal</v>
      </c>
    </row>
    <row r="221" spans="1:42" x14ac:dyDescent="0.25">
      <c r="A221" s="6">
        <v>54</v>
      </c>
      <c r="B221" s="4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s="11" t="str">
        <f>IF(HR_Data[[#This Row],[Age]]&lt;=25,"18-25",IF(HR_Data[[#This Row],[Age]]&lt;=35,"26-35",IF(HR_Data[[#This Row],[Age]]&lt;=45,"36-45",IF(HR_Data[[#This Row],[Age]]&lt;=55,"46-55","56+"))))</f>
        <v>46-55</v>
      </c>
      <c r="AK221" s="11" t="str">
        <f>IF(HR_Data[[#This Row],[MonthlyIncome]]&lt;3000,"Low",IF(HR_Data[[#This Row],[MonthlyIncome]]&lt;6000,"Medium",IF(HR_Data[[#This Row],[MonthlyIncome]]&lt;10000,"High","Very High")))</f>
        <v>Medium</v>
      </c>
      <c r="AL22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21" t="str">
        <f>IF(HR_Data[[#This Row],[TotalWorkingYears]]&lt;=5,"Junior",IF(HR_Data[[#This Row],[TotalWorkingYears]]&lt;=15,"Mid-Level","Senior"))</f>
        <v>Senior</v>
      </c>
      <c r="AN221" s="11" t="str">
        <f>IF(HR_Data[[#This Row],[PerformanceRating]]=3,"Standard","Excellent")</f>
        <v>Standard</v>
      </c>
      <c r="AO221" s="11" t="str">
        <f>IF(HR_Data[[#This Row],[JobSatisfaction]]&lt;=2,"Low","High")</f>
        <v>Low</v>
      </c>
      <c r="AP221" s="11" t="str">
        <f>IF(AND(HR_Data[[#This Row],[OverTime]]="Yes",HR_Data[[#This Row],[JobSatisfaction]]&lt;=2,HR_Data[[#This Row],[YearsAtCompany]]&lt;=2),"High Risk","Normal")</f>
        <v>Normal</v>
      </c>
    </row>
    <row r="222" spans="1:42" x14ac:dyDescent="0.25">
      <c r="A222" s="6">
        <v>36</v>
      </c>
      <c r="B222" s="4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s="11" t="str">
        <f>IF(HR_Data[[#This Row],[Age]]&lt;=25,"18-25",IF(HR_Data[[#This Row],[Age]]&lt;=35,"26-35",IF(HR_Data[[#This Row],[Age]]&lt;=45,"36-45",IF(HR_Data[[#This Row],[Age]]&lt;=55,"46-55","56+"))))</f>
        <v>36-45</v>
      </c>
      <c r="AK222" s="11" t="str">
        <f>IF(HR_Data[[#This Row],[MonthlyIncome]]&lt;3000,"Low",IF(HR_Data[[#This Row],[MonthlyIncome]]&lt;6000,"Medium",IF(HR_Data[[#This Row],[MonthlyIncome]]&lt;10000,"High","Very High")))</f>
        <v>Medium</v>
      </c>
      <c r="AL22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222" t="str">
        <f>IF(HR_Data[[#This Row],[TotalWorkingYears]]&lt;=5,"Junior",IF(HR_Data[[#This Row],[TotalWorkingYears]]&lt;=15,"Mid-Level","Senior"))</f>
        <v>Senior</v>
      </c>
      <c r="AN222" s="11" t="str">
        <f>IF(HR_Data[[#This Row],[PerformanceRating]]=3,"Standard","Excellent")</f>
        <v>Standard</v>
      </c>
      <c r="AO222" s="11" t="str">
        <f>IF(HR_Data[[#This Row],[JobSatisfaction]]&lt;=2,"Low","High")</f>
        <v>Low</v>
      </c>
      <c r="AP222" s="11" t="str">
        <f>IF(AND(HR_Data[[#This Row],[OverTime]]="Yes",HR_Data[[#This Row],[JobSatisfaction]]&lt;=2,HR_Data[[#This Row],[YearsAtCompany]]&lt;=2),"High Risk","Normal")</f>
        <v>Normal</v>
      </c>
    </row>
    <row r="223" spans="1:42" x14ac:dyDescent="0.25">
      <c r="A223" s="6">
        <v>33</v>
      </c>
      <c r="B223" s="4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s="11" t="str">
        <f>IF(HR_Data[[#This Row],[Age]]&lt;=25,"18-25",IF(HR_Data[[#This Row],[Age]]&lt;=35,"26-35",IF(HR_Data[[#This Row],[Age]]&lt;=45,"36-45",IF(HR_Data[[#This Row],[Age]]&lt;=55,"46-55","56+"))))</f>
        <v>26-35</v>
      </c>
      <c r="AK223" s="11" t="str">
        <f>IF(HR_Data[[#This Row],[MonthlyIncome]]&lt;3000,"Low",IF(HR_Data[[#This Row],[MonthlyIncome]]&lt;6000,"Medium",IF(HR_Data[[#This Row],[MonthlyIncome]]&lt;10000,"High","Very High")))</f>
        <v>Low</v>
      </c>
      <c r="AL22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23" t="str">
        <f>IF(HR_Data[[#This Row],[TotalWorkingYears]]&lt;=5,"Junior",IF(HR_Data[[#This Row],[TotalWorkingYears]]&lt;=15,"Mid-Level","Senior"))</f>
        <v>Mid-Level</v>
      </c>
      <c r="AN223" s="11" t="str">
        <f>IF(HR_Data[[#This Row],[PerformanceRating]]=3,"Standard","Excellent")</f>
        <v>Excellent</v>
      </c>
      <c r="AO223" s="11" t="str">
        <f>IF(HR_Data[[#This Row],[JobSatisfaction]]&lt;=2,"Low","High")</f>
        <v>Low</v>
      </c>
      <c r="AP223" s="11" t="str">
        <f>IF(AND(HR_Data[[#This Row],[OverTime]]="Yes",HR_Data[[#This Row],[JobSatisfaction]]&lt;=2,HR_Data[[#This Row],[YearsAtCompany]]&lt;=2),"High Risk","Normal")</f>
        <v>Normal</v>
      </c>
    </row>
    <row r="224" spans="1:42" x14ac:dyDescent="0.25">
      <c r="A224" s="6">
        <v>37</v>
      </c>
      <c r="B224" s="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s="11" t="str">
        <f>IF(HR_Data[[#This Row],[Age]]&lt;=25,"18-25",IF(HR_Data[[#This Row],[Age]]&lt;=35,"26-35",IF(HR_Data[[#This Row],[Age]]&lt;=45,"36-45",IF(HR_Data[[#This Row],[Age]]&lt;=55,"46-55","56+"))))</f>
        <v>36-45</v>
      </c>
      <c r="AK224" s="11" t="str">
        <f>IF(HR_Data[[#This Row],[MonthlyIncome]]&lt;3000,"Low",IF(HR_Data[[#This Row],[MonthlyIncome]]&lt;6000,"Medium",IF(HR_Data[[#This Row],[MonthlyIncome]]&lt;10000,"High","Very High")))</f>
        <v>Very High</v>
      </c>
      <c r="AL22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24" t="str">
        <f>IF(HR_Data[[#This Row],[TotalWorkingYears]]&lt;=5,"Junior",IF(HR_Data[[#This Row],[TotalWorkingYears]]&lt;=15,"Mid-Level","Senior"))</f>
        <v>Mid-Level</v>
      </c>
      <c r="AN224" s="11" t="str">
        <f>IF(HR_Data[[#This Row],[PerformanceRating]]=3,"Standard","Excellent")</f>
        <v>Standard</v>
      </c>
      <c r="AO224" s="11" t="str">
        <f>IF(HR_Data[[#This Row],[JobSatisfaction]]&lt;=2,"Low","High")</f>
        <v>High</v>
      </c>
      <c r="AP224" s="11" t="str">
        <f>IF(AND(HR_Data[[#This Row],[OverTime]]="Yes",HR_Data[[#This Row],[JobSatisfaction]]&lt;=2,HR_Data[[#This Row],[YearsAtCompany]]&lt;=2),"High Risk","Normal")</f>
        <v>Normal</v>
      </c>
    </row>
    <row r="225" spans="1:42" x14ac:dyDescent="0.25">
      <c r="A225" s="6">
        <v>38</v>
      </c>
      <c r="B225" s="4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s="11" t="str">
        <f>IF(HR_Data[[#This Row],[Age]]&lt;=25,"18-25",IF(HR_Data[[#This Row],[Age]]&lt;=35,"26-35",IF(HR_Data[[#This Row],[Age]]&lt;=45,"36-45",IF(HR_Data[[#This Row],[Age]]&lt;=55,"46-55","56+"))))</f>
        <v>36-45</v>
      </c>
      <c r="AK225" s="11" t="str">
        <f>IF(HR_Data[[#This Row],[MonthlyIncome]]&lt;3000,"Low",IF(HR_Data[[#This Row],[MonthlyIncome]]&lt;6000,"Medium",IF(HR_Data[[#This Row],[MonthlyIncome]]&lt;10000,"High","Very High")))</f>
        <v>Very High</v>
      </c>
      <c r="AL22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25" t="str">
        <f>IF(HR_Data[[#This Row],[TotalWorkingYears]]&lt;=5,"Junior",IF(HR_Data[[#This Row],[TotalWorkingYears]]&lt;=15,"Mid-Level","Senior"))</f>
        <v>Senior</v>
      </c>
      <c r="AN225" s="11" t="str">
        <f>IF(HR_Data[[#This Row],[PerformanceRating]]=3,"Standard","Excellent")</f>
        <v>Standard</v>
      </c>
      <c r="AO225" s="11" t="str">
        <f>IF(HR_Data[[#This Row],[JobSatisfaction]]&lt;=2,"Low","High")</f>
        <v>High</v>
      </c>
      <c r="AP225" s="11" t="str">
        <f>IF(AND(HR_Data[[#This Row],[OverTime]]="Yes",HR_Data[[#This Row],[JobSatisfaction]]&lt;=2,HR_Data[[#This Row],[YearsAtCompany]]&lt;=2),"High Risk","Normal")</f>
        <v>Normal</v>
      </c>
    </row>
    <row r="226" spans="1:42" x14ac:dyDescent="0.25">
      <c r="A226" s="6">
        <v>31</v>
      </c>
      <c r="B226" s="4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s="11" t="str">
        <f>IF(HR_Data[[#This Row],[Age]]&lt;=25,"18-25",IF(HR_Data[[#This Row],[Age]]&lt;=35,"26-35",IF(HR_Data[[#This Row],[Age]]&lt;=45,"36-45",IF(HR_Data[[#This Row],[Age]]&lt;=55,"46-55","56+"))))</f>
        <v>26-35</v>
      </c>
      <c r="AK226" s="11" t="str">
        <f>IF(HR_Data[[#This Row],[MonthlyIncome]]&lt;3000,"Low",IF(HR_Data[[#This Row],[MonthlyIncome]]&lt;6000,"Medium",IF(HR_Data[[#This Row],[MonthlyIncome]]&lt;10000,"High","Very High")))</f>
        <v>Medium</v>
      </c>
      <c r="AL22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26" t="str">
        <f>IF(HR_Data[[#This Row],[TotalWorkingYears]]&lt;=5,"Junior",IF(HR_Data[[#This Row],[TotalWorkingYears]]&lt;=15,"Mid-Level","Senior"))</f>
        <v>Mid-Level</v>
      </c>
      <c r="AN226" s="11" t="str">
        <f>IF(HR_Data[[#This Row],[PerformanceRating]]=3,"Standard","Excellent")</f>
        <v>Standard</v>
      </c>
      <c r="AO226" s="11" t="str">
        <f>IF(HR_Data[[#This Row],[JobSatisfaction]]&lt;=2,"Low","High")</f>
        <v>High</v>
      </c>
      <c r="AP226" s="11" t="str">
        <f>IF(AND(HR_Data[[#This Row],[OverTime]]="Yes",HR_Data[[#This Row],[JobSatisfaction]]&lt;=2,HR_Data[[#This Row],[YearsAtCompany]]&lt;=2),"High Risk","Normal")</f>
        <v>Normal</v>
      </c>
    </row>
    <row r="227" spans="1:42" x14ac:dyDescent="0.25">
      <c r="A227" s="6">
        <v>59</v>
      </c>
      <c r="B227" s="4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s="11" t="str">
        <f>IF(HR_Data[[#This Row],[Age]]&lt;=25,"18-25",IF(HR_Data[[#This Row],[Age]]&lt;=35,"26-35",IF(HR_Data[[#This Row],[Age]]&lt;=45,"36-45",IF(HR_Data[[#This Row],[Age]]&lt;=55,"46-55","56+"))))</f>
        <v>56+</v>
      </c>
      <c r="AK227" s="11" t="str">
        <f>IF(HR_Data[[#This Row],[MonthlyIncome]]&lt;3000,"Low",IF(HR_Data[[#This Row],[MonthlyIncome]]&lt;6000,"Medium",IF(HR_Data[[#This Row],[MonthlyIncome]]&lt;10000,"High","Very High")))</f>
        <v>Low</v>
      </c>
      <c r="AL22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27" t="str">
        <f>IF(HR_Data[[#This Row],[TotalWorkingYears]]&lt;=5,"Junior",IF(HR_Data[[#This Row],[TotalWorkingYears]]&lt;=15,"Mid-Level","Senior"))</f>
        <v>Mid-Level</v>
      </c>
      <c r="AN227" s="11" t="str">
        <f>IF(HR_Data[[#This Row],[PerformanceRating]]=3,"Standard","Excellent")</f>
        <v>Standard</v>
      </c>
      <c r="AO227" s="11" t="str">
        <f>IF(HR_Data[[#This Row],[JobSatisfaction]]&lt;=2,"Low","High")</f>
        <v>High</v>
      </c>
      <c r="AP227" s="11" t="str">
        <f>IF(AND(HR_Data[[#This Row],[OverTime]]="Yes",HR_Data[[#This Row],[JobSatisfaction]]&lt;=2,HR_Data[[#This Row],[YearsAtCompany]]&lt;=2),"High Risk","Normal")</f>
        <v>Normal</v>
      </c>
    </row>
    <row r="228" spans="1:42" x14ac:dyDescent="0.25">
      <c r="A228" s="6">
        <v>37</v>
      </c>
      <c r="B228" s="4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s="11" t="str">
        <f>IF(HR_Data[[#This Row],[Age]]&lt;=25,"18-25",IF(HR_Data[[#This Row],[Age]]&lt;=35,"26-35",IF(HR_Data[[#This Row],[Age]]&lt;=45,"36-45",IF(HR_Data[[#This Row],[Age]]&lt;=55,"46-55","56+"))))</f>
        <v>36-45</v>
      </c>
      <c r="AK228" s="11" t="str">
        <f>IF(HR_Data[[#This Row],[MonthlyIncome]]&lt;3000,"Low",IF(HR_Data[[#This Row],[MonthlyIncome]]&lt;6000,"Medium",IF(HR_Data[[#This Row],[MonthlyIncome]]&lt;10000,"High","Very High")))</f>
        <v>Low</v>
      </c>
      <c r="AL22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28" t="str">
        <f>IF(HR_Data[[#This Row],[TotalWorkingYears]]&lt;=5,"Junior",IF(HR_Data[[#This Row],[TotalWorkingYears]]&lt;=15,"Mid-Level","Senior"))</f>
        <v>Mid-Level</v>
      </c>
      <c r="AN228" s="11" t="str">
        <f>IF(HR_Data[[#This Row],[PerformanceRating]]=3,"Standard","Excellent")</f>
        <v>Standard</v>
      </c>
      <c r="AO228" s="11" t="str">
        <f>IF(HR_Data[[#This Row],[JobSatisfaction]]&lt;=2,"Low","High")</f>
        <v>High</v>
      </c>
      <c r="AP228" s="11" t="str">
        <f>IF(AND(HR_Data[[#This Row],[OverTime]]="Yes",HR_Data[[#This Row],[JobSatisfaction]]&lt;=2,HR_Data[[#This Row],[YearsAtCompany]]&lt;=2),"High Risk","Normal")</f>
        <v>Normal</v>
      </c>
    </row>
    <row r="229" spans="1:42" x14ac:dyDescent="0.25">
      <c r="A229" s="6">
        <v>29</v>
      </c>
      <c r="B229" s="4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s="11" t="str">
        <f>IF(HR_Data[[#This Row],[Age]]&lt;=25,"18-25",IF(HR_Data[[#This Row],[Age]]&lt;=35,"26-35",IF(HR_Data[[#This Row],[Age]]&lt;=45,"36-45",IF(HR_Data[[#This Row],[Age]]&lt;=55,"46-55","56+"))))</f>
        <v>26-35</v>
      </c>
      <c r="AK229" s="11" t="str">
        <f>IF(HR_Data[[#This Row],[MonthlyIncome]]&lt;3000,"Low",IF(HR_Data[[#This Row],[MonthlyIncome]]&lt;6000,"Medium",IF(HR_Data[[#This Row],[MonthlyIncome]]&lt;10000,"High","Very High")))</f>
        <v>High</v>
      </c>
      <c r="AL22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229" t="str">
        <f>IF(HR_Data[[#This Row],[TotalWorkingYears]]&lt;=5,"Junior",IF(HR_Data[[#This Row],[TotalWorkingYears]]&lt;=15,"Mid-Level","Senior"))</f>
        <v>Mid-Level</v>
      </c>
      <c r="AN229" s="11" t="str">
        <f>IF(HR_Data[[#This Row],[PerformanceRating]]=3,"Standard","Excellent")</f>
        <v>Standard</v>
      </c>
      <c r="AO229" s="11" t="str">
        <f>IF(HR_Data[[#This Row],[JobSatisfaction]]&lt;=2,"Low","High")</f>
        <v>High</v>
      </c>
      <c r="AP229" s="11" t="str">
        <f>IF(AND(HR_Data[[#This Row],[OverTime]]="Yes",HR_Data[[#This Row],[JobSatisfaction]]&lt;=2,HR_Data[[#This Row],[YearsAtCompany]]&lt;=2),"High Risk","Normal")</f>
        <v>Normal</v>
      </c>
    </row>
    <row r="230" spans="1:42" x14ac:dyDescent="0.25">
      <c r="A230" s="6">
        <v>35</v>
      </c>
      <c r="B230" s="4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s="11" t="str">
        <f>IF(HR_Data[[#This Row],[Age]]&lt;=25,"18-25",IF(HR_Data[[#This Row],[Age]]&lt;=35,"26-35",IF(HR_Data[[#This Row],[Age]]&lt;=45,"36-45",IF(HR_Data[[#This Row],[Age]]&lt;=55,"46-55","56+"))))</f>
        <v>26-35</v>
      </c>
      <c r="AK230" s="11" t="str">
        <f>IF(HR_Data[[#This Row],[MonthlyIncome]]&lt;3000,"Low",IF(HR_Data[[#This Row],[MonthlyIncome]]&lt;6000,"Medium",IF(HR_Data[[#This Row],[MonthlyIncome]]&lt;10000,"High","Very High")))</f>
        <v>High</v>
      </c>
      <c r="AL23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30" t="str">
        <f>IF(HR_Data[[#This Row],[TotalWorkingYears]]&lt;=5,"Junior",IF(HR_Data[[#This Row],[TotalWorkingYears]]&lt;=15,"Mid-Level","Senior"))</f>
        <v>Mid-Level</v>
      </c>
      <c r="AN230" s="11" t="str">
        <f>IF(HR_Data[[#This Row],[PerformanceRating]]=3,"Standard","Excellent")</f>
        <v>Standard</v>
      </c>
      <c r="AO230" s="11" t="str">
        <f>IF(HR_Data[[#This Row],[JobSatisfaction]]&lt;=2,"Low","High")</f>
        <v>High</v>
      </c>
      <c r="AP230" s="11" t="str">
        <f>IF(AND(HR_Data[[#This Row],[OverTime]]="Yes",HR_Data[[#This Row],[JobSatisfaction]]&lt;=2,HR_Data[[#This Row],[YearsAtCompany]]&lt;=2),"High Risk","Normal")</f>
        <v>Normal</v>
      </c>
    </row>
    <row r="231" spans="1:42" x14ac:dyDescent="0.25">
      <c r="A231" s="6">
        <v>29</v>
      </c>
      <c r="B231" s="4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s="11" t="str">
        <f>IF(HR_Data[[#This Row],[Age]]&lt;=25,"18-25",IF(HR_Data[[#This Row],[Age]]&lt;=35,"26-35",IF(HR_Data[[#This Row],[Age]]&lt;=45,"36-45",IF(HR_Data[[#This Row],[Age]]&lt;=55,"46-55","56+"))))</f>
        <v>26-35</v>
      </c>
      <c r="AK231" s="11" t="str">
        <f>IF(HR_Data[[#This Row],[MonthlyIncome]]&lt;3000,"Low",IF(HR_Data[[#This Row],[MonthlyIncome]]&lt;6000,"Medium",IF(HR_Data[[#This Row],[MonthlyIncome]]&lt;10000,"High","Very High")))</f>
        <v>Low</v>
      </c>
      <c r="AL23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31" t="str">
        <f>IF(HR_Data[[#This Row],[TotalWorkingYears]]&lt;=5,"Junior",IF(HR_Data[[#This Row],[TotalWorkingYears]]&lt;=15,"Mid-Level","Senior"))</f>
        <v>Junior</v>
      </c>
      <c r="AN231" s="11" t="str">
        <f>IF(HR_Data[[#This Row],[PerformanceRating]]=3,"Standard","Excellent")</f>
        <v>Standard</v>
      </c>
      <c r="AO231" s="11" t="str">
        <f>IF(HR_Data[[#This Row],[JobSatisfaction]]&lt;=2,"Low","High")</f>
        <v>High</v>
      </c>
      <c r="AP231" s="11" t="str">
        <f>IF(AND(HR_Data[[#This Row],[OverTime]]="Yes",HR_Data[[#This Row],[JobSatisfaction]]&lt;=2,HR_Data[[#This Row],[YearsAtCompany]]&lt;=2),"High Risk","Normal")</f>
        <v>Normal</v>
      </c>
    </row>
    <row r="232" spans="1:42" x14ac:dyDescent="0.25">
      <c r="A232" s="6">
        <v>52</v>
      </c>
      <c r="B232" s="4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s="11" t="str">
        <f>IF(HR_Data[[#This Row],[Age]]&lt;=25,"18-25",IF(HR_Data[[#This Row],[Age]]&lt;=35,"26-35",IF(HR_Data[[#This Row],[Age]]&lt;=45,"36-45",IF(HR_Data[[#This Row],[Age]]&lt;=55,"46-55","56+"))))</f>
        <v>46-55</v>
      </c>
      <c r="AK232" s="11" t="str">
        <f>IF(HR_Data[[#This Row],[MonthlyIncome]]&lt;3000,"Low",IF(HR_Data[[#This Row],[MonthlyIncome]]&lt;6000,"Medium",IF(HR_Data[[#This Row],[MonthlyIncome]]&lt;10000,"High","Very High")))</f>
        <v>Medium</v>
      </c>
      <c r="AL23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32" t="str">
        <f>IF(HR_Data[[#This Row],[TotalWorkingYears]]&lt;=5,"Junior",IF(HR_Data[[#This Row],[TotalWorkingYears]]&lt;=15,"Mid-Level","Senior"))</f>
        <v>Mid-Level</v>
      </c>
      <c r="AN232" s="11" t="str">
        <f>IF(HR_Data[[#This Row],[PerformanceRating]]=3,"Standard","Excellent")</f>
        <v>Standard</v>
      </c>
      <c r="AO232" s="11" t="str">
        <f>IF(HR_Data[[#This Row],[JobSatisfaction]]&lt;=2,"Low","High")</f>
        <v>High</v>
      </c>
      <c r="AP232" s="11" t="str">
        <f>IF(AND(HR_Data[[#This Row],[OverTime]]="Yes",HR_Data[[#This Row],[JobSatisfaction]]&lt;=2,HR_Data[[#This Row],[YearsAtCompany]]&lt;=2),"High Risk","Normal")</f>
        <v>Normal</v>
      </c>
    </row>
    <row r="233" spans="1:42" x14ac:dyDescent="0.25">
      <c r="A233" s="6">
        <v>42</v>
      </c>
      <c r="B233" s="4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s="11" t="str">
        <f>IF(HR_Data[[#This Row],[Age]]&lt;=25,"18-25",IF(HR_Data[[#This Row],[Age]]&lt;=35,"26-35",IF(HR_Data[[#This Row],[Age]]&lt;=45,"36-45",IF(HR_Data[[#This Row],[Age]]&lt;=55,"46-55","56+"))))</f>
        <v>36-45</v>
      </c>
      <c r="AK233" s="11" t="str">
        <f>IF(HR_Data[[#This Row],[MonthlyIncome]]&lt;3000,"Low",IF(HR_Data[[#This Row],[MonthlyIncome]]&lt;6000,"Medium",IF(HR_Data[[#This Row],[MonthlyIncome]]&lt;10000,"High","Very High")))</f>
        <v>Very High</v>
      </c>
      <c r="AL23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33" t="str">
        <f>IF(HR_Data[[#This Row],[TotalWorkingYears]]&lt;=5,"Junior",IF(HR_Data[[#This Row],[TotalWorkingYears]]&lt;=15,"Mid-Level","Senior"))</f>
        <v>Senior</v>
      </c>
      <c r="AN233" s="11" t="str">
        <f>IF(HR_Data[[#This Row],[PerformanceRating]]=3,"Standard","Excellent")</f>
        <v>Standard</v>
      </c>
      <c r="AO233" s="11" t="str">
        <f>IF(HR_Data[[#This Row],[JobSatisfaction]]&lt;=2,"Low","High")</f>
        <v>High</v>
      </c>
      <c r="AP233" s="11" t="str">
        <f>IF(AND(HR_Data[[#This Row],[OverTime]]="Yes",HR_Data[[#This Row],[JobSatisfaction]]&lt;=2,HR_Data[[#This Row],[YearsAtCompany]]&lt;=2),"High Risk","Normal")</f>
        <v>Normal</v>
      </c>
    </row>
    <row r="234" spans="1:42" x14ac:dyDescent="0.25">
      <c r="A234" s="6">
        <v>59</v>
      </c>
      <c r="B234" s="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s="11" t="str">
        <f>IF(HR_Data[[#This Row],[Age]]&lt;=25,"18-25",IF(HR_Data[[#This Row],[Age]]&lt;=35,"26-35",IF(HR_Data[[#This Row],[Age]]&lt;=45,"36-45",IF(HR_Data[[#This Row],[Age]]&lt;=55,"46-55","56+"))))</f>
        <v>56+</v>
      </c>
      <c r="AK234" s="11" t="str">
        <f>IF(HR_Data[[#This Row],[MonthlyIncome]]&lt;3000,"Low",IF(HR_Data[[#This Row],[MonthlyIncome]]&lt;6000,"Medium",IF(HR_Data[[#This Row],[MonthlyIncome]]&lt;10000,"High","Very High")))</f>
        <v>Low</v>
      </c>
      <c r="AL23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34" t="str">
        <f>IF(HR_Data[[#This Row],[TotalWorkingYears]]&lt;=5,"Junior",IF(HR_Data[[#This Row],[TotalWorkingYears]]&lt;=15,"Mid-Level","Senior"))</f>
        <v>Mid-Level</v>
      </c>
      <c r="AN234" s="11" t="str">
        <f>IF(HR_Data[[#This Row],[PerformanceRating]]=3,"Standard","Excellent")</f>
        <v>Standard</v>
      </c>
      <c r="AO234" s="11" t="str">
        <f>IF(HR_Data[[#This Row],[JobSatisfaction]]&lt;=2,"Low","High")</f>
        <v>High</v>
      </c>
      <c r="AP234" s="11" t="str">
        <f>IF(AND(HR_Data[[#This Row],[OverTime]]="Yes",HR_Data[[#This Row],[JobSatisfaction]]&lt;=2,HR_Data[[#This Row],[YearsAtCompany]]&lt;=2),"High Risk","Normal")</f>
        <v>Normal</v>
      </c>
    </row>
    <row r="235" spans="1:42" x14ac:dyDescent="0.25">
      <c r="A235" s="6">
        <v>50</v>
      </c>
      <c r="B235" s="4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s="11" t="str">
        <f>IF(HR_Data[[#This Row],[Age]]&lt;=25,"18-25",IF(HR_Data[[#This Row],[Age]]&lt;=35,"26-35",IF(HR_Data[[#This Row],[Age]]&lt;=45,"36-45",IF(HR_Data[[#This Row],[Age]]&lt;=55,"46-55","56+"))))</f>
        <v>46-55</v>
      </c>
      <c r="AK235" s="11" t="str">
        <f>IF(HR_Data[[#This Row],[MonthlyIncome]]&lt;3000,"Low",IF(HR_Data[[#This Row],[MonthlyIncome]]&lt;6000,"Medium",IF(HR_Data[[#This Row],[MonthlyIncome]]&lt;10000,"High","Very High")))</f>
        <v>Very High</v>
      </c>
      <c r="AL23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35" t="str">
        <f>IF(HR_Data[[#This Row],[TotalWorkingYears]]&lt;=5,"Junior",IF(HR_Data[[#This Row],[TotalWorkingYears]]&lt;=15,"Mid-Level","Senior"))</f>
        <v>Senior</v>
      </c>
      <c r="AN235" s="11" t="str">
        <f>IF(HR_Data[[#This Row],[PerformanceRating]]=3,"Standard","Excellent")</f>
        <v>Standard</v>
      </c>
      <c r="AO235" s="11" t="str">
        <f>IF(HR_Data[[#This Row],[JobSatisfaction]]&lt;=2,"Low","High")</f>
        <v>High</v>
      </c>
      <c r="AP235" s="11" t="str">
        <f>IF(AND(HR_Data[[#This Row],[OverTime]]="Yes",HR_Data[[#This Row],[JobSatisfaction]]&lt;=2,HR_Data[[#This Row],[YearsAtCompany]]&lt;=2),"High Risk","Normal")</f>
        <v>Normal</v>
      </c>
    </row>
    <row r="236" spans="1:42" x14ac:dyDescent="0.25">
      <c r="A236" s="6">
        <v>33</v>
      </c>
      <c r="B236" s="4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s="11" t="str">
        <f>IF(HR_Data[[#This Row],[Age]]&lt;=25,"18-25",IF(HR_Data[[#This Row],[Age]]&lt;=35,"26-35",IF(HR_Data[[#This Row],[Age]]&lt;=45,"36-45",IF(HR_Data[[#This Row],[Age]]&lt;=55,"46-55","56+"))))</f>
        <v>26-35</v>
      </c>
      <c r="AK236" s="11" t="str">
        <f>IF(HR_Data[[#This Row],[MonthlyIncome]]&lt;3000,"Low",IF(HR_Data[[#This Row],[MonthlyIncome]]&lt;6000,"Medium",IF(HR_Data[[#This Row],[MonthlyIncome]]&lt;10000,"High","Very High")))</f>
        <v>Low</v>
      </c>
      <c r="AL23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36" t="str">
        <f>IF(HR_Data[[#This Row],[TotalWorkingYears]]&lt;=5,"Junior",IF(HR_Data[[#This Row],[TotalWorkingYears]]&lt;=15,"Mid-Level","Senior"))</f>
        <v>Mid-Level</v>
      </c>
      <c r="AN236" s="11" t="str">
        <f>IF(HR_Data[[#This Row],[PerformanceRating]]=3,"Standard","Excellent")</f>
        <v>Standard</v>
      </c>
      <c r="AO236" s="11" t="str">
        <f>IF(HR_Data[[#This Row],[JobSatisfaction]]&lt;=2,"Low","High")</f>
        <v>High</v>
      </c>
      <c r="AP236" s="11" t="str">
        <f>IF(AND(HR_Data[[#This Row],[OverTime]]="Yes",HR_Data[[#This Row],[JobSatisfaction]]&lt;=2,HR_Data[[#This Row],[YearsAtCompany]]&lt;=2),"High Risk","Normal")</f>
        <v>Normal</v>
      </c>
    </row>
    <row r="237" spans="1:42" x14ac:dyDescent="0.25">
      <c r="A237" s="6">
        <v>43</v>
      </c>
      <c r="B237" s="4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s="11" t="str">
        <f>IF(HR_Data[[#This Row],[Age]]&lt;=25,"18-25",IF(HR_Data[[#This Row],[Age]]&lt;=35,"26-35",IF(HR_Data[[#This Row],[Age]]&lt;=45,"36-45",IF(HR_Data[[#This Row],[Age]]&lt;=55,"46-55","56+"))))</f>
        <v>36-45</v>
      </c>
      <c r="AK237" s="11" t="str">
        <f>IF(HR_Data[[#This Row],[MonthlyIncome]]&lt;3000,"Low",IF(HR_Data[[#This Row],[MonthlyIncome]]&lt;6000,"Medium",IF(HR_Data[[#This Row],[MonthlyIncome]]&lt;10000,"High","Very High")))</f>
        <v>Very High</v>
      </c>
      <c r="AL23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37" t="str">
        <f>IF(HR_Data[[#This Row],[TotalWorkingYears]]&lt;=5,"Junior",IF(HR_Data[[#This Row],[TotalWorkingYears]]&lt;=15,"Mid-Level","Senior"))</f>
        <v>Senior</v>
      </c>
      <c r="AN237" s="11" t="str">
        <f>IF(HR_Data[[#This Row],[PerformanceRating]]=3,"Standard","Excellent")</f>
        <v>Excellent</v>
      </c>
      <c r="AO237" s="11" t="str">
        <f>IF(HR_Data[[#This Row],[JobSatisfaction]]&lt;=2,"Low","High")</f>
        <v>High</v>
      </c>
      <c r="AP237" s="11" t="str">
        <f>IF(AND(HR_Data[[#This Row],[OverTime]]="Yes",HR_Data[[#This Row],[JobSatisfaction]]&lt;=2,HR_Data[[#This Row],[YearsAtCompany]]&lt;=2),"High Risk","Normal")</f>
        <v>Normal</v>
      </c>
    </row>
    <row r="238" spans="1:42" x14ac:dyDescent="0.25">
      <c r="A238" s="6">
        <v>33</v>
      </c>
      <c r="B238" s="4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s="11" t="str">
        <f>IF(HR_Data[[#This Row],[Age]]&lt;=25,"18-25",IF(HR_Data[[#This Row],[Age]]&lt;=35,"26-35",IF(HR_Data[[#This Row],[Age]]&lt;=45,"36-45",IF(HR_Data[[#This Row],[Age]]&lt;=55,"46-55","56+"))))</f>
        <v>26-35</v>
      </c>
      <c r="AK238" s="11" t="str">
        <f>IF(HR_Data[[#This Row],[MonthlyIncome]]&lt;3000,"Low",IF(HR_Data[[#This Row],[MonthlyIncome]]&lt;6000,"Medium",IF(HR_Data[[#This Row],[MonthlyIncome]]&lt;10000,"High","Very High")))</f>
        <v>Low</v>
      </c>
      <c r="AL23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38" t="str">
        <f>IF(HR_Data[[#This Row],[TotalWorkingYears]]&lt;=5,"Junior",IF(HR_Data[[#This Row],[TotalWorkingYears]]&lt;=15,"Mid-Level","Senior"))</f>
        <v>Mid-Level</v>
      </c>
      <c r="AN238" s="11" t="str">
        <f>IF(HR_Data[[#This Row],[PerformanceRating]]=3,"Standard","Excellent")</f>
        <v>Excellent</v>
      </c>
      <c r="AO238" s="11" t="str">
        <f>IF(HR_Data[[#This Row],[JobSatisfaction]]&lt;=2,"Low","High")</f>
        <v>Low</v>
      </c>
      <c r="AP238" s="11" t="str">
        <f>IF(AND(HR_Data[[#This Row],[OverTime]]="Yes",HR_Data[[#This Row],[JobSatisfaction]]&lt;=2,HR_Data[[#This Row],[YearsAtCompany]]&lt;=2),"High Risk","Normal")</f>
        <v>Normal</v>
      </c>
    </row>
    <row r="239" spans="1:42" x14ac:dyDescent="0.25">
      <c r="A239" s="6">
        <v>52</v>
      </c>
      <c r="B239" s="4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s="11" t="str">
        <f>IF(HR_Data[[#This Row],[Age]]&lt;=25,"18-25",IF(HR_Data[[#This Row],[Age]]&lt;=35,"26-35",IF(HR_Data[[#This Row],[Age]]&lt;=45,"36-45",IF(HR_Data[[#This Row],[Age]]&lt;=55,"46-55","56+"))))</f>
        <v>46-55</v>
      </c>
      <c r="AK239" s="11" t="str">
        <f>IF(HR_Data[[#This Row],[MonthlyIncome]]&lt;3000,"Low",IF(HR_Data[[#This Row],[MonthlyIncome]]&lt;6000,"Medium",IF(HR_Data[[#This Row],[MonthlyIncome]]&lt;10000,"High","Very High")))</f>
        <v>Very High</v>
      </c>
      <c r="AL23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39" t="str">
        <f>IF(HR_Data[[#This Row],[TotalWorkingYears]]&lt;=5,"Junior",IF(HR_Data[[#This Row],[TotalWorkingYears]]&lt;=15,"Mid-Level","Senior"))</f>
        <v>Senior</v>
      </c>
      <c r="AN239" s="11" t="str">
        <f>IF(HR_Data[[#This Row],[PerformanceRating]]=3,"Standard","Excellent")</f>
        <v>Standard</v>
      </c>
      <c r="AO239" s="11" t="str">
        <f>IF(HR_Data[[#This Row],[JobSatisfaction]]&lt;=2,"Low","High")</f>
        <v>High</v>
      </c>
      <c r="AP239" s="11" t="str">
        <f>IF(AND(HR_Data[[#This Row],[OverTime]]="Yes",HR_Data[[#This Row],[JobSatisfaction]]&lt;=2,HR_Data[[#This Row],[YearsAtCompany]]&lt;=2),"High Risk","Normal")</f>
        <v>Normal</v>
      </c>
    </row>
    <row r="240" spans="1:42" x14ac:dyDescent="0.25">
      <c r="A240" s="6">
        <v>32</v>
      </c>
      <c r="B240" s="4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s="11" t="str">
        <f>IF(HR_Data[[#This Row],[Age]]&lt;=25,"18-25",IF(HR_Data[[#This Row],[Age]]&lt;=35,"26-35",IF(HR_Data[[#This Row],[Age]]&lt;=45,"36-45",IF(HR_Data[[#This Row],[Age]]&lt;=55,"46-55","56+"))))</f>
        <v>26-35</v>
      </c>
      <c r="AK240" s="11" t="str">
        <f>IF(HR_Data[[#This Row],[MonthlyIncome]]&lt;3000,"Low",IF(HR_Data[[#This Row],[MonthlyIncome]]&lt;6000,"Medium",IF(HR_Data[[#This Row],[MonthlyIncome]]&lt;10000,"High","Very High")))</f>
        <v>Medium</v>
      </c>
      <c r="AL24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40" t="str">
        <f>IF(HR_Data[[#This Row],[TotalWorkingYears]]&lt;=5,"Junior",IF(HR_Data[[#This Row],[TotalWorkingYears]]&lt;=15,"Mid-Level","Senior"))</f>
        <v>Mid-Level</v>
      </c>
      <c r="AN240" s="11" t="str">
        <f>IF(HR_Data[[#This Row],[PerformanceRating]]=3,"Standard","Excellent")</f>
        <v>Standard</v>
      </c>
      <c r="AO240" s="11" t="str">
        <f>IF(HR_Data[[#This Row],[JobSatisfaction]]&lt;=2,"Low","High")</f>
        <v>Low</v>
      </c>
      <c r="AP240" s="11" t="str">
        <f>IF(AND(HR_Data[[#This Row],[OverTime]]="Yes",HR_Data[[#This Row],[JobSatisfaction]]&lt;=2,HR_Data[[#This Row],[YearsAtCompany]]&lt;=2),"High Risk","Normal")</f>
        <v>Normal</v>
      </c>
    </row>
    <row r="241" spans="1:42" x14ac:dyDescent="0.25">
      <c r="A241" s="6">
        <v>32</v>
      </c>
      <c r="B241" s="4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s="11" t="str">
        <f>IF(HR_Data[[#This Row],[Age]]&lt;=25,"18-25",IF(HR_Data[[#This Row],[Age]]&lt;=35,"26-35",IF(HR_Data[[#This Row],[Age]]&lt;=45,"36-45",IF(HR_Data[[#This Row],[Age]]&lt;=55,"46-55","56+"))))</f>
        <v>26-35</v>
      </c>
      <c r="AK241" s="11" t="str">
        <f>IF(HR_Data[[#This Row],[MonthlyIncome]]&lt;3000,"Low",IF(HR_Data[[#This Row],[MonthlyIncome]]&lt;6000,"Medium",IF(HR_Data[[#This Row],[MonthlyIncome]]&lt;10000,"High","Very High")))</f>
        <v>Medium</v>
      </c>
      <c r="AL24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41" t="str">
        <f>IF(HR_Data[[#This Row],[TotalWorkingYears]]&lt;=5,"Junior",IF(HR_Data[[#This Row],[TotalWorkingYears]]&lt;=15,"Mid-Level","Senior"))</f>
        <v>Junior</v>
      </c>
      <c r="AN241" s="11" t="str">
        <f>IF(HR_Data[[#This Row],[PerformanceRating]]=3,"Standard","Excellent")</f>
        <v>Standard</v>
      </c>
      <c r="AO241" s="11" t="str">
        <f>IF(HR_Data[[#This Row],[JobSatisfaction]]&lt;=2,"Low","High")</f>
        <v>High</v>
      </c>
      <c r="AP241" s="11" t="str">
        <f>IF(AND(HR_Data[[#This Row],[OverTime]]="Yes",HR_Data[[#This Row],[JobSatisfaction]]&lt;=2,HR_Data[[#This Row],[YearsAtCompany]]&lt;=2),"High Risk","Normal")</f>
        <v>Normal</v>
      </c>
    </row>
    <row r="242" spans="1:42" x14ac:dyDescent="0.25">
      <c r="A242" s="6">
        <v>39</v>
      </c>
      <c r="B242" s="4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s="11" t="str">
        <f>IF(HR_Data[[#This Row],[Age]]&lt;=25,"18-25",IF(HR_Data[[#This Row],[Age]]&lt;=35,"26-35",IF(HR_Data[[#This Row],[Age]]&lt;=45,"36-45",IF(HR_Data[[#This Row],[Age]]&lt;=55,"46-55","56+"))))</f>
        <v>36-45</v>
      </c>
      <c r="AK242" s="11" t="str">
        <f>IF(HR_Data[[#This Row],[MonthlyIncome]]&lt;3000,"Low",IF(HR_Data[[#This Row],[MonthlyIncome]]&lt;6000,"Medium",IF(HR_Data[[#This Row],[MonthlyIncome]]&lt;10000,"High","Very High")))</f>
        <v>Low</v>
      </c>
      <c r="AL24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42" t="str">
        <f>IF(HR_Data[[#This Row],[TotalWorkingYears]]&lt;=5,"Junior",IF(HR_Data[[#This Row],[TotalWorkingYears]]&lt;=15,"Mid-Level","Senior"))</f>
        <v>Mid-Level</v>
      </c>
      <c r="AN242" s="11" t="str">
        <f>IF(HR_Data[[#This Row],[PerformanceRating]]=3,"Standard","Excellent")</f>
        <v>Standard</v>
      </c>
      <c r="AO242" s="11" t="str">
        <f>IF(HR_Data[[#This Row],[JobSatisfaction]]&lt;=2,"Low","High")</f>
        <v>High</v>
      </c>
      <c r="AP242" s="11" t="str">
        <f>IF(AND(HR_Data[[#This Row],[OverTime]]="Yes",HR_Data[[#This Row],[JobSatisfaction]]&lt;=2,HR_Data[[#This Row],[YearsAtCompany]]&lt;=2),"High Risk","Normal")</f>
        <v>Normal</v>
      </c>
    </row>
    <row r="243" spans="1:42" x14ac:dyDescent="0.25">
      <c r="A243" s="6">
        <v>32</v>
      </c>
      <c r="B243" s="4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s="11" t="str">
        <f>IF(HR_Data[[#This Row],[Age]]&lt;=25,"18-25",IF(HR_Data[[#This Row],[Age]]&lt;=35,"26-35",IF(HR_Data[[#This Row],[Age]]&lt;=45,"36-45",IF(HR_Data[[#This Row],[Age]]&lt;=55,"46-55","56+"))))</f>
        <v>26-35</v>
      </c>
      <c r="AK243" s="11" t="str">
        <f>IF(HR_Data[[#This Row],[MonthlyIncome]]&lt;3000,"Low",IF(HR_Data[[#This Row],[MonthlyIncome]]&lt;6000,"Medium",IF(HR_Data[[#This Row],[MonthlyIncome]]&lt;10000,"High","Very High")))</f>
        <v>Medium</v>
      </c>
      <c r="AL24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43" t="str">
        <f>IF(HR_Data[[#This Row],[TotalWorkingYears]]&lt;=5,"Junior",IF(HR_Data[[#This Row],[TotalWorkingYears]]&lt;=15,"Mid-Level","Senior"))</f>
        <v>Junior</v>
      </c>
      <c r="AN243" s="11" t="str">
        <f>IF(HR_Data[[#This Row],[PerformanceRating]]=3,"Standard","Excellent")</f>
        <v>Standard</v>
      </c>
      <c r="AO243" s="11" t="str">
        <f>IF(HR_Data[[#This Row],[JobSatisfaction]]&lt;=2,"Low","High")</f>
        <v>High</v>
      </c>
      <c r="AP243" s="11" t="str">
        <f>IF(AND(HR_Data[[#This Row],[OverTime]]="Yes",HR_Data[[#This Row],[JobSatisfaction]]&lt;=2,HR_Data[[#This Row],[YearsAtCompany]]&lt;=2),"High Risk","Normal")</f>
        <v>Normal</v>
      </c>
    </row>
    <row r="244" spans="1:42" x14ac:dyDescent="0.25">
      <c r="A244" s="6">
        <v>41</v>
      </c>
      <c r="B244" s="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s="11" t="str">
        <f>IF(HR_Data[[#This Row],[Age]]&lt;=25,"18-25",IF(HR_Data[[#This Row],[Age]]&lt;=35,"26-35",IF(HR_Data[[#This Row],[Age]]&lt;=45,"36-45",IF(HR_Data[[#This Row],[Age]]&lt;=55,"46-55","56+"))))</f>
        <v>36-45</v>
      </c>
      <c r="AK244" s="11" t="str">
        <f>IF(HR_Data[[#This Row],[MonthlyIncome]]&lt;3000,"Low",IF(HR_Data[[#This Row],[MonthlyIncome]]&lt;6000,"Medium",IF(HR_Data[[#This Row],[MonthlyIncome]]&lt;10000,"High","Very High")))</f>
        <v>Medium</v>
      </c>
      <c r="AL24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44" t="str">
        <f>IF(HR_Data[[#This Row],[TotalWorkingYears]]&lt;=5,"Junior",IF(HR_Data[[#This Row],[TotalWorkingYears]]&lt;=15,"Mid-Level","Senior"))</f>
        <v>Senior</v>
      </c>
      <c r="AN244" s="11" t="str">
        <f>IF(HR_Data[[#This Row],[PerformanceRating]]=3,"Standard","Excellent")</f>
        <v>Standard</v>
      </c>
      <c r="AO244" s="11" t="str">
        <f>IF(HR_Data[[#This Row],[JobSatisfaction]]&lt;=2,"Low","High")</f>
        <v>Low</v>
      </c>
      <c r="AP244" s="11" t="str">
        <f>IF(AND(HR_Data[[#This Row],[OverTime]]="Yes",HR_Data[[#This Row],[JobSatisfaction]]&lt;=2,HR_Data[[#This Row],[YearsAtCompany]]&lt;=2),"High Risk","Normal")</f>
        <v>Normal</v>
      </c>
    </row>
    <row r="245" spans="1:42" x14ac:dyDescent="0.25">
      <c r="A245" s="6">
        <v>40</v>
      </c>
      <c r="B245" s="4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s="11" t="str">
        <f>IF(HR_Data[[#This Row],[Age]]&lt;=25,"18-25",IF(HR_Data[[#This Row],[Age]]&lt;=35,"26-35",IF(HR_Data[[#This Row],[Age]]&lt;=45,"36-45",IF(HR_Data[[#This Row],[Age]]&lt;=55,"46-55","56+"))))</f>
        <v>36-45</v>
      </c>
      <c r="AK245" s="11" t="str">
        <f>IF(HR_Data[[#This Row],[MonthlyIncome]]&lt;3000,"Low",IF(HR_Data[[#This Row],[MonthlyIncome]]&lt;6000,"Medium",IF(HR_Data[[#This Row],[MonthlyIncome]]&lt;10000,"High","Very High")))</f>
        <v>Medium</v>
      </c>
      <c r="AL24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45" t="str">
        <f>IF(HR_Data[[#This Row],[TotalWorkingYears]]&lt;=5,"Junior",IF(HR_Data[[#This Row],[TotalWorkingYears]]&lt;=15,"Mid-Level","Senior"))</f>
        <v>Mid-Level</v>
      </c>
      <c r="AN245" s="11" t="str">
        <f>IF(HR_Data[[#This Row],[PerformanceRating]]=3,"Standard","Excellent")</f>
        <v>Standard</v>
      </c>
      <c r="AO245" s="11" t="str">
        <f>IF(HR_Data[[#This Row],[JobSatisfaction]]&lt;=2,"Low","High")</f>
        <v>High</v>
      </c>
      <c r="AP245" s="11" t="str">
        <f>IF(AND(HR_Data[[#This Row],[OverTime]]="Yes",HR_Data[[#This Row],[JobSatisfaction]]&lt;=2,HR_Data[[#This Row],[YearsAtCompany]]&lt;=2),"High Risk","Normal")</f>
        <v>Normal</v>
      </c>
    </row>
    <row r="246" spans="1:42" x14ac:dyDescent="0.25">
      <c r="A246" s="6">
        <v>45</v>
      </c>
      <c r="B246" s="4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s="11" t="str">
        <f>IF(HR_Data[[#This Row],[Age]]&lt;=25,"18-25",IF(HR_Data[[#This Row],[Age]]&lt;=35,"26-35",IF(HR_Data[[#This Row],[Age]]&lt;=45,"36-45",IF(HR_Data[[#This Row],[Age]]&lt;=55,"46-55","56+"))))</f>
        <v>36-45</v>
      </c>
      <c r="AK246" s="11" t="str">
        <f>IF(HR_Data[[#This Row],[MonthlyIncome]]&lt;3000,"Low",IF(HR_Data[[#This Row],[MonthlyIncome]]&lt;6000,"Medium",IF(HR_Data[[#This Row],[MonthlyIncome]]&lt;10000,"High","Very High")))</f>
        <v>Very High</v>
      </c>
      <c r="AL24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46" t="str">
        <f>IF(HR_Data[[#This Row],[TotalWorkingYears]]&lt;=5,"Junior",IF(HR_Data[[#This Row],[TotalWorkingYears]]&lt;=15,"Mid-Level","Senior"))</f>
        <v>Senior</v>
      </c>
      <c r="AN246" s="11" t="str">
        <f>IF(HR_Data[[#This Row],[PerformanceRating]]=3,"Standard","Excellent")</f>
        <v>Standard</v>
      </c>
      <c r="AO246" s="11" t="str">
        <f>IF(HR_Data[[#This Row],[JobSatisfaction]]&lt;=2,"Low","High")</f>
        <v>High</v>
      </c>
      <c r="AP246" s="11" t="str">
        <f>IF(AND(HR_Data[[#This Row],[OverTime]]="Yes",HR_Data[[#This Row],[JobSatisfaction]]&lt;=2,HR_Data[[#This Row],[YearsAtCompany]]&lt;=2),"High Risk","Normal")</f>
        <v>Normal</v>
      </c>
    </row>
    <row r="247" spans="1:42" x14ac:dyDescent="0.25">
      <c r="A247" s="6">
        <v>31</v>
      </c>
      <c r="B247" s="4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s="11" t="str">
        <f>IF(HR_Data[[#This Row],[Age]]&lt;=25,"18-25",IF(HR_Data[[#This Row],[Age]]&lt;=35,"26-35",IF(HR_Data[[#This Row],[Age]]&lt;=45,"36-45",IF(HR_Data[[#This Row],[Age]]&lt;=55,"46-55","56+"))))</f>
        <v>26-35</v>
      </c>
      <c r="AK247" s="11" t="str">
        <f>IF(HR_Data[[#This Row],[MonthlyIncome]]&lt;3000,"Low",IF(HR_Data[[#This Row],[MonthlyIncome]]&lt;6000,"Medium",IF(HR_Data[[#This Row],[MonthlyIncome]]&lt;10000,"High","Very High")))</f>
        <v>Very High</v>
      </c>
      <c r="AL24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47" t="str">
        <f>IF(HR_Data[[#This Row],[TotalWorkingYears]]&lt;=5,"Junior",IF(HR_Data[[#This Row],[TotalWorkingYears]]&lt;=15,"Mid-Level","Senior"))</f>
        <v>Mid-Level</v>
      </c>
      <c r="AN247" s="11" t="str">
        <f>IF(HR_Data[[#This Row],[PerformanceRating]]=3,"Standard","Excellent")</f>
        <v>Standard</v>
      </c>
      <c r="AO247" s="11" t="str">
        <f>IF(HR_Data[[#This Row],[JobSatisfaction]]&lt;=2,"Low","High")</f>
        <v>High</v>
      </c>
      <c r="AP247" s="11" t="str">
        <f>IF(AND(HR_Data[[#This Row],[OverTime]]="Yes",HR_Data[[#This Row],[JobSatisfaction]]&lt;=2,HR_Data[[#This Row],[YearsAtCompany]]&lt;=2),"High Risk","Normal")</f>
        <v>Normal</v>
      </c>
    </row>
    <row r="248" spans="1:42" x14ac:dyDescent="0.25">
      <c r="A248" s="6">
        <v>33</v>
      </c>
      <c r="B248" s="4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s="11" t="str">
        <f>IF(HR_Data[[#This Row],[Age]]&lt;=25,"18-25",IF(HR_Data[[#This Row],[Age]]&lt;=35,"26-35",IF(HR_Data[[#This Row],[Age]]&lt;=45,"36-45",IF(HR_Data[[#This Row],[Age]]&lt;=55,"46-55","56+"))))</f>
        <v>26-35</v>
      </c>
      <c r="AK248" s="11" t="str">
        <f>IF(HR_Data[[#This Row],[MonthlyIncome]]&lt;3000,"Low",IF(HR_Data[[#This Row],[MonthlyIncome]]&lt;6000,"Medium",IF(HR_Data[[#This Row],[MonthlyIncome]]&lt;10000,"High","Very High")))</f>
        <v>Low</v>
      </c>
      <c r="AL24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48" t="str">
        <f>IF(HR_Data[[#This Row],[TotalWorkingYears]]&lt;=5,"Junior",IF(HR_Data[[#This Row],[TotalWorkingYears]]&lt;=15,"Mid-Level","Senior"))</f>
        <v>Junior</v>
      </c>
      <c r="AN248" s="11" t="str">
        <f>IF(HR_Data[[#This Row],[PerformanceRating]]=3,"Standard","Excellent")</f>
        <v>Standard</v>
      </c>
      <c r="AO248" s="11" t="str">
        <f>IF(HR_Data[[#This Row],[JobSatisfaction]]&lt;=2,"Low","High")</f>
        <v>High</v>
      </c>
      <c r="AP248" s="11" t="str">
        <f>IF(AND(HR_Data[[#This Row],[OverTime]]="Yes",HR_Data[[#This Row],[JobSatisfaction]]&lt;=2,HR_Data[[#This Row],[YearsAtCompany]]&lt;=2),"High Risk","Normal")</f>
        <v>Normal</v>
      </c>
    </row>
    <row r="249" spans="1:42" x14ac:dyDescent="0.25">
      <c r="A249" s="6">
        <v>34</v>
      </c>
      <c r="B249" s="4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s="11" t="str">
        <f>IF(HR_Data[[#This Row],[Age]]&lt;=25,"18-25",IF(HR_Data[[#This Row],[Age]]&lt;=35,"26-35",IF(HR_Data[[#This Row],[Age]]&lt;=45,"36-45",IF(HR_Data[[#This Row],[Age]]&lt;=55,"46-55","56+"))))</f>
        <v>26-35</v>
      </c>
      <c r="AK249" s="11" t="str">
        <f>IF(HR_Data[[#This Row],[MonthlyIncome]]&lt;3000,"Low",IF(HR_Data[[#This Row],[MonthlyIncome]]&lt;6000,"Medium",IF(HR_Data[[#This Row],[MonthlyIncome]]&lt;10000,"High","Very High")))</f>
        <v>Medium</v>
      </c>
      <c r="AL24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249" t="str">
        <f>IF(HR_Data[[#This Row],[TotalWorkingYears]]&lt;=5,"Junior",IF(HR_Data[[#This Row],[TotalWorkingYears]]&lt;=15,"Mid-Level","Senior"))</f>
        <v>Mid-Level</v>
      </c>
      <c r="AN249" s="11" t="str">
        <f>IF(HR_Data[[#This Row],[PerformanceRating]]=3,"Standard","Excellent")</f>
        <v>Standard</v>
      </c>
      <c r="AO249" s="11" t="str">
        <f>IF(HR_Data[[#This Row],[JobSatisfaction]]&lt;=2,"Low","High")</f>
        <v>Low</v>
      </c>
      <c r="AP249" s="11" t="str">
        <f>IF(AND(HR_Data[[#This Row],[OverTime]]="Yes",HR_Data[[#This Row],[JobSatisfaction]]&lt;=2,HR_Data[[#This Row],[YearsAtCompany]]&lt;=2),"High Risk","Normal")</f>
        <v>Normal</v>
      </c>
    </row>
    <row r="250" spans="1:42" x14ac:dyDescent="0.25">
      <c r="A250" s="6">
        <v>37</v>
      </c>
      <c r="B250" s="4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s="11" t="str">
        <f>IF(HR_Data[[#This Row],[Age]]&lt;=25,"18-25",IF(HR_Data[[#This Row],[Age]]&lt;=35,"26-35",IF(HR_Data[[#This Row],[Age]]&lt;=45,"36-45",IF(HR_Data[[#This Row],[Age]]&lt;=55,"46-55","56+"))))</f>
        <v>36-45</v>
      </c>
      <c r="AK250" s="11" t="str">
        <f>IF(HR_Data[[#This Row],[MonthlyIncome]]&lt;3000,"Low",IF(HR_Data[[#This Row],[MonthlyIncome]]&lt;6000,"Medium",IF(HR_Data[[#This Row],[MonthlyIncome]]&lt;10000,"High","Very High")))</f>
        <v>Medium</v>
      </c>
      <c r="AL25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50" t="str">
        <f>IF(HR_Data[[#This Row],[TotalWorkingYears]]&lt;=5,"Junior",IF(HR_Data[[#This Row],[TotalWorkingYears]]&lt;=15,"Mid-Level","Senior"))</f>
        <v>Senior</v>
      </c>
      <c r="AN250" s="11" t="str">
        <f>IF(HR_Data[[#This Row],[PerformanceRating]]=3,"Standard","Excellent")</f>
        <v>Standard</v>
      </c>
      <c r="AO250" s="11" t="str">
        <f>IF(HR_Data[[#This Row],[JobSatisfaction]]&lt;=2,"Low","High")</f>
        <v>Low</v>
      </c>
      <c r="AP250" s="11" t="str">
        <f>IF(AND(HR_Data[[#This Row],[OverTime]]="Yes",HR_Data[[#This Row],[JobSatisfaction]]&lt;=2,HR_Data[[#This Row],[YearsAtCompany]]&lt;=2),"High Risk","Normal")</f>
        <v>Normal</v>
      </c>
    </row>
    <row r="251" spans="1:42" x14ac:dyDescent="0.25">
      <c r="A251" s="6">
        <v>45</v>
      </c>
      <c r="B251" s="4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s="11" t="str">
        <f>IF(HR_Data[[#This Row],[Age]]&lt;=25,"18-25",IF(HR_Data[[#This Row],[Age]]&lt;=35,"26-35",IF(HR_Data[[#This Row],[Age]]&lt;=45,"36-45",IF(HR_Data[[#This Row],[Age]]&lt;=55,"46-55","56+"))))</f>
        <v>36-45</v>
      </c>
      <c r="AK251" s="11" t="str">
        <f>IF(HR_Data[[#This Row],[MonthlyIncome]]&lt;3000,"Low",IF(HR_Data[[#This Row],[MonthlyIncome]]&lt;6000,"Medium",IF(HR_Data[[#This Row],[MonthlyIncome]]&lt;10000,"High","Very High")))</f>
        <v>High</v>
      </c>
      <c r="AL25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51" t="str">
        <f>IF(HR_Data[[#This Row],[TotalWorkingYears]]&lt;=5,"Junior",IF(HR_Data[[#This Row],[TotalWorkingYears]]&lt;=15,"Mid-Level","Senior"))</f>
        <v>Mid-Level</v>
      </c>
      <c r="AN251" s="11" t="str">
        <f>IF(HR_Data[[#This Row],[PerformanceRating]]=3,"Standard","Excellent")</f>
        <v>Standard</v>
      </c>
      <c r="AO251" s="11" t="str">
        <f>IF(HR_Data[[#This Row],[JobSatisfaction]]&lt;=2,"Low","High")</f>
        <v>High</v>
      </c>
      <c r="AP251" s="11" t="str">
        <f>IF(AND(HR_Data[[#This Row],[OverTime]]="Yes",HR_Data[[#This Row],[JobSatisfaction]]&lt;=2,HR_Data[[#This Row],[YearsAtCompany]]&lt;=2),"High Risk","Normal")</f>
        <v>Normal</v>
      </c>
    </row>
    <row r="252" spans="1:42" x14ac:dyDescent="0.25">
      <c r="A252" s="6">
        <v>37</v>
      </c>
      <c r="B252" s="4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s="11" t="str">
        <f>IF(HR_Data[[#This Row],[Age]]&lt;=25,"18-25",IF(HR_Data[[#This Row],[Age]]&lt;=35,"26-35",IF(HR_Data[[#This Row],[Age]]&lt;=45,"36-45",IF(HR_Data[[#This Row],[Age]]&lt;=55,"46-55","56+"))))</f>
        <v>36-45</v>
      </c>
      <c r="AK252" s="11" t="str">
        <f>IF(HR_Data[[#This Row],[MonthlyIncome]]&lt;3000,"Low",IF(HR_Data[[#This Row],[MonthlyIncome]]&lt;6000,"Medium",IF(HR_Data[[#This Row],[MonthlyIncome]]&lt;10000,"High","Very High")))</f>
        <v>Very High</v>
      </c>
      <c r="AL25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52" t="str">
        <f>IF(HR_Data[[#This Row],[TotalWorkingYears]]&lt;=5,"Junior",IF(HR_Data[[#This Row],[TotalWorkingYears]]&lt;=15,"Mid-Level","Senior"))</f>
        <v>Senior</v>
      </c>
      <c r="AN252" s="11" t="str">
        <f>IF(HR_Data[[#This Row],[PerformanceRating]]=3,"Standard","Excellent")</f>
        <v>Standard</v>
      </c>
      <c r="AO252" s="11" t="str">
        <f>IF(HR_Data[[#This Row],[JobSatisfaction]]&lt;=2,"Low","High")</f>
        <v>High</v>
      </c>
      <c r="AP252" s="11" t="str">
        <f>IF(AND(HR_Data[[#This Row],[OverTime]]="Yes",HR_Data[[#This Row],[JobSatisfaction]]&lt;=2,HR_Data[[#This Row],[YearsAtCompany]]&lt;=2),"High Risk","Normal")</f>
        <v>Normal</v>
      </c>
    </row>
    <row r="253" spans="1:42" x14ac:dyDescent="0.25">
      <c r="A253" s="6">
        <v>39</v>
      </c>
      <c r="B253" s="4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s="11" t="str">
        <f>IF(HR_Data[[#This Row],[Age]]&lt;=25,"18-25",IF(HR_Data[[#This Row],[Age]]&lt;=35,"26-35",IF(HR_Data[[#This Row],[Age]]&lt;=45,"36-45",IF(HR_Data[[#This Row],[Age]]&lt;=55,"46-55","56+"))))</f>
        <v>36-45</v>
      </c>
      <c r="AK253" s="11" t="str">
        <f>IF(HR_Data[[#This Row],[MonthlyIncome]]&lt;3000,"Low",IF(HR_Data[[#This Row],[MonthlyIncome]]&lt;6000,"Medium",IF(HR_Data[[#This Row],[MonthlyIncome]]&lt;10000,"High","Very High")))</f>
        <v>Very High</v>
      </c>
      <c r="AL25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53" t="str">
        <f>IF(HR_Data[[#This Row],[TotalWorkingYears]]&lt;=5,"Junior",IF(HR_Data[[#This Row],[TotalWorkingYears]]&lt;=15,"Mid-Level","Senior"))</f>
        <v>Senior</v>
      </c>
      <c r="AN253" s="11" t="str">
        <f>IF(HR_Data[[#This Row],[PerformanceRating]]=3,"Standard","Excellent")</f>
        <v>Excellent</v>
      </c>
      <c r="AO253" s="11" t="str">
        <f>IF(HR_Data[[#This Row],[JobSatisfaction]]&lt;=2,"Low","High")</f>
        <v>High</v>
      </c>
      <c r="AP253" s="11" t="str">
        <f>IF(AND(HR_Data[[#This Row],[OverTime]]="Yes",HR_Data[[#This Row],[JobSatisfaction]]&lt;=2,HR_Data[[#This Row],[YearsAtCompany]]&lt;=2),"High Risk","Normal")</f>
        <v>Normal</v>
      </c>
    </row>
    <row r="254" spans="1:42" x14ac:dyDescent="0.25">
      <c r="A254" s="6">
        <v>29</v>
      </c>
      <c r="B254" s="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s="11" t="str">
        <f>IF(HR_Data[[#This Row],[Age]]&lt;=25,"18-25",IF(HR_Data[[#This Row],[Age]]&lt;=35,"26-35",IF(HR_Data[[#This Row],[Age]]&lt;=45,"36-45",IF(HR_Data[[#This Row],[Age]]&lt;=55,"46-55","56+"))))</f>
        <v>26-35</v>
      </c>
      <c r="AK254" s="11" t="str">
        <f>IF(HR_Data[[#This Row],[MonthlyIncome]]&lt;3000,"Low",IF(HR_Data[[#This Row],[MonthlyIncome]]&lt;6000,"Medium",IF(HR_Data[[#This Row],[MonthlyIncome]]&lt;10000,"High","Very High")))</f>
        <v>Low</v>
      </c>
      <c r="AL25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54" t="str">
        <f>IF(HR_Data[[#This Row],[TotalWorkingYears]]&lt;=5,"Junior",IF(HR_Data[[#This Row],[TotalWorkingYears]]&lt;=15,"Mid-Level","Senior"))</f>
        <v>Mid-Level</v>
      </c>
      <c r="AN254" s="11" t="str">
        <f>IF(HR_Data[[#This Row],[PerformanceRating]]=3,"Standard","Excellent")</f>
        <v>Standard</v>
      </c>
      <c r="AO254" s="11" t="str">
        <f>IF(HR_Data[[#This Row],[JobSatisfaction]]&lt;=2,"Low","High")</f>
        <v>High</v>
      </c>
      <c r="AP254" s="11" t="str">
        <f>IF(AND(HR_Data[[#This Row],[OverTime]]="Yes",HR_Data[[#This Row],[JobSatisfaction]]&lt;=2,HR_Data[[#This Row],[YearsAtCompany]]&lt;=2),"High Risk","Normal")</f>
        <v>Normal</v>
      </c>
    </row>
    <row r="255" spans="1:42" x14ac:dyDescent="0.25">
      <c r="A255" s="6">
        <v>42</v>
      </c>
      <c r="B255" s="4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s="11" t="str">
        <f>IF(HR_Data[[#This Row],[Age]]&lt;=25,"18-25",IF(HR_Data[[#This Row],[Age]]&lt;=35,"26-35",IF(HR_Data[[#This Row],[Age]]&lt;=45,"36-45",IF(HR_Data[[#This Row],[Age]]&lt;=55,"46-55","56+"))))</f>
        <v>36-45</v>
      </c>
      <c r="AK255" s="11" t="str">
        <f>IF(HR_Data[[#This Row],[MonthlyIncome]]&lt;3000,"Low",IF(HR_Data[[#This Row],[MonthlyIncome]]&lt;6000,"Medium",IF(HR_Data[[#This Row],[MonthlyIncome]]&lt;10000,"High","Very High")))</f>
        <v>High</v>
      </c>
      <c r="AL25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55" t="str">
        <f>IF(HR_Data[[#This Row],[TotalWorkingYears]]&lt;=5,"Junior",IF(HR_Data[[#This Row],[TotalWorkingYears]]&lt;=15,"Mid-Level","Senior"))</f>
        <v>Mid-Level</v>
      </c>
      <c r="AN255" s="11" t="str">
        <f>IF(HR_Data[[#This Row],[PerformanceRating]]=3,"Standard","Excellent")</f>
        <v>Standard</v>
      </c>
      <c r="AO255" s="11" t="str">
        <f>IF(HR_Data[[#This Row],[JobSatisfaction]]&lt;=2,"Low","High")</f>
        <v>Low</v>
      </c>
      <c r="AP255" s="11" t="str">
        <f>IF(AND(HR_Data[[#This Row],[OverTime]]="Yes",HR_Data[[#This Row],[JobSatisfaction]]&lt;=2,HR_Data[[#This Row],[YearsAtCompany]]&lt;=2),"High Risk","Normal")</f>
        <v>Normal</v>
      </c>
    </row>
    <row r="256" spans="1:42" x14ac:dyDescent="0.25">
      <c r="A256" s="6">
        <v>29</v>
      </c>
      <c r="B256" s="4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s="11" t="str">
        <f>IF(HR_Data[[#This Row],[Age]]&lt;=25,"18-25",IF(HR_Data[[#This Row],[Age]]&lt;=35,"26-35",IF(HR_Data[[#This Row],[Age]]&lt;=45,"36-45",IF(HR_Data[[#This Row],[Age]]&lt;=55,"46-55","56+"))))</f>
        <v>26-35</v>
      </c>
      <c r="AK256" s="11" t="str">
        <f>IF(HR_Data[[#This Row],[MonthlyIncome]]&lt;3000,"Low",IF(HR_Data[[#This Row],[MonthlyIncome]]&lt;6000,"Medium",IF(HR_Data[[#This Row],[MonthlyIncome]]&lt;10000,"High","Very High")))</f>
        <v>High</v>
      </c>
      <c r="AL25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56" t="str">
        <f>IF(HR_Data[[#This Row],[TotalWorkingYears]]&lt;=5,"Junior",IF(HR_Data[[#This Row],[TotalWorkingYears]]&lt;=15,"Mid-Level","Senior"))</f>
        <v>Mid-Level</v>
      </c>
      <c r="AN256" s="11" t="str">
        <f>IF(HR_Data[[#This Row],[PerformanceRating]]=3,"Standard","Excellent")</f>
        <v>Standard</v>
      </c>
      <c r="AO256" s="11" t="str">
        <f>IF(HR_Data[[#This Row],[JobSatisfaction]]&lt;=2,"Low","High")</f>
        <v>High</v>
      </c>
      <c r="AP256" s="11" t="str">
        <f>IF(AND(HR_Data[[#This Row],[OverTime]]="Yes",HR_Data[[#This Row],[JobSatisfaction]]&lt;=2,HR_Data[[#This Row],[YearsAtCompany]]&lt;=2),"High Risk","Normal")</f>
        <v>Normal</v>
      </c>
    </row>
    <row r="257" spans="1:42" x14ac:dyDescent="0.25">
      <c r="A257" s="6">
        <v>25</v>
      </c>
      <c r="B257" s="4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s="11" t="str">
        <f>IF(HR_Data[[#This Row],[Age]]&lt;=25,"18-25",IF(HR_Data[[#This Row],[Age]]&lt;=35,"26-35",IF(HR_Data[[#This Row],[Age]]&lt;=45,"36-45",IF(HR_Data[[#This Row],[Age]]&lt;=55,"46-55","56+"))))</f>
        <v>18-25</v>
      </c>
      <c r="AK257" s="11" t="str">
        <f>IF(HR_Data[[#This Row],[MonthlyIncome]]&lt;3000,"Low",IF(HR_Data[[#This Row],[MonthlyIncome]]&lt;6000,"Medium",IF(HR_Data[[#This Row],[MonthlyIncome]]&lt;10000,"High","Very High")))</f>
        <v>Medium</v>
      </c>
      <c r="AL25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57" t="str">
        <f>IF(HR_Data[[#This Row],[TotalWorkingYears]]&lt;=5,"Junior",IF(HR_Data[[#This Row],[TotalWorkingYears]]&lt;=15,"Mid-Level","Senior"))</f>
        <v>Junior</v>
      </c>
      <c r="AN257" s="11" t="str">
        <f>IF(HR_Data[[#This Row],[PerformanceRating]]=3,"Standard","Excellent")</f>
        <v>Standard</v>
      </c>
      <c r="AO257" s="11" t="str">
        <f>IF(HR_Data[[#This Row],[JobSatisfaction]]&lt;=2,"Low","High")</f>
        <v>High</v>
      </c>
      <c r="AP257" s="11" t="str">
        <f>IF(AND(HR_Data[[#This Row],[OverTime]]="Yes",HR_Data[[#This Row],[JobSatisfaction]]&lt;=2,HR_Data[[#This Row],[YearsAtCompany]]&lt;=2),"High Risk","Normal")</f>
        <v>Normal</v>
      </c>
    </row>
    <row r="258" spans="1:42" x14ac:dyDescent="0.25">
      <c r="A258" s="6">
        <v>42</v>
      </c>
      <c r="B258" s="4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s="11" t="str">
        <f>IF(HR_Data[[#This Row],[Age]]&lt;=25,"18-25",IF(HR_Data[[#This Row],[Age]]&lt;=35,"26-35",IF(HR_Data[[#This Row],[Age]]&lt;=45,"36-45",IF(HR_Data[[#This Row],[Age]]&lt;=55,"46-55","56+"))))</f>
        <v>36-45</v>
      </c>
      <c r="AK258" s="11" t="str">
        <f>IF(HR_Data[[#This Row],[MonthlyIncome]]&lt;3000,"Low",IF(HR_Data[[#This Row],[MonthlyIncome]]&lt;6000,"Medium",IF(HR_Data[[#This Row],[MonthlyIncome]]&lt;10000,"High","Very High")))</f>
        <v>Low</v>
      </c>
      <c r="AL25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58" t="str">
        <f>IF(HR_Data[[#This Row],[TotalWorkingYears]]&lt;=5,"Junior",IF(HR_Data[[#This Row],[TotalWorkingYears]]&lt;=15,"Mid-Level","Senior"))</f>
        <v>Mid-Level</v>
      </c>
      <c r="AN258" s="11" t="str">
        <f>IF(HR_Data[[#This Row],[PerformanceRating]]=3,"Standard","Excellent")</f>
        <v>Standard</v>
      </c>
      <c r="AO258" s="11" t="str">
        <f>IF(HR_Data[[#This Row],[JobSatisfaction]]&lt;=2,"Low","High")</f>
        <v>Low</v>
      </c>
      <c r="AP258" s="11" t="str">
        <f>IF(AND(HR_Data[[#This Row],[OverTime]]="Yes",HR_Data[[#This Row],[JobSatisfaction]]&lt;=2,HR_Data[[#This Row],[YearsAtCompany]]&lt;=2),"High Risk","Normal")</f>
        <v>Normal</v>
      </c>
    </row>
    <row r="259" spans="1:42" x14ac:dyDescent="0.25">
      <c r="A259" s="6">
        <v>40</v>
      </c>
      <c r="B259" s="4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s="11" t="str">
        <f>IF(HR_Data[[#This Row],[Age]]&lt;=25,"18-25",IF(HR_Data[[#This Row],[Age]]&lt;=35,"26-35",IF(HR_Data[[#This Row],[Age]]&lt;=45,"36-45",IF(HR_Data[[#This Row],[Age]]&lt;=55,"46-55","56+"))))</f>
        <v>36-45</v>
      </c>
      <c r="AK259" s="11" t="str">
        <f>IF(HR_Data[[#This Row],[MonthlyIncome]]&lt;3000,"Low",IF(HR_Data[[#This Row],[MonthlyIncome]]&lt;6000,"Medium",IF(HR_Data[[#This Row],[MonthlyIncome]]&lt;10000,"High","Very High")))</f>
        <v>Very High</v>
      </c>
      <c r="AL25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59" t="str">
        <f>IF(HR_Data[[#This Row],[TotalWorkingYears]]&lt;=5,"Junior",IF(HR_Data[[#This Row],[TotalWorkingYears]]&lt;=15,"Mid-Level","Senior"))</f>
        <v>Senior</v>
      </c>
      <c r="AN259" s="11" t="str">
        <f>IF(HR_Data[[#This Row],[PerformanceRating]]=3,"Standard","Excellent")</f>
        <v>Standard</v>
      </c>
      <c r="AO259" s="11" t="str">
        <f>IF(HR_Data[[#This Row],[JobSatisfaction]]&lt;=2,"Low","High")</f>
        <v>High</v>
      </c>
      <c r="AP259" s="11" t="str">
        <f>IF(AND(HR_Data[[#This Row],[OverTime]]="Yes",HR_Data[[#This Row],[JobSatisfaction]]&lt;=2,HR_Data[[#This Row],[YearsAtCompany]]&lt;=2),"High Risk","Normal")</f>
        <v>Normal</v>
      </c>
    </row>
    <row r="260" spans="1:42" x14ac:dyDescent="0.25">
      <c r="A260" s="6">
        <v>51</v>
      </c>
      <c r="B260" s="4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s="11" t="str">
        <f>IF(HR_Data[[#This Row],[Age]]&lt;=25,"18-25",IF(HR_Data[[#This Row],[Age]]&lt;=35,"26-35",IF(HR_Data[[#This Row],[Age]]&lt;=45,"36-45",IF(HR_Data[[#This Row],[Age]]&lt;=55,"46-55","56+"))))</f>
        <v>46-55</v>
      </c>
      <c r="AK260" s="11" t="str">
        <f>IF(HR_Data[[#This Row],[MonthlyIncome]]&lt;3000,"Low",IF(HR_Data[[#This Row],[MonthlyIncome]]&lt;6000,"Medium",IF(HR_Data[[#This Row],[MonthlyIncome]]&lt;10000,"High","Very High")))</f>
        <v>Low</v>
      </c>
      <c r="AL26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60" t="str">
        <f>IF(HR_Data[[#This Row],[TotalWorkingYears]]&lt;=5,"Junior",IF(HR_Data[[#This Row],[TotalWorkingYears]]&lt;=15,"Mid-Level","Senior"))</f>
        <v>Junior</v>
      </c>
      <c r="AN260" s="11" t="str">
        <f>IF(HR_Data[[#This Row],[PerformanceRating]]=3,"Standard","Excellent")</f>
        <v>Standard</v>
      </c>
      <c r="AO260" s="11" t="str">
        <f>IF(HR_Data[[#This Row],[JobSatisfaction]]&lt;=2,"Low","High")</f>
        <v>High</v>
      </c>
      <c r="AP260" s="11" t="str">
        <f>IF(AND(HR_Data[[#This Row],[OverTime]]="Yes",HR_Data[[#This Row],[JobSatisfaction]]&lt;=2,HR_Data[[#This Row],[YearsAtCompany]]&lt;=2),"High Risk","Normal")</f>
        <v>Normal</v>
      </c>
    </row>
    <row r="261" spans="1:42" x14ac:dyDescent="0.25">
      <c r="A261" s="6">
        <v>31</v>
      </c>
      <c r="B261" s="4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s="11" t="str">
        <f>IF(HR_Data[[#This Row],[Age]]&lt;=25,"18-25",IF(HR_Data[[#This Row],[Age]]&lt;=35,"26-35",IF(HR_Data[[#This Row],[Age]]&lt;=45,"36-45",IF(HR_Data[[#This Row],[Age]]&lt;=55,"46-55","56+"))))</f>
        <v>26-35</v>
      </c>
      <c r="AK261" s="11" t="str">
        <f>IF(HR_Data[[#This Row],[MonthlyIncome]]&lt;3000,"Low",IF(HR_Data[[#This Row],[MonthlyIncome]]&lt;6000,"Medium",IF(HR_Data[[#This Row],[MonthlyIncome]]&lt;10000,"High","Very High")))</f>
        <v>Medium</v>
      </c>
      <c r="AL26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61" t="str">
        <f>IF(HR_Data[[#This Row],[TotalWorkingYears]]&lt;=5,"Junior",IF(HR_Data[[#This Row],[TotalWorkingYears]]&lt;=15,"Mid-Level","Senior"))</f>
        <v>Mid-Level</v>
      </c>
      <c r="AN261" s="11" t="str">
        <f>IF(HR_Data[[#This Row],[PerformanceRating]]=3,"Standard","Excellent")</f>
        <v>Standard</v>
      </c>
      <c r="AO261" s="11" t="str">
        <f>IF(HR_Data[[#This Row],[JobSatisfaction]]&lt;=2,"Low","High")</f>
        <v>Low</v>
      </c>
      <c r="AP261" s="11" t="str">
        <f>IF(AND(HR_Data[[#This Row],[OverTime]]="Yes",HR_Data[[#This Row],[JobSatisfaction]]&lt;=2,HR_Data[[#This Row],[YearsAtCompany]]&lt;=2),"High Risk","Normal")</f>
        <v>Normal</v>
      </c>
    </row>
    <row r="262" spans="1:42" x14ac:dyDescent="0.25">
      <c r="A262" s="6">
        <v>32</v>
      </c>
      <c r="B262" s="4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s="11" t="str">
        <f>IF(HR_Data[[#This Row],[Age]]&lt;=25,"18-25",IF(HR_Data[[#This Row],[Age]]&lt;=35,"26-35",IF(HR_Data[[#This Row],[Age]]&lt;=45,"36-45",IF(HR_Data[[#This Row],[Age]]&lt;=55,"46-55","56+"))))</f>
        <v>26-35</v>
      </c>
      <c r="AK262" s="11" t="str">
        <f>IF(HR_Data[[#This Row],[MonthlyIncome]]&lt;3000,"Low",IF(HR_Data[[#This Row],[MonthlyIncome]]&lt;6000,"Medium",IF(HR_Data[[#This Row],[MonthlyIncome]]&lt;10000,"High","Very High")))</f>
        <v>Low</v>
      </c>
      <c r="AL26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62" t="str">
        <f>IF(HR_Data[[#This Row],[TotalWorkingYears]]&lt;=5,"Junior",IF(HR_Data[[#This Row],[TotalWorkingYears]]&lt;=15,"Mid-Level","Senior"))</f>
        <v>Junior</v>
      </c>
      <c r="AN262" s="11" t="str">
        <f>IF(HR_Data[[#This Row],[PerformanceRating]]=3,"Standard","Excellent")</f>
        <v>Excellent</v>
      </c>
      <c r="AO262" s="11" t="str">
        <f>IF(HR_Data[[#This Row],[JobSatisfaction]]&lt;=2,"Low","High")</f>
        <v>Low</v>
      </c>
      <c r="AP262" s="11" t="str">
        <f>IF(AND(HR_Data[[#This Row],[OverTime]]="Yes",HR_Data[[#This Row],[JobSatisfaction]]&lt;=2,HR_Data[[#This Row],[YearsAtCompany]]&lt;=2),"High Risk","Normal")</f>
        <v>Normal</v>
      </c>
    </row>
    <row r="263" spans="1:42" x14ac:dyDescent="0.25">
      <c r="A263" s="6">
        <v>38</v>
      </c>
      <c r="B263" s="4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s="11" t="str">
        <f>IF(HR_Data[[#This Row],[Age]]&lt;=25,"18-25",IF(HR_Data[[#This Row],[Age]]&lt;=35,"26-35",IF(HR_Data[[#This Row],[Age]]&lt;=45,"36-45",IF(HR_Data[[#This Row],[Age]]&lt;=55,"46-55","56+"))))</f>
        <v>36-45</v>
      </c>
      <c r="AK263" s="11" t="str">
        <f>IF(HR_Data[[#This Row],[MonthlyIncome]]&lt;3000,"Low",IF(HR_Data[[#This Row],[MonthlyIncome]]&lt;6000,"Medium",IF(HR_Data[[#This Row],[MonthlyIncome]]&lt;10000,"High","Very High")))</f>
        <v>Medium</v>
      </c>
      <c r="AL26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63" t="str">
        <f>IF(HR_Data[[#This Row],[TotalWorkingYears]]&lt;=5,"Junior",IF(HR_Data[[#This Row],[TotalWorkingYears]]&lt;=15,"Mid-Level","Senior"))</f>
        <v>Mid-Level</v>
      </c>
      <c r="AN263" s="11" t="str">
        <f>IF(HR_Data[[#This Row],[PerformanceRating]]=3,"Standard","Excellent")</f>
        <v>Standard</v>
      </c>
      <c r="AO263" s="11" t="str">
        <f>IF(HR_Data[[#This Row],[JobSatisfaction]]&lt;=2,"Low","High")</f>
        <v>High</v>
      </c>
      <c r="AP263" s="11" t="str">
        <f>IF(AND(HR_Data[[#This Row],[OverTime]]="Yes",HR_Data[[#This Row],[JobSatisfaction]]&lt;=2,HR_Data[[#This Row],[YearsAtCompany]]&lt;=2),"High Risk","Normal")</f>
        <v>Normal</v>
      </c>
    </row>
    <row r="264" spans="1:42" x14ac:dyDescent="0.25">
      <c r="A264" s="6">
        <v>32</v>
      </c>
      <c r="B264" s="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s="11" t="str">
        <f>IF(HR_Data[[#This Row],[Age]]&lt;=25,"18-25",IF(HR_Data[[#This Row],[Age]]&lt;=35,"26-35",IF(HR_Data[[#This Row],[Age]]&lt;=45,"36-45",IF(HR_Data[[#This Row],[Age]]&lt;=55,"46-55","56+"))))</f>
        <v>26-35</v>
      </c>
      <c r="AK264" s="11" t="str">
        <f>IF(HR_Data[[#This Row],[MonthlyIncome]]&lt;3000,"Low",IF(HR_Data[[#This Row],[MonthlyIncome]]&lt;6000,"Medium",IF(HR_Data[[#This Row],[MonthlyIncome]]&lt;10000,"High","Very High")))</f>
        <v>Low</v>
      </c>
      <c r="AL26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64" t="str">
        <f>IF(HR_Data[[#This Row],[TotalWorkingYears]]&lt;=5,"Junior",IF(HR_Data[[#This Row],[TotalWorkingYears]]&lt;=15,"Mid-Level","Senior"))</f>
        <v>Mid-Level</v>
      </c>
      <c r="AN264" s="11" t="str">
        <f>IF(HR_Data[[#This Row],[PerformanceRating]]=3,"Standard","Excellent")</f>
        <v>Standard</v>
      </c>
      <c r="AO264" s="11" t="str">
        <f>IF(HR_Data[[#This Row],[JobSatisfaction]]&lt;=2,"Low","High")</f>
        <v>Low</v>
      </c>
      <c r="AP264" s="11" t="str">
        <f>IF(AND(HR_Data[[#This Row],[OverTime]]="Yes",HR_Data[[#This Row],[JobSatisfaction]]&lt;=2,HR_Data[[#This Row],[YearsAtCompany]]&lt;=2),"High Risk","Normal")</f>
        <v>Normal</v>
      </c>
    </row>
    <row r="265" spans="1:42" x14ac:dyDescent="0.25">
      <c r="A265" s="6">
        <v>46</v>
      </c>
      <c r="B265" s="4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s="11" t="str">
        <f>IF(HR_Data[[#This Row],[Age]]&lt;=25,"18-25",IF(HR_Data[[#This Row],[Age]]&lt;=35,"26-35",IF(HR_Data[[#This Row],[Age]]&lt;=45,"36-45",IF(HR_Data[[#This Row],[Age]]&lt;=55,"46-55","56+"))))</f>
        <v>46-55</v>
      </c>
      <c r="AK265" s="11" t="str">
        <f>IF(HR_Data[[#This Row],[MonthlyIncome]]&lt;3000,"Low",IF(HR_Data[[#This Row],[MonthlyIncome]]&lt;6000,"Medium",IF(HR_Data[[#This Row],[MonthlyIncome]]&lt;10000,"High","Very High")))</f>
        <v>Very High</v>
      </c>
      <c r="AL26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65" t="str">
        <f>IF(HR_Data[[#This Row],[TotalWorkingYears]]&lt;=5,"Junior",IF(HR_Data[[#This Row],[TotalWorkingYears]]&lt;=15,"Mid-Level","Senior"))</f>
        <v>Senior</v>
      </c>
      <c r="AN265" s="11" t="str">
        <f>IF(HR_Data[[#This Row],[PerformanceRating]]=3,"Standard","Excellent")</f>
        <v>Standard</v>
      </c>
      <c r="AO265" s="11" t="str">
        <f>IF(HR_Data[[#This Row],[JobSatisfaction]]&lt;=2,"Low","High")</f>
        <v>Low</v>
      </c>
      <c r="AP265" s="11" t="str">
        <f>IF(AND(HR_Data[[#This Row],[OverTime]]="Yes",HR_Data[[#This Row],[JobSatisfaction]]&lt;=2,HR_Data[[#This Row],[YearsAtCompany]]&lt;=2),"High Risk","Normal")</f>
        <v>Normal</v>
      </c>
    </row>
    <row r="266" spans="1:42" x14ac:dyDescent="0.25">
      <c r="A266" s="6">
        <v>28</v>
      </c>
      <c r="B266" s="4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s="11" t="str">
        <f>IF(HR_Data[[#This Row],[Age]]&lt;=25,"18-25",IF(HR_Data[[#This Row],[Age]]&lt;=35,"26-35",IF(HR_Data[[#This Row],[Age]]&lt;=45,"36-45",IF(HR_Data[[#This Row],[Age]]&lt;=55,"46-55","56+"))))</f>
        <v>26-35</v>
      </c>
      <c r="AK266" s="11" t="str">
        <f>IF(HR_Data[[#This Row],[MonthlyIncome]]&lt;3000,"Low",IF(HR_Data[[#This Row],[MonthlyIncome]]&lt;6000,"Medium",IF(HR_Data[[#This Row],[MonthlyIncome]]&lt;10000,"High","Very High")))</f>
        <v>Medium</v>
      </c>
      <c r="AL26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66" t="str">
        <f>IF(HR_Data[[#This Row],[TotalWorkingYears]]&lt;=5,"Junior",IF(HR_Data[[#This Row],[TotalWorkingYears]]&lt;=15,"Mid-Level","Senior"))</f>
        <v>Junior</v>
      </c>
      <c r="AN266" s="11" t="str">
        <f>IF(HR_Data[[#This Row],[PerformanceRating]]=3,"Standard","Excellent")</f>
        <v>Standard</v>
      </c>
      <c r="AO266" s="11" t="str">
        <f>IF(HR_Data[[#This Row],[JobSatisfaction]]&lt;=2,"Low","High")</f>
        <v>High</v>
      </c>
      <c r="AP266" s="11" t="str">
        <f>IF(AND(HR_Data[[#This Row],[OverTime]]="Yes",HR_Data[[#This Row],[JobSatisfaction]]&lt;=2,HR_Data[[#This Row],[YearsAtCompany]]&lt;=2),"High Risk","Normal")</f>
        <v>Normal</v>
      </c>
    </row>
    <row r="267" spans="1:42" x14ac:dyDescent="0.25">
      <c r="A267" s="6">
        <v>29</v>
      </c>
      <c r="B267" s="4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s="11" t="str">
        <f>IF(HR_Data[[#This Row],[Age]]&lt;=25,"18-25",IF(HR_Data[[#This Row],[Age]]&lt;=35,"26-35",IF(HR_Data[[#This Row],[Age]]&lt;=45,"36-45",IF(HR_Data[[#This Row],[Age]]&lt;=55,"46-55","56+"))))</f>
        <v>26-35</v>
      </c>
      <c r="AK267" s="11" t="str">
        <f>IF(HR_Data[[#This Row],[MonthlyIncome]]&lt;3000,"Low",IF(HR_Data[[#This Row],[MonthlyIncome]]&lt;6000,"Medium",IF(HR_Data[[#This Row],[MonthlyIncome]]&lt;10000,"High","Very High")))</f>
        <v>High</v>
      </c>
      <c r="AL26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67" t="str">
        <f>IF(HR_Data[[#This Row],[TotalWorkingYears]]&lt;=5,"Junior",IF(HR_Data[[#This Row],[TotalWorkingYears]]&lt;=15,"Mid-Level","Senior"))</f>
        <v>Mid-Level</v>
      </c>
      <c r="AN267" s="11" t="str">
        <f>IF(HR_Data[[#This Row],[PerformanceRating]]=3,"Standard","Excellent")</f>
        <v>Standard</v>
      </c>
      <c r="AO267" s="11" t="str">
        <f>IF(HR_Data[[#This Row],[JobSatisfaction]]&lt;=2,"Low","High")</f>
        <v>Low</v>
      </c>
      <c r="AP267" s="11" t="str">
        <f>IF(AND(HR_Data[[#This Row],[OverTime]]="Yes",HR_Data[[#This Row],[JobSatisfaction]]&lt;=2,HR_Data[[#This Row],[YearsAtCompany]]&lt;=2),"High Risk","Normal")</f>
        <v>Normal</v>
      </c>
    </row>
    <row r="268" spans="1:42" x14ac:dyDescent="0.25">
      <c r="A268" s="6">
        <v>31</v>
      </c>
      <c r="B268" s="4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s="11" t="str">
        <f>IF(HR_Data[[#This Row],[Age]]&lt;=25,"18-25",IF(HR_Data[[#This Row],[Age]]&lt;=35,"26-35",IF(HR_Data[[#This Row],[Age]]&lt;=45,"36-45",IF(HR_Data[[#This Row],[Age]]&lt;=55,"46-55","56+"))))</f>
        <v>26-35</v>
      </c>
      <c r="AK268" s="11" t="str">
        <f>IF(HR_Data[[#This Row],[MonthlyIncome]]&lt;3000,"Low",IF(HR_Data[[#This Row],[MonthlyIncome]]&lt;6000,"Medium",IF(HR_Data[[#This Row],[MonthlyIncome]]&lt;10000,"High","Very High")))</f>
        <v>Medium</v>
      </c>
      <c r="AL26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68" t="str">
        <f>IF(HR_Data[[#This Row],[TotalWorkingYears]]&lt;=5,"Junior",IF(HR_Data[[#This Row],[TotalWorkingYears]]&lt;=15,"Mid-Level","Senior"))</f>
        <v>Mid-Level</v>
      </c>
      <c r="AN268" s="11" t="str">
        <f>IF(HR_Data[[#This Row],[PerformanceRating]]=3,"Standard","Excellent")</f>
        <v>Excellent</v>
      </c>
      <c r="AO268" s="11" t="str">
        <f>IF(HR_Data[[#This Row],[JobSatisfaction]]&lt;=2,"Low","High")</f>
        <v>High</v>
      </c>
      <c r="AP268" s="11" t="str">
        <f>IF(AND(HR_Data[[#This Row],[OverTime]]="Yes",HR_Data[[#This Row],[JobSatisfaction]]&lt;=2,HR_Data[[#This Row],[YearsAtCompany]]&lt;=2),"High Risk","Normal")</f>
        <v>Normal</v>
      </c>
    </row>
    <row r="269" spans="1:42" x14ac:dyDescent="0.25">
      <c r="A269" s="6">
        <v>25</v>
      </c>
      <c r="B269" s="4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s="11" t="str">
        <f>IF(HR_Data[[#This Row],[Age]]&lt;=25,"18-25",IF(HR_Data[[#This Row],[Age]]&lt;=35,"26-35",IF(HR_Data[[#This Row],[Age]]&lt;=45,"36-45",IF(HR_Data[[#This Row],[Age]]&lt;=55,"46-55","56+"))))</f>
        <v>18-25</v>
      </c>
      <c r="AK269" s="11" t="str">
        <f>IF(HR_Data[[#This Row],[MonthlyIncome]]&lt;3000,"Low",IF(HR_Data[[#This Row],[MonthlyIncome]]&lt;6000,"Medium",IF(HR_Data[[#This Row],[MonthlyIncome]]&lt;10000,"High","Very High")))</f>
        <v>Medium</v>
      </c>
      <c r="AL26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69" t="str">
        <f>IF(HR_Data[[#This Row],[TotalWorkingYears]]&lt;=5,"Junior",IF(HR_Data[[#This Row],[TotalWorkingYears]]&lt;=15,"Mid-Level","Senior"))</f>
        <v>Mid-Level</v>
      </c>
      <c r="AN269" s="11" t="str">
        <f>IF(HR_Data[[#This Row],[PerformanceRating]]=3,"Standard","Excellent")</f>
        <v>Standard</v>
      </c>
      <c r="AO269" s="11" t="str">
        <f>IF(HR_Data[[#This Row],[JobSatisfaction]]&lt;=2,"Low","High")</f>
        <v>Low</v>
      </c>
      <c r="AP269" s="11" t="str">
        <f>IF(AND(HR_Data[[#This Row],[OverTime]]="Yes",HR_Data[[#This Row],[JobSatisfaction]]&lt;=2,HR_Data[[#This Row],[YearsAtCompany]]&lt;=2),"High Risk","Normal")</f>
        <v>Normal</v>
      </c>
    </row>
    <row r="270" spans="1:42" x14ac:dyDescent="0.25">
      <c r="A270" s="6">
        <v>45</v>
      </c>
      <c r="B270" s="4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s="11" t="str">
        <f>IF(HR_Data[[#This Row],[Age]]&lt;=25,"18-25",IF(HR_Data[[#This Row],[Age]]&lt;=35,"26-35",IF(HR_Data[[#This Row],[Age]]&lt;=45,"36-45",IF(HR_Data[[#This Row],[Age]]&lt;=55,"46-55","56+"))))</f>
        <v>36-45</v>
      </c>
      <c r="AK270" s="11" t="str">
        <f>IF(HR_Data[[#This Row],[MonthlyIncome]]&lt;3000,"Low",IF(HR_Data[[#This Row],[MonthlyIncome]]&lt;6000,"Medium",IF(HR_Data[[#This Row],[MonthlyIncome]]&lt;10000,"High","Very High")))</f>
        <v>Very High</v>
      </c>
      <c r="AL27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70" t="str">
        <f>IF(HR_Data[[#This Row],[TotalWorkingYears]]&lt;=5,"Junior",IF(HR_Data[[#This Row],[TotalWorkingYears]]&lt;=15,"Mid-Level","Senior"))</f>
        <v>Senior</v>
      </c>
      <c r="AN270" s="11" t="str">
        <f>IF(HR_Data[[#This Row],[PerformanceRating]]=3,"Standard","Excellent")</f>
        <v>Standard</v>
      </c>
      <c r="AO270" s="11" t="str">
        <f>IF(HR_Data[[#This Row],[JobSatisfaction]]&lt;=2,"Low","High")</f>
        <v>High</v>
      </c>
      <c r="AP270" s="11" t="str">
        <f>IF(AND(HR_Data[[#This Row],[OverTime]]="Yes",HR_Data[[#This Row],[JobSatisfaction]]&lt;=2,HR_Data[[#This Row],[YearsAtCompany]]&lt;=2),"High Risk","Normal")</f>
        <v>Normal</v>
      </c>
    </row>
    <row r="271" spans="1:42" x14ac:dyDescent="0.25">
      <c r="A271" s="6">
        <v>36</v>
      </c>
      <c r="B271" s="4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s="11" t="str">
        <f>IF(HR_Data[[#This Row],[Age]]&lt;=25,"18-25",IF(HR_Data[[#This Row],[Age]]&lt;=35,"26-35",IF(HR_Data[[#This Row],[Age]]&lt;=45,"36-45",IF(HR_Data[[#This Row],[Age]]&lt;=55,"46-55","56+"))))</f>
        <v>36-45</v>
      </c>
      <c r="AK271" s="11" t="str">
        <f>IF(HR_Data[[#This Row],[MonthlyIncome]]&lt;3000,"Low",IF(HR_Data[[#This Row],[MonthlyIncome]]&lt;6000,"Medium",IF(HR_Data[[#This Row],[MonthlyIncome]]&lt;10000,"High","Very High")))</f>
        <v>Medium</v>
      </c>
      <c r="AL271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271" t="str">
        <f>IF(HR_Data[[#This Row],[TotalWorkingYears]]&lt;=5,"Junior",IF(HR_Data[[#This Row],[TotalWorkingYears]]&lt;=15,"Mid-Level","Senior"))</f>
        <v>Senior</v>
      </c>
      <c r="AN271" s="11" t="str">
        <f>IF(HR_Data[[#This Row],[PerformanceRating]]=3,"Standard","Excellent")</f>
        <v>Standard</v>
      </c>
      <c r="AO271" s="11" t="str">
        <f>IF(HR_Data[[#This Row],[JobSatisfaction]]&lt;=2,"Low","High")</f>
        <v>High</v>
      </c>
      <c r="AP271" s="11" t="str">
        <f>IF(AND(HR_Data[[#This Row],[OverTime]]="Yes",HR_Data[[#This Row],[JobSatisfaction]]&lt;=2,HR_Data[[#This Row],[YearsAtCompany]]&lt;=2),"High Risk","Normal")</f>
        <v>Normal</v>
      </c>
    </row>
    <row r="272" spans="1:42" x14ac:dyDescent="0.25">
      <c r="A272" s="6">
        <v>55</v>
      </c>
      <c r="B272" s="4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s="11" t="str">
        <f>IF(HR_Data[[#This Row],[Age]]&lt;=25,"18-25",IF(HR_Data[[#This Row],[Age]]&lt;=35,"26-35",IF(HR_Data[[#This Row],[Age]]&lt;=45,"36-45",IF(HR_Data[[#This Row],[Age]]&lt;=55,"46-55","56+"))))</f>
        <v>46-55</v>
      </c>
      <c r="AK272" s="11" t="str">
        <f>IF(HR_Data[[#This Row],[MonthlyIncome]]&lt;3000,"Low",IF(HR_Data[[#This Row],[MonthlyIncome]]&lt;6000,"Medium",IF(HR_Data[[#This Row],[MonthlyIncome]]&lt;10000,"High","Very High")))</f>
        <v>Very High</v>
      </c>
      <c r="AL272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72" t="str">
        <f>IF(HR_Data[[#This Row],[TotalWorkingYears]]&lt;=5,"Junior",IF(HR_Data[[#This Row],[TotalWorkingYears]]&lt;=15,"Mid-Level","Senior"))</f>
        <v>Senior</v>
      </c>
      <c r="AN272" s="11" t="str">
        <f>IF(HR_Data[[#This Row],[PerformanceRating]]=3,"Standard","Excellent")</f>
        <v>Standard</v>
      </c>
      <c r="AO272" s="11" t="str">
        <f>IF(HR_Data[[#This Row],[JobSatisfaction]]&lt;=2,"Low","High")</f>
        <v>Low</v>
      </c>
      <c r="AP272" s="11" t="str">
        <f>IF(AND(HR_Data[[#This Row],[OverTime]]="Yes",HR_Data[[#This Row],[JobSatisfaction]]&lt;=2,HR_Data[[#This Row],[YearsAtCompany]]&lt;=2),"High Risk","Normal")</f>
        <v>Normal</v>
      </c>
    </row>
    <row r="273" spans="1:42" x14ac:dyDescent="0.25">
      <c r="A273" s="6">
        <v>47</v>
      </c>
      <c r="B273" s="4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s="11" t="str">
        <f>IF(HR_Data[[#This Row],[Age]]&lt;=25,"18-25",IF(HR_Data[[#This Row],[Age]]&lt;=35,"26-35",IF(HR_Data[[#This Row],[Age]]&lt;=45,"36-45",IF(HR_Data[[#This Row],[Age]]&lt;=55,"46-55","56+"))))</f>
        <v>46-55</v>
      </c>
      <c r="AK273" s="11" t="str">
        <f>IF(HR_Data[[#This Row],[MonthlyIncome]]&lt;3000,"Low",IF(HR_Data[[#This Row],[MonthlyIncome]]&lt;6000,"Medium",IF(HR_Data[[#This Row],[MonthlyIncome]]&lt;10000,"High","Very High")))</f>
        <v>Very High</v>
      </c>
      <c r="AL27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73" t="str">
        <f>IF(HR_Data[[#This Row],[TotalWorkingYears]]&lt;=5,"Junior",IF(HR_Data[[#This Row],[TotalWorkingYears]]&lt;=15,"Mid-Level","Senior"))</f>
        <v>Mid-Level</v>
      </c>
      <c r="AN273" s="11" t="str">
        <f>IF(HR_Data[[#This Row],[PerformanceRating]]=3,"Standard","Excellent")</f>
        <v>Standard</v>
      </c>
      <c r="AO273" s="11" t="str">
        <f>IF(HR_Data[[#This Row],[JobSatisfaction]]&lt;=2,"Low","High")</f>
        <v>Low</v>
      </c>
      <c r="AP273" s="11" t="str">
        <f>IF(AND(HR_Data[[#This Row],[OverTime]]="Yes",HR_Data[[#This Row],[JobSatisfaction]]&lt;=2,HR_Data[[#This Row],[YearsAtCompany]]&lt;=2),"High Risk","Normal")</f>
        <v>Normal</v>
      </c>
    </row>
    <row r="274" spans="1:42" x14ac:dyDescent="0.25">
      <c r="A274" s="6">
        <v>28</v>
      </c>
      <c r="B274" s="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s="11" t="str">
        <f>IF(HR_Data[[#This Row],[Age]]&lt;=25,"18-25",IF(HR_Data[[#This Row],[Age]]&lt;=35,"26-35",IF(HR_Data[[#This Row],[Age]]&lt;=45,"36-45",IF(HR_Data[[#This Row],[Age]]&lt;=55,"46-55","56+"))))</f>
        <v>26-35</v>
      </c>
      <c r="AK274" s="11" t="str">
        <f>IF(HR_Data[[#This Row],[MonthlyIncome]]&lt;3000,"Low",IF(HR_Data[[#This Row],[MonthlyIncome]]&lt;6000,"Medium",IF(HR_Data[[#This Row],[MonthlyIncome]]&lt;10000,"High","Very High")))</f>
        <v>Low</v>
      </c>
      <c r="AL27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74" t="str">
        <f>IF(HR_Data[[#This Row],[TotalWorkingYears]]&lt;=5,"Junior",IF(HR_Data[[#This Row],[TotalWorkingYears]]&lt;=15,"Mid-Level","Senior"))</f>
        <v>Junior</v>
      </c>
      <c r="AN274" s="11" t="str">
        <f>IF(HR_Data[[#This Row],[PerformanceRating]]=3,"Standard","Excellent")</f>
        <v>Excellent</v>
      </c>
      <c r="AO274" s="11" t="str">
        <f>IF(HR_Data[[#This Row],[JobSatisfaction]]&lt;=2,"Low","High")</f>
        <v>High</v>
      </c>
      <c r="AP274" s="11" t="str">
        <f>IF(AND(HR_Data[[#This Row],[OverTime]]="Yes",HR_Data[[#This Row],[JobSatisfaction]]&lt;=2,HR_Data[[#This Row],[YearsAtCompany]]&lt;=2),"High Risk","Normal")</f>
        <v>Normal</v>
      </c>
    </row>
    <row r="275" spans="1:42" x14ac:dyDescent="0.25">
      <c r="A275" s="6">
        <v>37</v>
      </c>
      <c r="B275" s="4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s="11" t="str">
        <f>IF(HR_Data[[#This Row],[Age]]&lt;=25,"18-25",IF(HR_Data[[#This Row],[Age]]&lt;=35,"26-35",IF(HR_Data[[#This Row],[Age]]&lt;=45,"36-45",IF(HR_Data[[#This Row],[Age]]&lt;=55,"46-55","56+"))))</f>
        <v>36-45</v>
      </c>
      <c r="AK275" s="11" t="str">
        <f>IF(HR_Data[[#This Row],[MonthlyIncome]]&lt;3000,"Low",IF(HR_Data[[#This Row],[MonthlyIncome]]&lt;6000,"Medium",IF(HR_Data[[#This Row],[MonthlyIncome]]&lt;10000,"High","Very High")))</f>
        <v>High</v>
      </c>
      <c r="AL27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75" t="str">
        <f>IF(HR_Data[[#This Row],[TotalWorkingYears]]&lt;=5,"Junior",IF(HR_Data[[#This Row],[TotalWorkingYears]]&lt;=15,"Mid-Level","Senior"))</f>
        <v>Mid-Level</v>
      </c>
      <c r="AN275" s="11" t="str">
        <f>IF(HR_Data[[#This Row],[PerformanceRating]]=3,"Standard","Excellent")</f>
        <v>Standard</v>
      </c>
      <c r="AO275" s="11" t="str">
        <f>IF(HR_Data[[#This Row],[JobSatisfaction]]&lt;=2,"Low","High")</f>
        <v>High</v>
      </c>
      <c r="AP275" s="11" t="str">
        <f>IF(AND(HR_Data[[#This Row],[OverTime]]="Yes",HR_Data[[#This Row],[JobSatisfaction]]&lt;=2,HR_Data[[#This Row],[YearsAtCompany]]&lt;=2),"High Risk","Normal")</f>
        <v>Normal</v>
      </c>
    </row>
    <row r="276" spans="1:42" x14ac:dyDescent="0.25">
      <c r="A276" s="6">
        <v>21</v>
      </c>
      <c r="B276" s="4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s="11" t="str">
        <f>IF(HR_Data[[#This Row],[Age]]&lt;=25,"18-25",IF(HR_Data[[#This Row],[Age]]&lt;=35,"26-35",IF(HR_Data[[#This Row],[Age]]&lt;=45,"36-45",IF(HR_Data[[#This Row],[Age]]&lt;=55,"46-55","56+"))))</f>
        <v>18-25</v>
      </c>
      <c r="AK276" s="11" t="str">
        <f>IF(HR_Data[[#This Row],[MonthlyIncome]]&lt;3000,"Low",IF(HR_Data[[#This Row],[MonthlyIncome]]&lt;6000,"Medium",IF(HR_Data[[#This Row],[MonthlyIncome]]&lt;10000,"High","Very High")))</f>
        <v>Medium</v>
      </c>
      <c r="AL27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76" t="str">
        <f>IF(HR_Data[[#This Row],[TotalWorkingYears]]&lt;=5,"Junior",IF(HR_Data[[#This Row],[TotalWorkingYears]]&lt;=15,"Mid-Level","Senior"))</f>
        <v>Junior</v>
      </c>
      <c r="AN276" s="11" t="str">
        <f>IF(HR_Data[[#This Row],[PerformanceRating]]=3,"Standard","Excellent")</f>
        <v>Standard</v>
      </c>
      <c r="AO276" s="11" t="str">
        <f>IF(HR_Data[[#This Row],[JobSatisfaction]]&lt;=2,"Low","High")</f>
        <v>High</v>
      </c>
      <c r="AP276" s="11" t="str">
        <f>IF(AND(HR_Data[[#This Row],[OverTime]]="Yes",HR_Data[[#This Row],[JobSatisfaction]]&lt;=2,HR_Data[[#This Row],[YearsAtCompany]]&lt;=2),"High Risk","Normal")</f>
        <v>Normal</v>
      </c>
    </row>
    <row r="277" spans="1:42" x14ac:dyDescent="0.25">
      <c r="A277" s="6">
        <v>37</v>
      </c>
      <c r="B277" s="4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s="11" t="str">
        <f>IF(HR_Data[[#This Row],[Age]]&lt;=25,"18-25",IF(HR_Data[[#This Row],[Age]]&lt;=35,"26-35",IF(HR_Data[[#This Row],[Age]]&lt;=45,"36-45",IF(HR_Data[[#This Row],[Age]]&lt;=55,"46-55","56+"))))</f>
        <v>36-45</v>
      </c>
      <c r="AK277" s="11" t="str">
        <f>IF(HR_Data[[#This Row],[MonthlyIncome]]&lt;3000,"Low",IF(HR_Data[[#This Row],[MonthlyIncome]]&lt;6000,"Medium",IF(HR_Data[[#This Row],[MonthlyIncome]]&lt;10000,"High","Very High")))</f>
        <v>Very High</v>
      </c>
      <c r="AL27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77" t="str">
        <f>IF(HR_Data[[#This Row],[TotalWorkingYears]]&lt;=5,"Junior",IF(HR_Data[[#This Row],[TotalWorkingYears]]&lt;=15,"Mid-Level","Senior"))</f>
        <v>Mid-Level</v>
      </c>
      <c r="AN277" s="11" t="str">
        <f>IF(HR_Data[[#This Row],[PerformanceRating]]=3,"Standard","Excellent")</f>
        <v>Standard</v>
      </c>
      <c r="AO277" s="11" t="str">
        <f>IF(HR_Data[[#This Row],[JobSatisfaction]]&lt;=2,"Low","High")</f>
        <v>High</v>
      </c>
      <c r="AP277" s="11" t="str">
        <f>IF(AND(HR_Data[[#This Row],[OverTime]]="Yes",HR_Data[[#This Row],[JobSatisfaction]]&lt;=2,HR_Data[[#This Row],[YearsAtCompany]]&lt;=2),"High Risk","Normal")</f>
        <v>Normal</v>
      </c>
    </row>
    <row r="278" spans="1:42" x14ac:dyDescent="0.25">
      <c r="A278" s="6">
        <v>35</v>
      </c>
      <c r="B278" s="4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s="11" t="str">
        <f>IF(HR_Data[[#This Row],[Age]]&lt;=25,"18-25",IF(HR_Data[[#This Row],[Age]]&lt;=35,"26-35",IF(HR_Data[[#This Row],[Age]]&lt;=45,"36-45",IF(HR_Data[[#This Row],[Age]]&lt;=55,"46-55","56+"))))</f>
        <v>26-35</v>
      </c>
      <c r="AK278" s="11" t="str">
        <f>IF(HR_Data[[#This Row],[MonthlyIncome]]&lt;3000,"Low",IF(HR_Data[[#This Row],[MonthlyIncome]]&lt;6000,"Medium",IF(HR_Data[[#This Row],[MonthlyIncome]]&lt;10000,"High","Very High")))</f>
        <v>Very High</v>
      </c>
      <c r="AL27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78" t="str">
        <f>IF(HR_Data[[#This Row],[TotalWorkingYears]]&lt;=5,"Junior",IF(HR_Data[[#This Row],[TotalWorkingYears]]&lt;=15,"Mid-Level","Senior"))</f>
        <v>Mid-Level</v>
      </c>
      <c r="AN278" s="11" t="str">
        <f>IF(HR_Data[[#This Row],[PerformanceRating]]=3,"Standard","Excellent")</f>
        <v>Standard</v>
      </c>
      <c r="AO278" s="11" t="str">
        <f>IF(HR_Data[[#This Row],[JobSatisfaction]]&lt;=2,"Low","High")</f>
        <v>Low</v>
      </c>
      <c r="AP278" s="11" t="str">
        <f>IF(AND(HR_Data[[#This Row],[OverTime]]="Yes",HR_Data[[#This Row],[JobSatisfaction]]&lt;=2,HR_Data[[#This Row],[YearsAtCompany]]&lt;=2),"High Risk","Normal")</f>
        <v>Normal</v>
      </c>
    </row>
    <row r="279" spans="1:42" x14ac:dyDescent="0.25">
      <c r="A279" s="6">
        <v>38</v>
      </c>
      <c r="B279" s="4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s="11" t="str">
        <f>IF(HR_Data[[#This Row],[Age]]&lt;=25,"18-25",IF(HR_Data[[#This Row],[Age]]&lt;=35,"26-35",IF(HR_Data[[#This Row],[Age]]&lt;=45,"36-45",IF(HR_Data[[#This Row],[Age]]&lt;=55,"46-55","56+"))))</f>
        <v>36-45</v>
      </c>
      <c r="AK279" s="11" t="str">
        <f>IF(HR_Data[[#This Row],[MonthlyIncome]]&lt;3000,"Low",IF(HR_Data[[#This Row],[MonthlyIncome]]&lt;6000,"Medium",IF(HR_Data[[#This Row],[MonthlyIncome]]&lt;10000,"High","Very High")))</f>
        <v>Medium</v>
      </c>
      <c r="AL27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79" t="str">
        <f>IF(HR_Data[[#This Row],[TotalWorkingYears]]&lt;=5,"Junior",IF(HR_Data[[#This Row],[TotalWorkingYears]]&lt;=15,"Mid-Level","Senior"))</f>
        <v>Mid-Level</v>
      </c>
      <c r="AN279" s="11" t="str">
        <f>IF(HR_Data[[#This Row],[PerformanceRating]]=3,"Standard","Excellent")</f>
        <v>Excellent</v>
      </c>
      <c r="AO279" s="11" t="str">
        <f>IF(HR_Data[[#This Row],[JobSatisfaction]]&lt;=2,"Low","High")</f>
        <v>Low</v>
      </c>
      <c r="AP279" s="11" t="str">
        <f>IF(AND(HR_Data[[#This Row],[OverTime]]="Yes",HR_Data[[#This Row],[JobSatisfaction]]&lt;=2,HR_Data[[#This Row],[YearsAtCompany]]&lt;=2),"High Risk","Normal")</f>
        <v>Normal</v>
      </c>
    </row>
    <row r="280" spans="1:42" x14ac:dyDescent="0.25">
      <c r="A280" s="6">
        <v>26</v>
      </c>
      <c r="B280" s="4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s="11" t="str">
        <f>IF(HR_Data[[#This Row],[Age]]&lt;=25,"18-25",IF(HR_Data[[#This Row],[Age]]&lt;=35,"26-35",IF(HR_Data[[#This Row],[Age]]&lt;=45,"36-45",IF(HR_Data[[#This Row],[Age]]&lt;=55,"46-55","56+"))))</f>
        <v>26-35</v>
      </c>
      <c r="AK280" s="11" t="str">
        <f>IF(HR_Data[[#This Row],[MonthlyIncome]]&lt;3000,"Low",IF(HR_Data[[#This Row],[MonthlyIncome]]&lt;6000,"Medium",IF(HR_Data[[#This Row],[MonthlyIncome]]&lt;10000,"High","Very High")))</f>
        <v>High</v>
      </c>
      <c r="AL28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80" t="str">
        <f>IF(HR_Data[[#This Row],[TotalWorkingYears]]&lt;=5,"Junior",IF(HR_Data[[#This Row],[TotalWorkingYears]]&lt;=15,"Mid-Level","Senior"))</f>
        <v>Mid-Level</v>
      </c>
      <c r="AN280" s="11" t="str">
        <f>IF(HR_Data[[#This Row],[PerformanceRating]]=3,"Standard","Excellent")</f>
        <v>Excellent</v>
      </c>
      <c r="AO280" s="11" t="str">
        <f>IF(HR_Data[[#This Row],[JobSatisfaction]]&lt;=2,"Low","High")</f>
        <v>Low</v>
      </c>
      <c r="AP280" s="11" t="str">
        <f>IF(AND(HR_Data[[#This Row],[OverTime]]="Yes",HR_Data[[#This Row],[JobSatisfaction]]&lt;=2,HR_Data[[#This Row],[YearsAtCompany]]&lt;=2),"High Risk","Normal")</f>
        <v>Normal</v>
      </c>
    </row>
    <row r="281" spans="1:42" x14ac:dyDescent="0.25">
      <c r="A281" s="6">
        <v>50</v>
      </c>
      <c r="B281" s="4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s="11" t="str">
        <f>IF(HR_Data[[#This Row],[Age]]&lt;=25,"18-25",IF(HR_Data[[#This Row],[Age]]&lt;=35,"26-35",IF(HR_Data[[#This Row],[Age]]&lt;=45,"36-45",IF(HR_Data[[#This Row],[Age]]&lt;=55,"46-55","56+"))))</f>
        <v>46-55</v>
      </c>
      <c r="AK281" s="11" t="str">
        <f>IF(HR_Data[[#This Row],[MonthlyIncome]]&lt;3000,"Low",IF(HR_Data[[#This Row],[MonthlyIncome]]&lt;6000,"Medium",IF(HR_Data[[#This Row],[MonthlyIncome]]&lt;10000,"High","Very High")))</f>
        <v>Very High</v>
      </c>
      <c r="AL28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81" t="str">
        <f>IF(HR_Data[[#This Row],[TotalWorkingYears]]&lt;=5,"Junior",IF(HR_Data[[#This Row],[TotalWorkingYears]]&lt;=15,"Mid-Level","Senior"))</f>
        <v>Senior</v>
      </c>
      <c r="AN281" s="11" t="str">
        <f>IF(HR_Data[[#This Row],[PerformanceRating]]=3,"Standard","Excellent")</f>
        <v>Standard</v>
      </c>
      <c r="AO281" s="11" t="str">
        <f>IF(HR_Data[[#This Row],[JobSatisfaction]]&lt;=2,"Low","High")</f>
        <v>Low</v>
      </c>
      <c r="AP281" s="11" t="str">
        <f>IF(AND(HR_Data[[#This Row],[OverTime]]="Yes",HR_Data[[#This Row],[JobSatisfaction]]&lt;=2,HR_Data[[#This Row],[YearsAtCompany]]&lt;=2),"High Risk","Normal")</f>
        <v>Normal</v>
      </c>
    </row>
    <row r="282" spans="1:42" x14ac:dyDescent="0.25">
      <c r="A282" s="6">
        <v>53</v>
      </c>
      <c r="B282" s="4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s="11" t="str">
        <f>IF(HR_Data[[#This Row],[Age]]&lt;=25,"18-25",IF(HR_Data[[#This Row],[Age]]&lt;=35,"26-35",IF(HR_Data[[#This Row],[Age]]&lt;=45,"36-45",IF(HR_Data[[#This Row],[Age]]&lt;=55,"46-55","56+"))))</f>
        <v>46-55</v>
      </c>
      <c r="AK282" s="11" t="str">
        <f>IF(HR_Data[[#This Row],[MonthlyIncome]]&lt;3000,"Low",IF(HR_Data[[#This Row],[MonthlyIncome]]&lt;6000,"Medium",IF(HR_Data[[#This Row],[MonthlyIncome]]&lt;10000,"High","Very High")))</f>
        <v>Very High</v>
      </c>
      <c r="AL28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82" t="str">
        <f>IF(HR_Data[[#This Row],[TotalWorkingYears]]&lt;=5,"Junior",IF(HR_Data[[#This Row],[TotalWorkingYears]]&lt;=15,"Mid-Level","Senior"))</f>
        <v>Senior</v>
      </c>
      <c r="AN282" s="11" t="str">
        <f>IF(HR_Data[[#This Row],[PerformanceRating]]=3,"Standard","Excellent")</f>
        <v>Standard</v>
      </c>
      <c r="AO282" s="11" t="str">
        <f>IF(HR_Data[[#This Row],[JobSatisfaction]]&lt;=2,"Low","High")</f>
        <v>High</v>
      </c>
      <c r="AP282" s="11" t="str">
        <f>IF(AND(HR_Data[[#This Row],[OverTime]]="Yes",HR_Data[[#This Row],[JobSatisfaction]]&lt;=2,HR_Data[[#This Row],[YearsAtCompany]]&lt;=2),"High Risk","Normal")</f>
        <v>Normal</v>
      </c>
    </row>
    <row r="283" spans="1:42" x14ac:dyDescent="0.25">
      <c r="A283" s="6">
        <v>42</v>
      </c>
      <c r="B283" s="4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s="11" t="str">
        <f>IF(HR_Data[[#This Row],[Age]]&lt;=25,"18-25",IF(HR_Data[[#This Row],[Age]]&lt;=35,"26-35",IF(HR_Data[[#This Row],[Age]]&lt;=45,"36-45",IF(HR_Data[[#This Row],[Age]]&lt;=55,"46-55","56+"))))</f>
        <v>36-45</v>
      </c>
      <c r="AK283" s="11" t="str">
        <f>IF(HR_Data[[#This Row],[MonthlyIncome]]&lt;3000,"Low",IF(HR_Data[[#This Row],[MonthlyIncome]]&lt;6000,"Medium",IF(HR_Data[[#This Row],[MonthlyIncome]]&lt;10000,"High","Very High")))</f>
        <v>Medium</v>
      </c>
      <c r="AL28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83" t="str">
        <f>IF(HR_Data[[#This Row],[TotalWorkingYears]]&lt;=5,"Junior",IF(HR_Data[[#This Row],[TotalWorkingYears]]&lt;=15,"Mid-Level","Senior"))</f>
        <v>Senior</v>
      </c>
      <c r="AN283" s="11" t="str">
        <f>IF(HR_Data[[#This Row],[PerformanceRating]]=3,"Standard","Excellent")</f>
        <v>Excellent</v>
      </c>
      <c r="AO283" s="11" t="str">
        <f>IF(HR_Data[[#This Row],[JobSatisfaction]]&lt;=2,"Low","High")</f>
        <v>High</v>
      </c>
      <c r="AP283" s="11" t="str">
        <f>IF(AND(HR_Data[[#This Row],[OverTime]]="Yes",HR_Data[[#This Row],[JobSatisfaction]]&lt;=2,HR_Data[[#This Row],[YearsAtCompany]]&lt;=2),"High Risk","Normal")</f>
        <v>Normal</v>
      </c>
    </row>
    <row r="284" spans="1:42" x14ac:dyDescent="0.25">
      <c r="A284" s="6">
        <v>29</v>
      </c>
      <c r="B284" s="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s="11" t="str">
        <f>IF(HR_Data[[#This Row],[Age]]&lt;=25,"18-25",IF(HR_Data[[#This Row],[Age]]&lt;=35,"26-35",IF(HR_Data[[#This Row],[Age]]&lt;=45,"36-45",IF(HR_Data[[#This Row],[Age]]&lt;=55,"46-55","56+"))))</f>
        <v>26-35</v>
      </c>
      <c r="AK284" s="11" t="str">
        <f>IF(HR_Data[[#This Row],[MonthlyIncome]]&lt;3000,"Low",IF(HR_Data[[#This Row],[MonthlyIncome]]&lt;6000,"Medium",IF(HR_Data[[#This Row],[MonthlyIncome]]&lt;10000,"High","Very High")))</f>
        <v>Medium</v>
      </c>
      <c r="AL28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84" t="str">
        <f>IF(HR_Data[[#This Row],[TotalWorkingYears]]&lt;=5,"Junior",IF(HR_Data[[#This Row],[TotalWorkingYears]]&lt;=15,"Mid-Level","Senior"))</f>
        <v>Mid-Level</v>
      </c>
      <c r="AN284" s="11" t="str">
        <f>IF(HR_Data[[#This Row],[PerformanceRating]]=3,"Standard","Excellent")</f>
        <v>Standard</v>
      </c>
      <c r="AO284" s="11" t="str">
        <f>IF(HR_Data[[#This Row],[JobSatisfaction]]&lt;=2,"Low","High")</f>
        <v>High</v>
      </c>
      <c r="AP284" s="11" t="str">
        <f>IF(AND(HR_Data[[#This Row],[OverTime]]="Yes",HR_Data[[#This Row],[JobSatisfaction]]&lt;=2,HR_Data[[#This Row],[YearsAtCompany]]&lt;=2),"High Risk","Normal")</f>
        <v>Normal</v>
      </c>
    </row>
    <row r="285" spans="1:42" x14ac:dyDescent="0.25">
      <c r="A285" s="6">
        <v>55</v>
      </c>
      <c r="B285" s="4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s="11" t="str">
        <f>IF(HR_Data[[#This Row],[Age]]&lt;=25,"18-25",IF(HR_Data[[#This Row],[Age]]&lt;=35,"26-35",IF(HR_Data[[#This Row],[Age]]&lt;=45,"36-45",IF(HR_Data[[#This Row],[Age]]&lt;=55,"46-55","56+"))))</f>
        <v>46-55</v>
      </c>
      <c r="AK285" s="11" t="str">
        <f>IF(HR_Data[[#This Row],[MonthlyIncome]]&lt;3000,"Low",IF(HR_Data[[#This Row],[MonthlyIncome]]&lt;6000,"Medium",IF(HR_Data[[#This Row],[MonthlyIncome]]&lt;10000,"High","Very High")))</f>
        <v>Medium</v>
      </c>
      <c r="AL28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85" t="str">
        <f>IF(HR_Data[[#This Row],[TotalWorkingYears]]&lt;=5,"Junior",IF(HR_Data[[#This Row],[TotalWorkingYears]]&lt;=15,"Mid-Level","Senior"))</f>
        <v>Mid-Level</v>
      </c>
      <c r="AN285" s="11" t="str">
        <f>IF(HR_Data[[#This Row],[PerformanceRating]]=3,"Standard","Excellent")</f>
        <v>Standard</v>
      </c>
      <c r="AO285" s="11" t="str">
        <f>IF(HR_Data[[#This Row],[JobSatisfaction]]&lt;=2,"Low","High")</f>
        <v>High</v>
      </c>
      <c r="AP285" s="11" t="str">
        <f>IF(AND(HR_Data[[#This Row],[OverTime]]="Yes",HR_Data[[#This Row],[JobSatisfaction]]&lt;=2,HR_Data[[#This Row],[YearsAtCompany]]&lt;=2),"High Risk","Normal")</f>
        <v>Normal</v>
      </c>
    </row>
    <row r="286" spans="1:42" x14ac:dyDescent="0.25">
      <c r="A286" s="6">
        <v>26</v>
      </c>
      <c r="B286" s="4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s="11" t="str">
        <f>IF(HR_Data[[#This Row],[Age]]&lt;=25,"18-25",IF(HR_Data[[#This Row],[Age]]&lt;=35,"26-35",IF(HR_Data[[#This Row],[Age]]&lt;=45,"36-45",IF(HR_Data[[#This Row],[Age]]&lt;=55,"46-55","56+"))))</f>
        <v>26-35</v>
      </c>
      <c r="AK286" s="11" t="str">
        <f>IF(HR_Data[[#This Row],[MonthlyIncome]]&lt;3000,"Low",IF(HR_Data[[#This Row],[MonthlyIncome]]&lt;6000,"Medium",IF(HR_Data[[#This Row],[MonthlyIncome]]&lt;10000,"High","Very High")))</f>
        <v>Medium</v>
      </c>
      <c r="AL28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86" t="str">
        <f>IF(HR_Data[[#This Row],[TotalWorkingYears]]&lt;=5,"Junior",IF(HR_Data[[#This Row],[TotalWorkingYears]]&lt;=15,"Mid-Level","Senior"))</f>
        <v>Junior</v>
      </c>
      <c r="AN286" s="11" t="str">
        <f>IF(HR_Data[[#This Row],[PerformanceRating]]=3,"Standard","Excellent")</f>
        <v>Standard</v>
      </c>
      <c r="AO286" s="11" t="str">
        <f>IF(HR_Data[[#This Row],[JobSatisfaction]]&lt;=2,"Low","High")</f>
        <v>Low</v>
      </c>
      <c r="AP286" s="11" t="str">
        <f>IF(AND(HR_Data[[#This Row],[OverTime]]="Yes",HR_Data[[#This Row],[JobSatisfaction]]&lt;=2,HR_Data[[#This Row],[YearsAtCompany]]&lt;=2),"High Risk","Normal")</f>
        <v>Normal</v>
      </c>
    </row>
    <row r="287" spans="1:42" x14ac:dyDescent="0.25">
      <c r="A287" s="6">
        <v>37</v>
      </c>
      <c r="B287" s="4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s="11" t="str">
        <f>IF(HR_Data[[#This Row],[Age]]&lt;=25,"18-25",IF(HR_Data[[#This Row],[Age]]&lt;=35,"26-35",IF(HR_Data[[#This Row],[Age]]&lt;=45,"36-45",IF(HR_Data[[#This Row],[Age]]&lt;=55,"46-55","56+"))))</f>
        <v>36-45</v>
      </c>
      <c r="AK287" s="11" t="str">
        <f>IF(HR_Data[[#This Row],[MonthlyIncome]]&lt;3000,"Low",IF(HR_Data[[#This Row],[MonthlyIncome]]&lt;6000,"Medium",IF(HR_Data[[#This Row],[MonthlyIncome]]&lt;10000,"High","Very High")))</f>
        <v>Low</v>
      </c>
      <c r="AL28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87" t="str">
        <f>IF(HR_Data[[#This Row],[TotalWorkingYears]]&lt;=5,"Junior",IF(HR_Data[[#This Row],[TotalWorkingYears]]&lt;=15,"Mid-Level","Senior"))</f>
        <v>Senior</v>
      </c>
      <c r="AN287" s="11" t="str">
        <f>IF(HR_Data[[#This Row],[PerformanceRating]]=3,"Standard","Excellent")</f>
        <v>Standard</v>
      </c>
      <c r="AO287" s="11" t="str">
        <f>IF(HR_Data[[#This Row],[JobSatisfaction]]&lt;=2,"Low","High")</f>
        <v>High</v>
      </c>
      <c r="AP287" s="11" t="str">
        <f>IF(AND(HR_Data[[#This Row],[OverTime]]="Yes",HR_Data[[#This Row],[JobSatisfaction]]&lt;=2,HR_Data[[#This Row],[YearsAtCompany]]&lt;=2),"High Risk","Normal")</f>
        <v>Normal</v>
      </c>
    </row>
    <row r="288" spans="1:42" x14ac:dyDescent="0.25">
      <c r="A288" s="6">
        <v>44</v>
      </c>
      <c r="B288" s="4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s="11" t="str">
        <f>IF(HR_Data[[#This Row],[Age]]&lt;=25,"18-25",IF(HR_Data[[#This Row],[Age]]&lt;=35,"26-35",IF(HR_Data[[#This Row],[Age]]&lt;=45,"36-45",IF(HR_Data[[#This Row],[Age]]&lt;=55,"46-55","56+"))))</f>
        <v>36-45</v>
      </c>
      <c r="AK288" s="11" t="str">
        <f>IF(HR_Data[[#This Row],[MonthlyIncome]]&lt;3000,"Low",IF(HR_Data[[#This Row],[MonthlyIncome]]&lt;6000,"Medium",IF(HR_Data[[#This Row],[MonthlyIncome]]&lt;10000,"High","Very High")))</f>
        <v>Medium</v>
      </c>
      <c r="AL28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88" t="str">
        <f>IF(HR_Data[[#This Row],[TotalWorkingYears]]&lt;=5,"Junior",IF(HR_Data[[#This Row],[TotalWorkingYears]]&lt;=15,"Mid-Level","Senior"))</f>
        <v>Senior</v>
      </c>
      <c r="AN288" s="11" t="str">
        <f>IF(HR_Data[[#This Row],[PerformanceRating]]=3,"Standard","Excellent")</f>
        <v>Excellent</v>
      </c>
      <c r="AO288" s="11" t="str">
        <f>IF(HR_Data[[#This Row],[JobSatisfaction]]&lt;=2,"Low","High")</f>
        <v>High</v>
      </c>
      <c r="AP288" s="11" t="str">
        <f>IF(AND(HR_Data[[#This Row],[OverTime]]="Yes",HR_Data[[#This Row],[JobSatisfaction]]&lt;=2,HR_Data[[#This Row],[YearsAtCompany]]&lt;=2),"High Risk","Normal")</f>
        <v>Normal</v>
      </c>
    </row>
    <row r="289" spans="1:42" x14ac:dyDescent="0.25">
      <c r="A289" s="6">
        <v>38</v>
      </c>
      <c r="B289" s="4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s="11" t="str">
        <f>IF(HR_Data[[#This Row],[Age]]&lt;=25,"18-25",IF(HR_Data[[#This Row],[Age]]&lt;=35,"26-35",IF(HR_Data[[#This Row],[Age]]&lt;=45,"36-45",IF(HR_Data[[#This Row],[Age]]&lt;=55,"46-55","56+"))))</f>
        <v>36-45</v>
      </c>
      <c r="AK289" s="11" t="str">
        <f>IF(HR_Data[[#This Row],[MonthlyIncome]]&lt;3000,"Low",IF(HR_Data[[#This Row],[MonthlyIncome]]&lt;6000,"Medium",IF(HR_Data[[#This Row],[MonthlyIncome]]&lt;10000,"High","Very High")))</f>
        <v>Medium</v>
      </c>
      <c r="AL28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89" t="str">
        <f>IF(HR_Data[[#This Row],[TotalWorkingYears]]&lt;=5,"Junior",IF(HR_Data[[#This Row],[TotalWorkingYears]]&lt;=15,"Mid-Level","Senior"))</f>
        <v>Mid-Level</v>
      </c>
      <c r="AN289" s="11" t="str">
        <f>IF(HR_Data[[#This Row],[PerformanceRating]]=3,"Standard","Excellent")</f>
        <v>Standard</v>
      </c>
      <c r="AO289" s="11" t="str">
        <f>IF(HR_Data[[#This Row],[JobSatisfaction]]&lt;=2,"Low","High")</f>
        <v>High</v>
      </c>
      <c r="AP289" s="11" t="str">
        <f>IF(AND(HR_Data[[#This Row],[OverTime]]="Yes",HR_Data[[#This Row],[JobSatisfaction]]&lt;=2,HR_Data[[#This Row],[YearsAtCompany]]&lt;=2),"High Risk","Normal")</f>
        <v>Normal</v>
      </c>
    </row>
    <row r="290" spans="1:42" x14ac:dyDescent="0.25">
      <c r="A290" s="6">
        <v>26</v>
      </c>
      <c r="B290" s="4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s="11" t="str">
        <f>IF(HR_Data[[#This Row],[Age]]&lt;=25,"18-25",IF(HR_Data[[#This Row],[Age]]&lt;=35,"26-35",IF(HR_Data[[#This Row],[Age]]&lt;=45,"36-45",IF(HR_Data[[#This Row],[Age]]&lt;=55,"46-55","56+"))))</f>
        <v>26-35</v>
      </c>
      <c r="AK290" s="11" t="str">
        <f>IF(HR_Data[[#This Row],[MonthlyIncome]]&lt;3000,"Low",IF(HR_Data[[#This Row],[MonthlyIncome]]&lt;6000,"Medium",IF(HR_Data[[#This Row],[MonthlyIncome]]&lt;10000,"High","Very High")))</f>
        <v>Low</v>
      </c>
      <c r="AL29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90" t="str">
        <f>IF(HR_Data[[#This Row],[TotalWorkingYears]]&lt;=5,"Junior",IF(HR_Data[[#This Row],[TotalWorkingYears]]&lt;=15,"Mid-Level","Senior"))</f>
        <v>Junior</v>
      </c>
      <c r="AN290" s="11" t="str">
        <f>IF(HR_Data[[#This Row],[PerformanceRating]]=3,"Standard","Excellent")</f>
        <v>Standard</v>
      </c>
      <c r="AO290" s="11" t="str">
        <f>IF(HR_Data[[#This Row],[JobSatisfaction]]&lt;=2,"Low","High")</f>
        <v>Low</v>
      </c>
      <c r="AP290" s="11" t="str">
        <f>IF(AND(HR_Data[[#This Row],[OverTime]]="Yes",HR_Data[[#This Row],[JobSatisfaction]]&lt;=2,HR_Data[[#This Row],[YearsAtCompany]]&lt;=2),"High Risk","Normal")</f>
        <v>Normal</v>
      </c>
    </row>
    <row r="291" spans="1:42" x14ac:dyDescent="0.25">
      <c r="A291" s="6">
        <v>28</v>
      </c>
      <c r="B291" s="4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s="11" t="str">
        <f>IF(HR_Data[[#This Row],[Age]]&lt;=25,"18-25",IF(HR_Data[[#This Row],[Age]]&lt;=35,"26-35",IF(HR_Data[[#This Row],[Age]]&lt;=45,"36-45",IF(HR_Data[[#This Row],[Age]]&lt;=55,"46-55","56+"))))</f>
        <v>26-35</v>
      </c>
      <c r="AK291" s="11" t="str">
        <f>IF(HR_Data[[#This Row],[MonthlyIncome]]&lt;3000,"Low",IF(HR_Data[[#This Row],[MonthlyIncome]]&lt;6000,"Medium",IF(HR_Data[[#This Row],[MonthlyIncome]]&lt;10000,"High","Very High")))</f>
        <v>Medium</v>
      </c>
      <c r="AL29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91" t="str">
        <f>IF(HR_Data[[#This Row],[TotalWorkingYears]]&lt;=5,"Junior",IF(HR_Data[[#This Row],[TotalWorkingYears]]&lt;=15,"Mid-Level","Senior"))</f>
        <v>Junior</v>
      </c>
      <c r="AN291" s="11" t="str">
        <f>IF(HR_Data[[#This Row],[PerformanceRating]]=3,"Standard","Excellent")</f>
        <v>Excellent</v>
      </c>
      <c r="AO291" s="11" t="str">
        <f>IF(HR_Data[[#This Row],[JobSatisfaction]]&lt;=2,"Low","High")</f>
        <v>High</v>
      </c>
      <c r="AP291" s="11" t="str">
        <f>IF(AND(HR_Data[[#This Row],[OverTime]]="Yes",HR_Data[[#This Row],[JobSatisfaction]]&lt;=2,HR_Data[[#This Row],[YearsAtCompany]]&lt;=2),"High Risk","Normal")</f>
        <v>Normal</v>
      </c>
    </row>
    <row r="292" spans="1:42" x14ac:dyDescent="0.25">
      <c r="A292" s="6">
        <v>49</v>
      </c>
      <c r="B292" s="4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s="11" t="str">
        <f>IF(HR_Data[[#This Row],[Age]]&lt;=25,"18-25",IF(HR_Data[[#This Row],[Age]]&lt;=35,"26-35",IF(HR_Data[[#This Row],[Age]]&lt;=45,"36-45",IF(HR_Data[[#This Row],[Age]]&lt;=55,"46-55","56+"))))</f>
        <v>46-55</v>
      </c>
      <c r="AK292" s="11" t="str">
        <f>IF(HR_Data[[#This Row],[MonthlyIncome]]&lt;3000,"Low",IF(HR_Data[[#This Row],[MonthlyIncome]]&lt;6000,"Medium",IF(HR_Data[[#This Row],[MonthlyIncome]]&lt;10000,"High","Very High")))</f>
        <v>Very High</v>
      </c>
      <c r="AL29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92" t="str">
        <f>IF(HR_Data[[#This Row],[TotalWorkingYears]]&lt;=5,"Junior",IF(HR_Data[[#This Row],[TotalWorkingYears]]&lt;=15,"Mid-Level","Senior"))</f>
        <v>Senior</v>
      </c>
      <c r="AN292" s="11" t="str">
        <f>IF(HR_Data[[#This Row],[PerformanceRating]]=3,"Standard","Excellent")</f>
        <v>Standard</v>
      </c>
      <c r="AO292" s="11" t="str">
        <f>IF(HR_Data[[#This Row],[JobSatisfaction]]&lt;=2,"Low","High")</f>
        <v>Low</v>
      </c>
      <c r="AP292" s="11" t="str">
        <f>IF(AND(HR_Data[[#This Row],[OverTime]]="Yes",HR_Data[[#This Row],[JobSatisfaction]]&lt;=2,HR_Data[[#This Row],[YearsAtCompany]]&lt;=2),"High Risk","Normal")</f>
        <v>Normal</v>
      </c>
    </row>
    <row r="293" spans="1:42" x14ac:dyDescent="0.25">
      <c r="A293" s="6">
        <v>36</v>
      </c>
      <c r="B293" s="4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s="11" t="str">
        <f>IF(HR_Data[[#This Row],[Age]]&lt;=25,"18-25",IF(HR_Data[[#This Row],[Age]]&lt;=35,"26-35",IF(HR_Data[[#This Row],[Age]]&lt;=45,"36-45",IF(HR_Data[[#This Row],[Age]]&lt;=55,"46-55","56+"))))</f>
        <v>36-45</v>
      </c>
      <c r="AK293" s="11" t="str">
        <f>IF(HR_Data[[#This Row],[MonthlyIncome]]&lt;3000,"Low",IF(HR_Data[[#This Row],[MonthlyIncome]]&lt;6000,"Medium",IF(HR_Data[[#This Row],[MonthlyIncome]]&lt;10000,"High","Very High")))</f>
        <v>Medium</v>
      </c>
      <c r="AL29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93" t="str">
        <f>IF(HR_Data[[#This Row],[TotalWorkingYears]]&lt;=5,"Junior",IF(HR_Data[[#This Row],[TotalWorkingYears]]&lt;=15,"Mid-Level","Senior"))</f>
        <v>Mid-Level</v>
      </c>
      <c r="AN293" s="11" t="str">
        <f>IF(HR_Data[[#This Row],[PerformanceRating]]=3,"Standard","Excellent")</f>
        <v>Standard</v>
      </c>
      <c r="AO293" s="11" t="str">
        <f>IF(HR_Data[[#This Row],[JobSatisfaction]]&lt;=2,"Low","High")</f>
        <v>Low</v>
      </c>
      <c r="AP293" s="11" t="str">
        <f>IF(AND(HR_Data[[#This Row],[OverTime]]="Yes",HR_Data[[#This Row],[JobSatisfaction]]&lt;=2,HR_Data[[#This Row],[YearsAtCompany]]&lt;=2),"High Risk","Normal")</f>
        <v>Normal</v>
      </c>
    </row>
    <row r="294" spans="1:42" x14ac:dyDescent="0.25">
      <c r="A294" s="6">
        <v>31</v>
      </c>
      <c r="B294" s="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s="11" t="str">
        <f>IF(HR_Data[[#This Row],[Age]]&lt;=25,"18-25",IF(HR_Data[[#This Row],[Age]]&lt;=35,"26-35",IF(HR_Data[[#This Row],[Age]]&lt;=45,"36-45",IF(HR_Data[[#This Row],[Age]]&lt;=55,"46-55","56+"))))</f>
        <v>26-35</v>
      </c>
      <c r="AK294" s="11" t="str">
        <f>IF(HR_Data[[#This Row],[MonthlyIncome]]&lt;3000,"Low",IF(HR_Data[[#This Row],[MonthlyIncome]]&lt;6000,"Medium",IF(HR_Data[[#This Row],[MonthlyIncome]]&lt;10000,"High","Very High")))</f>
        <v>Low</v>
      </c>
      <c r="AL29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94" t="str">
        <f>IF(HR_Data[[#This Row],[TotalWorkingYears]]&lt;=5,"Junior",IF(HR_Data[[#This Row],[TotalWorkingYears]]&lt;=15,"Mid-Level","Senior"))</f>
        <v>Junior</v>
      </c>
      <c r="AN294" s="11" t="str">
        <f>IF(HR_Data[[#This Row],[PerformanceRating]]=3,"Standard","Excellent")</f>
        <v>Standard</v>
      </c>
      <c r="AO294" s="11" t="str">
        <f>IF(HR_Data[[#This Row],[JobSatisfaction]]&lt;=2,"Low","High")</f>
        <v>Low</v>
      </c>
      <c r="AP294" s="11" t="str">
        <f>IF(AND(HR_Data[[#This Row],[OverTime]]="Yes",HR_Data[[#This Row],[JobSatisfaction]]&lt;=2,HR_Data[[#This Row],[YearsAtCompany]]&lt;=2),"High Risk","Normal")</f>
        <v>Normal</v>
      </c>
    </row>
    <row r="295" spans="1:42" x14ac:dyDescent="0.25">
      <c r="A295" s="6">
        <v>26</v>
      </c>
      <c r="B295" s="4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s="11" t="str">
        <f>IF(HR_Data[[#This Row],[Age]]&lt;=25,"18-25",IF(HR_Data[[#This Row],[Age]]&lt;=35,"26-35",IF(HR_Data[[#This Row],[Age]]&lt;=45,"36-45",IF(HR_Data[[#This Row],[Age]]&lt;=55,"46-55","56+"))))</f>
        <v>26-35</v>
      </c>
      <c r="AK295" s="11" t="str">
        <f>IF(HR_Data[[#This Row],[MonthlyIncome]]&lt;3000,"Low",IF(HR_Data[[#This Row],[MonthlyIncome]]&lt;6000,"Medium",IF(HR_Data[[#This Row],[MonthlyIncome]]&lt;10000,"High","Very High")))</f>
        <v>Medium</v>
      </c>
      <c r="AL29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295" t="str">
        <f>IF(HR_Data[[#This Row],[TotalWorkingYears]]&lt;=5,"Junior",IF(HR_Data[[#This Row],[TotalWorkingYears]]&lt;=15,"Mid-Level","Senior"))</f>
        <v>Mid-Level</v>
      </c>
      <c r="AN295" s="11" t="str">
        <f>IF(HR_Data[[#This Row],[PerformanceRating]]=3,"Standard","Excellent")</f>
        <v>Standard</v>
      </c>
      <c r="AO295" s="11" t="str">
        <f>IF(HR_Data[[#This Row],[JobSatisfaction]]&lt;=2,"Low","High")</f>
        <v>High</v>
      </c>
      <c r="AP295" s="11" t="str">
        <f>IF(AND(HR_Data[[#This Row],[OverTime]]="Yes",HR_Data[[#This Row],[JobSatisfaction]]&lt;=2,HR_Data[[#This Row],[YearsAtCompany]]&lt;=2),"High Risk","Normal")</f>
        <v>Normal</v>
      </c>
    </row>
    <row r="296" spans="1:42" x14ac:dyDescent="0.25">
      <c r="A296" s="6">
        <v>37</v>
      </c>
      <c r="B296" s="4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s="11" t="str">
        <f>IF(HR_Data[[#This Row],[Age]]&lt;=25,"18-25",IF(HR_Data[[#This Row],[Age]]&lt;=35,"26-35",IF(HR_Data[[#This Row],[Age]]&lt;=45,"36-45",IF(HR_Data[[#This Row],[Age]]&lt;=55,"46-55","56+"))))</f>
        <v>36-45</v>
      </c>
      <c r="AK296" s="11" t="str">
        <f>IF(HR_Data[[#This Row],[MonthlyIncome]]&lt;3000,"Low",IF(HR_Data[[#This Row],[MonthlyIncome]]&lt;6000,"Medium",IF(HR_Data[[#This Row],[MonthlyIncome]]&lt;10000,"High","Very High")))</f>
        <v>Low</v>
      </c>
      <c r="AL29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296" t="str">
        <f>IF(HR_Data[[#This Row],[TotalWorkingYears]]&lt;=5,"Junior",IF(HR_Data[[#This Row],[TotalWorkingYears]]&lt;=15,"Mid-Level","Senior"))</f>
        <v>Junior</v>
      </c>
      <c r="AN296" s="11" t="str">
        <f>IF(HR_Data[[#This Row],[PerformanceRating]]=3,"Standard","Excellent")</f>
        <v>Standard</v>
      </c>
      <c r="AO296" s="11" t="str">
        <f>IF(HR_Data[[#This Row],[JobSatisfaction]]&lt;=2,"Low","High")</f>
        <v>High</v>
      </c>
      <c r="AP296" s="11" t="str">
        <f>IF(AND(HR_Data[[#This Row],[OverTime]]="Yes",HR_Data[[#This Row],[JobSatisfaction]]&lt;=2,HR_Data[[#This Row],[YearsAtCompany]]&lt;=2),"High Risk","Normal")</f>
        <v>Normal</v>
      </c>
    </row>
    <row r="297" spans="1:42" x14ac:dyDescent="0.25">
      <c r="A297" s="6">
        <v>42</v>
      </c>
      <c r="B297" s="4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s="11" t="str">
        <f>IF(HR_Data[[#This Row],[Age]]&lt;=25,"18-25",IF(HR_Data[[#This Row],[Age]]&lt;=35,"26-35",IF(HR_Data[[#This Row],[Age]]&lt;=45,"36-45",IF(HR_Data[[#This Row],[Age]]&lt;=55,"46-55","56+"))))</f>
        <v>36-45</v>
      </c>
      <c r="AK297" s="11" t="str">
        <f>IF(HR_Data[[#This Row],[MonthlyIncome]]&lt;3000,"Low",IF(HR_Data[[#This Row],[MonthlyIncome]]&lt;6000,"Medium",IF(HR_Data[[#This Row],[MonthlyIncome]]&lt;10000,"High","Very High")))</f>
        <v>Very High</v>
      </c>
      <c r="AL29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297" t="str">
        <f>IF(HR_Data[[#This Row],[TotalWorkingYears]]&lt;=5,"Junior",IF(HR_Data[[#This Row],[TotalWorkingYears]]&lt;=15,"Mid-Level","Senior"))</f>
        <v>Senior</v>
      </c>
      <c r="AN297" s="11" t="str">
        <f>IF(HR_Data[[#This Row],[PerformanceRating]]=3,"Standard","Excellent")</f>
        <v>Standard</v>
      </c>
      <c r="AO297" s="11" t="str">
        <f>IF(HR_Data[[#This Row],[JobSatisfaction]]&lt;=2,"Low","High")</f>
        <v>Low</v>
      </c>
      <c r="AP297" s="11" t="str">
        <f>IF(AND(HR_Data[[#This Row],[OverTime]]="Yes",HR_Data[[#This Row],[JobSatisfaction]]&lt;=2,HR_Data[[#This Row],[YearsAtCompany]]&lt;=2),"High Risk","Normal")</f>
        <v>Normal</v>
      </c>
    </row>
    <row r="298" spans="1:42" x14ac:dyDescent="0.25">
      <c r="A298" s="6">
        <v>18</v>
      </c>
      <c r="B298" s="4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s="11" t="str">
        <f>IF(HR_Data[[#This Row],[Age]]&lt;=25,"18-25",IF(HR_Data[[#This Row],[Age]]&lt;=35,"26-35",IF(HR_Data[[#This Row],[Age]]&lt;=45,"36-45",IF(HR_Data[[#This Row],[Age]]&lt;=55,"46-55","56+"))))</f>
        <v>18-25</v>
      </c>
      <c r="AK298" s="11" t="str">
        <f>IF(HR_Data[[#This Row],[MonthlyIncome]]&lt;3000,"Low",IF(HR_Data[[#This Row],[MonthlyIncome]]&lt;6000,"Medium",IF(HR_Data[[#This Row],[MonthlyIncome]]&lt;10000,"High","Very High")))</f>
        <v>Low</v>
      </c>
      <c r="AL29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298" t="str">
        <f>IF(HR_Data[[#This Row],[TotalWorkingYears]]&lt;=5,"Junior",IF(HR_Data[[#This Row],[TotalWorkingYears]]&lt;=15,"Mid-Level","Senior"))</f>
        <v>Junior</v>
      </c>
      <c r="AN298" s="11" t="str">
        <f>IF(HR_Data[[#This Row],[PerformanceRating]]=3,"Standard","Excellent")</f>
        <v>Standard</v>
      </c>
      <c r="AO298" s="11" t="str">
        <f>IF(HR_Data[[#This Row],[JobSatisfaction]]&lt;=2,"Low","High")</f>
        <v>High</v>
      </c>
      <c r="AP298" s="11" t="str">
        <f>IF(AND(HR_Data[[#This Row],[OverTime]]="Yes",HR_Data[[#This Row],[JobSatisfaction]]&lt;=2,HR_Data[[#This Row],[YearsAtCompany]]&lt;=2),"High Risk","Normal")</f>
        <v>Normal</v>
      </c>
    </row>
    <row r="299" spans="1:42" x14ac:dyDescent="0.25">
      <c r="A299" s="6">
        <v>35</v>
      </c>
      <c r="B299" s="4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s="11" t="str">
        <f>IF(HR_Data[[#This Row],[Age]]&lt;=25,"18-25",IF(HR_Data[[#This Row],[Age]]&lt;=35,"26-35",IF(HR_Data[[#This Row],[Age]]&lt;=45,"36-45",IF(HR_Data[[#This Row],[Age]]&lt;=55,"46-55","56+"))))</f>
        <v>26-35</v>
      </c>
      <c r="AK299" s="11" t="str">
        <f>IF(HR_Data[[#This Row],[MonthlyIncome]]&lt;3000,"Low",IF(HR_Data[[#This Row],[MonthlyIncome]]&lt;6000,"Medium",IF(HR_Data[[#This Row],[MonthlyIncome]]&lt;10000,"High","Very High")))</f>
        <v>High</v>
      </c>
      <c r="AL29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299" t="str">
        <f>IF(HR_Data[[#This Row],[TotalWorkingYears]]&lt;=5,"Junior",IF(HR_Data[[#This Row],[TotalWorkingYears]]&lt;=15,"Mid-Level","Senior"))</f>
        <v>Mid-Level</v>
      </c>
      <c r="AN299" s="11" t="str">
        <f>IF(HR_Data[[#This Row],[PerformanceRating]]=3,"Standard","Excellent")</f>
        <v>Standard</v>
      </c>
      <c r="AO299" s="11" t="str">
        <f>IF(HR_Data[[#This Row],[JobSatisfaction]]&lt;=2,"Low","High")</f>
        <v>Low</v>
      </c>
      <c r="AP299" s="11" t="str">
        <f>IF(AND(HR_Data[[#This Row],[OverTime]]="Yes",HR_Data[[#This Row],[JobSatisfaction]]&lt;=2,HR_Data[[#This Row],[YearsAtCompany]]&lt;=2),"High Risk","Normal")</f>
        <v>Normal</v>
      </c>
    </row>
    <row r="300" spans="1:42" x14ac:dyDescent="0.25">
      <c r="A300" s="6">
        <v>36</v>
      </c>
      <c r="B300" s="4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s="11" t="str">
        <f>IF(HR_Data[[#This Row],[Age]]&lt;=25,"18-25",IF(HR_Data[[#This Row],[Age]]&lt;=35,"26-35",IF(HR_Data[[#This Row],[Age]]&lt;=45,"36-45",IF(HR_Data[[#This Row],[Age]]&lt;=55,"46-55","56+"))))</f>
        <v>36-45</v>
      </c>
      <c r="AK300" s="11" t="str">
        <f>IF(HR_Data[[#This Row],[MonthlyIncome]]&lt;3000,"Low",IF(HR_Data[[#This Row],[MonthlyIncome]]&lt;6000,"Medium",IF(HR_Data[[#This Row],[MonthlyIncome]]&lt;10000,"High","Very High")))</f>
        <v>Medium</v>
      </c>
      <c r="AL30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00" t="str">
        <f>IF(HR_Data[[#This Row],[TotalWorkingYears]]&lt;=5,"Junior",IF(HR_Data[[#This Row],[TotalWorkingYears]]&lt;=15,"Mid-Level","Senior"))</f>
        <v>Junior</v>
      </c>
      <c r="AN300" s="11" t="str">
        <f>IF(HR_Data[[#This Row],[PerformanceRating]]=3,"Standard","Excellent")</f>
        <v>Standard</v>
      </c>
      <c r="AO300" s="11" t="str">
        <f>IF(HR_Data[[#This Row],[JobSatisfaction]]&lt;=2,"Low","High")</f>
        <v>High</v>
      </c>
      <c r="AP300" s="11" t="str">
        <f>IF(AND(HR_Data[[#This Row],[OverTime]]="Yes",HR_Data[[#This Row],[JobSatisfaction]]&lt;=2,HR_Data[[#This Row],[YearsAtCompany]]&lt;=2),"High Risk","Normal")</f>
        <v>Normal</v>
      </c>
    </row>
    <row r="301" spans="1:42" x14ac:dyDescent="0.25">
      <c r="A301" s="6">
        <v>51</v>
      </c>
      <c r="B301" s="4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s="11" t="str">
        <f>IF(HR_Data[[#This Row],[Age]]&lt;=25,"18-25",IF(HR_Data[[#This Row],[Age]]&lt;=35,"26-35",IF(HR_Data[[#This Row],[Age]]&lt;=45,"36-45",IF(HR_Data[[#This Row],[Age]]&lt;=55,"46-55","56+"))))</f>
        <v>46-55</v>
      </c>
      <c r="AK301" s="11" t="str">
        <f>IF(HR_Data[[#This Row],[MonthlyIncome]]&lt;3000,"Low",IF(HR_Data[[#This Row],[MonthlyIncome]]&lt;6000,"Medium",IF(HR_Data[[#This Row],[MonthlyIncome]]&lt;10000,"High","Very High")))</f>
        <v>Medium</v>
      </c>
      <c r="AL30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01" t="str">
        <f>IF(HR_Data[[#This Row],[TotalWorkingYears]]&lt;=5,"Junior",IF(HR_Data[[#This Row],[TotalWorkingYears]]&lt;=15,"Mid-Level","Senior"))</f>
        <v>Mid-Level</v>
      </c>
      <c r="AN301" s="11" t="str">
        <f>IF(HR_Data[[#This Row],[PerformanceRating]]=3,"Standard","Excellent")</f>
        <v>Standard</v>
      </c>
      <c r="AO301" s="11" t="str">
        <f>IF(HR_Data[[#This Row],[JobSatisfaction]]&lt;=2,"Low","High")</f>
        <v>Low</v>
      </c>
      <c r="AP301" s="11" t="str">
        <f>IF(AND(HR_Data[[#This Row],[OverTime]]="Yes",HR_Data[[#This Row],[JobSatisfaction]]&lt;=2,HR_Data[[#This Row],[YearsAtCompany]]&lt;=2),"High Risk","Normal")</f>
        <v>Normal</v>
      </c>
    </row>
    <row r="302" spans="1:42" x14ac:dyDescent="0.25">
      <c r="A302" s="6">
        <v>41</v>
      </c>
      <c r="B302" s="4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s="11" t="str">
        <f>IF(HR_Data[[#This Row],[Age]]&lt;=25,"18-25",IF(HR_Data[[#This Row],[Age]]&lt;=35,"26-35",IF(HR_Data[[#This Row],[Age]]&lt;=45,"36-45",IF(HR_Data[[#This Row],[Age]]&lt;=55,"46-55","56+"))))</f>
        <v>36-45</v>
      </c>
      <c r="AK302" s="11" t="str">
        <f>IF(HR_Data[[#This Row],[MonthlyIncome]]&lt;3000,"Low",IF(HR_Data[[#This Row],[MonthlyIncome]]&lt;6000,"Medium",IF(HR_Data[[#This Row],[MonthlyIncome]]&lt;10000,"High","Very High")))</f>
        <v>Very High</v>
      </c>
      <c r="AL302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302" t="str">
        <f>IF(HR_Data[[#This Row],[TotalWorkingYears]]&lt;=5,"Junior",IF(HR_Data[[#This Row],[TotalWorkingYears]]&lt;=15,"Mid-Level","Senior"))</f>
        <v>Senior</v>
      </c>
      <c r="AN302" s="11" t="str">
        <f>IF(HR_Data[[#This Row],[PerformanceRating]]=3,"Standard","Excellent")</f>
        <v>Standard</v>
      </c>
      <c r="AO302" s="11" t="str">
        <f>IF(HR_Data[[#This Row],[JobSatisfaction]]&lt;=2,"Low","High")</f>
        <v>Low</v>
      </c>
      <c r="AP302" s="11" t="str">
        <f>IF(AND(HR_Data[[#This Row],[OverTime]]="Yes",HR_Data[[#This Row],[JobSatisfaction]]&lt;=2,HR_Data[[#This Row],[YearsAtCompany]]&lt;=2),"High Risk","Normal")</f>
        <v>Normal</v>
      </c>
    </row>
    <row r="303" spans="1:42" x14ac:dyDescent="0.25">
      <c r="A303" s="6">
        <v>18</v>
      </c>
      <c r="B303" s="4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s="11" t="str">
        <f>IF(HR_Data[[#This Row],[Age]]&lt;=25,"18-25",IF(HR_Data[[#This Row],[Age]]&lt;=35,"26-35",IF(HR_Data[[#This Row],[Age]]&lt;=45,"36-45",IF(HR_Data[[#This Row],[Age]]&lt;=55,"46-55","56+"))))</f>
        <v>18-25</v>
      </c>
      <c r="AK303" s="11" t="str">
        <f>IF(HR_Data[[#This Row],[MonthlyIncome]]&lt;3000,"Low",IF(HR_Data[[#This Row],[MonthlyIncome]]&lt;6000,"Medium",IF(HR_Data[[#This Row],[MonthlyIncome]]&lt;10000,"High","Very High")))</f>
        <v>Low</v>
      </c>
      <c r="AL30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03" t="str">
        <f>IF(HR_Data[[#This Row],[TotalWorkingYears]]&lt;=5,"Junior",IF(HR_Data[[#This Row],[TotalWorkingYears]]&lt;=15,"Mid-Level","Senior"))</f>
        <v>Junior</v>
      </c>
      <c r="AN303" s="11" t="str">
        <f>IF(HR_Data[[#This Row],[PerformanceRating]]=3,"Standard","Excellent")</f>
        <v>Standard</v>
      </c>
      <c r="AO303" s="11" t="str">
        <f>IF(HR_Data[[#This Row],[JobSatisfaction]]&lt;=2,"Low","High")</f>
        <v>High</v>
      </c>
      <c r="AP303" s="11" t="str">
        <f>IF(AND(HR_Data[[#This Row],[OverTime]]="Yes",HR_Data[[#This Row],[JobSatisfaction]]&lt;=2,HR_Data[[#This Row],[YearsAtCompany]]&lt;=2),"High Risk","Normal")</f>
        <v>Normal</v>
      </c>
    </row>
    <row r="304" spans="1:42" x14ac:dyDescent="0.25">
      <c r="A304" s="6">
        <v>28</v>
      </c>
      <c r="B304" s="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s="11" t="str">
        <f>IF(HR_Data[[#This Row],[Age]]&lt;=25,"18-25",IF(HR_Data[[#This Row],[Age]]&lt;=35,"26-35",IF(HR_Data[[#This Row],[Age]]&lt;=45,"36-45",IF(HR_Data[[#This Row],[Age]]&lt;=55,"46-55","56+"))))</f>
        <v>26-35</v>
      </c>
      <c r="AK304" s="11" t="str">
        <f>IF(HR_Data[[#This Row],[MonthlyIncome]]&lt;3000,"Low",IF(HR_Data[[#This Row],[MonthlyIncome]]&lt;6000,"Medium",IF(HR_Data[[#This Row],[MonthlyIncome]]&lt;10000,"High","Very High")))</f>
        <v>Medium</v>
      </c>
      <c r="AL30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04" t="str">
        <f>IF(HR_Data[[#This Row],[TotalWorkingYears]]&lt;=5,"Junior",IF(HR_Data[[#This Row],[TotalWorkingYears]]&lt;=15,"Mid-Level","Senior"))</f>
        <v>Mid-Level</v>
      </c>
      <c r="AN304" s="11" t="str">
        <f>IF(HR_Data[[#This Row],[PerformanceRating]]=3,"Standard","Excellent")</f>
        <v>Standard</v>
      </c>
      <c r="AO304" s="11" t="str">
        <f>IF(HR_Data[[#This Row],[JobSatisfaction]]&lt;=2,"Low","High")</f>
        <v>Low</v>
      </c>
      <c r="AP304" s="11" t="str">
        <f>IF(AND(HR_Data[[#This Row],[OverTime]]="Yes",HR_Data[[#This Row],[JobSatisfaction]]&lt;=2,HR_Data[[#This Row],[YearsAtCompany]]&lt;=2),"High Risk","Normal")</f>
        <v>Normal</v>
      </c>
    </row>
    <row r="305" spans="1:42" x14ac:dyDescent="0.25">
      <c r="A305" s="6">
        <v>31</v>
      </c>
      <c r="B305" s="4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s="11" t="str">
        <f>IF(HR_Data[[#This Row],[Age]]&lt;=25,"18-25",IF(HR_Data[[#This Row],[Age]]&lt;=35,"26-35",IF(HR_Data[[#This Row],[Age]]&lt;=45,"36-45",IF(HR_Data[[#This Row],[Age]]&lt;=55,"46-55","56+"))))</f>
        <v>26-35</v>
      </c>
      <c r="AK305" s="11" t="str">
        <f>IF(HR_Data[[#This Row],[MonthlyIncome]]&lt;3000,"Low",IF(HR_Data[[#This Row],[MonthlyIncome]]&lt;6000,"Medium",IF(HR_Data[[#This Row],[MonthlyIncome]]&lt;10000,"High","Very High")))</f>
        <v>High</v>
      </c>
      <c r="AL30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05" t="str">
        <f>IF(HR_Data[[#This Row],[TotalWorkingYears]]&lt;=5,"Junior",IF(HR_Data[[#This Row],[TotalWorkingYears]]&lt;=15,"Mid-Level","Senior"))</f>
        <v>Mid-Level</v>
      </c>
      <c r="AN305" s="11" t="str">
        <f>IF(HR_Data[[#This Row],[PerformanceRating]]=3,"Standard","Excellent")</f>
        <v>Standard</v>
      </c>
      <c r="AO305" s="11" t="str">
        <f>IF(HR_Data[[#This Row],[JobSatisfaction]]&lt;=2,"Low","High")</f>
        <v>High</v>
      </c>
      <c r="AP305" s="11" t="str">
        <f>IF(AND(HR_Data[[#This Row],[OverTime]]="Yes",HR_Data[[#This Row],[JobSatisfaction]]&lt;=2,HR_Data[[#This Row],[YearsAtCompany]]&lt;=2),"High Risk","Normal")</f>
        <v>Normal</v>
      </c>
    </row>
    <row r="306" spans="1:42" x14ac:dyDescent="0.25">
      <c r="A306" s="6">
        <v>39</v>
      </c>
      <c r="B306" s="4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s="11" t="str">
        <f>IF(HR_Data[[#This Row],[Age]]&lt;=25,"18-25",IF(HR_Data[[#This Row],[Age]]&lt;=35,"26-35",IF(HR_Data[[#This Row],[Age]]&lt;=45,"36-45",IF(HR_Data[[#This Row],[Age]]&lt;=55,"46-55","56+"))))</f>
        <v>36-45</v>
      </c>
      <c r="AK306" s="11" t="str">
        <f>IF(HR_Data[[#This Row],[MonthlyIncome]]&lt;3000,"Low",IF(HR_Data[[#This Row],[MonthlyIncome]]&lt;6000,"Medium",IF(HR_Data[[#This Row],[MonthlyIncome]]&lt;10000,"High","Very High")))</f>
        <v>High</v>
      </c>
      <c r="AL30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306" t="str">
        <f>IF(HR_Data[[#This Row],[TotalWorkingYears]]&lt;=5,"Junior",IF(HR_Data[[#This Row],[TotalWorkingYears]]&lt;=15,"Mid-Level","Senior"))</f>
        <v>Senior</v>
      </c>
      <c r="AN306" s="11" t="str">
        <f>IF(HR_Data[[#This Row],[PerformanceRating]]=3,"Standard","Excellent")</f>
        <v>Standard</v>
      </c>
      <c r="AO306" s="11" t="str">
        <f>IF(HR_Data[[#This Row],[JobSatisfaction]]&lt;=2,"Low","High")</f>
        <v>High</v>
      </c>
      <c r="AP306" s="11" t="str">
        <f>IF(AND(HR_Data[[#This Row],[OverTime]]="Yes",HR_Data[[#This Row],[JobSatisfaction]]&lt;=2,HR_Data[[#This Row],[YearsAtCompany]]&lt;=2),"High Risk","Normal")</f>
        <v>Normal</v>
      </c>
    </row>
    <row r="307" spans="1:42" x14ac:dyDescent="0.25">
      <c r="A307" s="6">
        <v>36</v>
      </c>
      <c r="B307" s="4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s="11" t="str">
        <f>IF(HR_Data[[#This Row],[Age]]&lt;=25,"18-25",IF(HR_Data[[#This Row],[Age]]&lt;=35,"26-35",IF(HR_Data[[#This Row],[Age]]&lt;=45,"36-45",IF(HR_Data[[#This Row],[Age]]&lt;=55,"46-55","56+"))))</f>
        <v>36-45</v>
      </c>
      <c r="AK307" s="11" t="str">
        <f>IF(HR_Data[[#This Row],[MonthlyIncome]]&lt;3000,"Low",IF(HR_Data[[#This Row],[MonthlyIncome]]&lt;6000,"Medium",IF(HR_Data[[#This Row],[MonthlyIncome]]&lt;10000,"High","Very High")))</f>
        <v>Medium</v>
      </c>
      <c r="AL30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07" t="str">
        <f>IF(HR_Data[[#This Row],[TotalWorkingYears]]&lt;=5,"Junior",IF(HR_Data[[#This Row],[TotalWorkingYears]]&lt;=15,"Mid-Level","Senior"))</f>
        <v>Mid-Level</v>
      </c>
      <c r="AN307" s="11" t="str">
        <f>IF(HR_Data[[#This Row],[PerformanceRating]]=3,"Standard","Excellent")</f>
        <v>Standard</v>
      </c>
      <c r="AO307" s="11" t="str">
        <f>IF(HR_Data[[#This Row],[JobSatisfaction]]&lt;=2,"Low","High")</f>
        <v>Low</v>
      </c>
      <c r="AP307" s="11" t="str">
        <f>IF(AND(HR_Data[[#This Row],[OverTime]]="Yes",HR_Data[[#This Row],[JobSatisfaction]]&lt;=2,HR_Data[[#This Row],[YearsAtCompany]]&lt;=2),"High Risk","Normal")</f>
        <v>Normal</v>
      </c>
    </row>
    <row r="308" spans="1:42" x14ac:dyDescent="0.25">
      <c r="A308" s="6">
        <v>32</v>
      </c>
      <c r="B308" s="4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s="11" t="str">
        <f>IF(HR_Data[[#This Row],[Age]]&lt;=25,"18-25",IF(HR_Data[[#This Row],[Age]]&lt;=35,"26-35",IF(HR_Data[[#This Row],[Age]]&lt;=45,"36-45",IF(HR_Data[[#This Row],[Age]]&lt;=55,"46-55","56+"))))</f>
        <v>26-35</v>
      </c>
      <c r="AK308" s="11" t="str">
        <f>IF(HR_Data[[#This Row],[MonthlyIncome]]&lt;3000,"Low",IF(HR_Data[[#This Row],[MonthlyIncome]]&lt;6000,"Medium",IF(HR_Data[[#This Row],[MonthlyIncome]]&lt;10000,"High","Very High")))</f>
        <v>Medium</v>
      </c>
      <c r="AL30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308" t="str">
        <f>IF(HR_Data[[#This Row],[TotalWorkingYears]]&lt;=5,"Junior",IF(HR_Data[[#This Row],[TotalWorkingYears]]&lt;=15,"Mid-Level","Senior"))</f>
        <v>Mid-Level</v>
      </c>
      <c r="AN308" s="11" t="str">
        <f>IF(HR_Data[[#This Row],[PerformanceRating]]=3,"Standard","Excellent")</f>
        <v>Standard</v>
      </c>
      <c r="AO308" s="11" t="str">
        <f>IF(HR_Data[[#This Row],[JobSatisfaction]]&lt;=2,"Low","High")</f>
        <v>High</v>
      </c>
      <c r="AP308" s="11" t="str">
        <f>IF(AND(HR_Data[[#This Row],[OverTime]]="Yes",HR_Data[[#This Row],[JobSatisfaction]]&lt;=2,HR_Data[[#This Row],[YearsAtCompany]]&lt;=2),"High Risk","Normal")</f>
        <v>Normal</v>
      </c>
    </row>
    <row r="309" spans="1:42" x14ac:dyDescent="0.25">
      <c r="A309" s="6">
        <v>38</v>
      </c>
      <c r="B309" s="4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s="11" t="str">
        <f>IF(HR_Data[[#This Row],[Age]]&lt;=25,"18-25",IF(HR_Data[[#This Row],[Age]]&lt;=35,"26-35",IF(HR_Data[[#This Row],[Age]]&lt;=45,"36-45",IF(HR_Data[[#This Row],[Age]]&lt;=55,"46-55","56+"))))</f>
        <v>36-45</v>
      </c>
      <c r="AK309" s="11" t="str">
        <f>IF(HR_Data[[#This Row],[MonthlyIncome]]&lt;3000,"Low",IF(HR_Data[[#This Row],[MonthlyIncome]]&lt;6000,"Medium",IF(HR_Data[[#This Row],[MonthlyIncome]]&lt;10000,"High","Very High")))</f>
        <v>Very High</v>
      </c>
      <c r="AL30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09" t="str">
        <f>IF(HR_Data[[#This Row],[TotalWorkingYears]]&lt;=5,"Junior",IF(HR_Data[[#This Row],[TotalWorkingYears]]&lt;=15,"Mid-Level","Senior"))</f>
        <v>Senior</v>
      </c>
      <c r="AN309" s="11" t="str">
        <f>IF(HR_Data[[#This Row],[PerformanceRating]]=3,"Standard","Excellent")</f>
        <v>Standard</v>
      </c>
      <c r="AO309" s="11" t="str">
        <f>IF(HR_Data[[#This Row],[JobSatisfaction]]&lt;=2,"Low","High")</f>
        <v>Low</v>
      </c>
      <c r="AP309" s="11" t="str">
        <f>IF(AND(HR_Data[[#This Row],[OverTime]]="Yes",HR_Data[[#This Row],[JobSatisfaction]]&lt;=2,HR_Data[[#This Row],[YearsAtCompany]]&lt;=2),"High Risk","Normal")</f>
        <v>Normal</v>
      </c>
    </row>
    <row r="310" spans="1:42" x14ac:dyDescent="0.25">
      <c r="A310" s="6">
        <v>58</v>
      </c>
      <c r="B310" s="4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s="11" t="str">
        <f>IF(HR_Data[[#This Row],[Age]]&lt;=25,"18-25",IF(HR_Data[[#This Row],[Age]]&lt;=35,"26-35",IF(HR_Data[[#This Row],[Age]]&lt;=45,"36-45",IF(HR_Data[[#This Row],[Age]]&lt;=55,"46-55","56+"))))</f>
        <v>56+</v>
      </c>
      <c r="AK310" s="11" t="str">
        <f>IF(HR_Data[[#This Row],[MonthlyIncome]]&lt;3000,"Low",IF(HR_Data[[#This Row],[MonthlyIncome]]&lt;6000,"Medium",IF(HR_Data[[#This Row],[MonthlyIncome]]&lt;10000,"High","Very High")))</f>
        <v>Medium</v>
      </c>
      <c r="AL31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10" t="str">
        <f>IF(HR_Data[[#This Row],[TotalWorkingYears]]&lt;=5,"Junior",IF(HR_Data[[#This Row],[TotalWorkingYears]]&lt;=15,"Mid-Level","Senior"))</f>
        <v>Mid-Level</v>
      </c>
      <c r="AN310" s="11" t="str">
        <f>IF(HR_Data[[#This Row],[PerformanceRating]]=3,"Standard","Excellent")</f>
        <v>Standard</v>
      </c>
      <c r="AO310" s="11" t="str">
        <f>IF(HR_Data[[#This Row],[JobSatisfaction]]&lt;=2,"Low","High")</f>
        <v>High</v>
      </c>
      <c r="AP310" s="11" t="str">
        <f>IF(AND(HR_Data[[#This Row],[OverTime]]="Yes",HR_Data[[#This Row],[JobSatisfaction]]&lt;=2,HR_Data[[#This Row],[YearsAtCompany]]&lt;=2),"High Risk","Normal")</f>
        <v>Normal</v>
      </c>
    </row>
    <row r="311" spans="1:42" x14ac:dyDescent="0.25">
      <c r="A311" s="6">
        <v>31</v>
      </c>
      <c r="B311" s="4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s="11" t="str">
        <f>IF(HR_Data[[#This Row],[Age]]&lt;=25,"18-25",IF(HR_Data[[#This Row],[Age]]&lt;=35,"26-35",IF(HR_Data[[#This Row],[Age]]&lt;=45,"36-45",IF(HR_Data[[#This Row],[Age]]&lt;=55,"46-55","56+"))))</f>
        <v>26-35</v>
      </c>
      <c r="AK311" s="11" t="str">
        <f>IF(HR_Data[[#This Row],[MonthlyIncome]]&lt;3000,"Low",IF(HR_Data[[#This Row],[MonthlyIncome]]&lt;6000,"Medium",IF(HR_Data[[#This Row],[MonthlyIncome]]&lt;10000,"High","Very High")))</f>
        <v>Medium</v>
      </c>
      <c r="AL31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11" t="str">
        <f>IF(HR_Data[[#This Row],[TotalWorkingYears]]&lt;=5,"Junior",IF(HR_Data[[#This Row],[TotalWorkingYears]]&lt;=15,"Mid-Level","Senior"))</f>
        <v>Mid-Level</v>
      </c>
      <c r="AN311" s="11" t="str">
        <f>IF(HR_Data[[#This Row],[PerformanceRating]]=3,"Standard","Excellent")</f>
        <v>Standard</v>
      </c>
      <c r="AO311" s="11" t="str">
        <f>IF(HR_Data[[#This Row],[JobSatisfaction]]&lt;=2,"Low","High")</f>
        <v>High</v>
      </c>
      <c r="AP311" s="11" t="str">
        <f>IF(AND(HR_Data[[#This Row],[OverTime]]="Yes",HR_Data[[#This Row],[JobSatisfaction]]&lt;=2,HR_Data[[#This Row],[YearsAtCompany]]&lt;=2),"High Risk","Normal")</f>
        <v>Normal</v>
      </c>
    </row>
    <row r="312" spans="1:42" x14ac:dyDescent="0.25">
      <c r="A312" s="6">
        <v>31</v>
      </c>
      <c r="B312" s="4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s="11" t="str">
        <f>IF(HR_Data[[#This Row],[Age]]&lt;=25,"18-25",IF(HR_Data[[#This Row],[Age]]&lt;=35,"26-35",IF(HR_Data[[#This Row],[Age]]&lt;=45,"36-45",IF(HR_Data[[#This Row],[Age]]&lt;=55,"46-55","56+"))))</f>
        <v>26-35</v>
      </c>
      <c r="AK312" s="11" t="str">
        <f>IF(HR_Data[[#This Row],[MonthlyIncome]]&lt;3000,"Low",IF(HR_Data[[#This Row],[MonthlyIncome]]&lt;6000,"Medium",IF(HR_Data[[#This Row],[MonthlyIncome]]&lt;10000,"High","Very High")))</f>
        <v>High</v>
      </c>
      <c r="AL31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12" t="str">
        <f>IF(HR_Data[[#This Row],[TotalWorkingYears]]&lt;=5,"Junior",IF(HR_Data[[#This Row],[TotalWorkingYears]]&lt;=15,"Mid-Level","Senior"))</f>
        <v>Mid-Level</v>
      </c>
      <c r="AN312" s="11" t="str">
        <f>IF(HR_Data[[#This Row],[PerformanceRating]]=3,"Standard","Excellent")</f>
        <v>Standard</v>
      </c>
      <c r="AO312" s="11" t="str">
        <f>IF(HR_Data[[#This Row],[JobSatisfaction]]&lt;=2,"Low","High")</f>
        <v>Low</v>
      </c>
      <c r="AP312" s="11" t="str">
        <f>IF(AND(HR_Data[[#This Row],[OverTime]]="Yes",HR_Data[[#This Row],[JobSatisfaction]]&lt;=2,HR_Data[[#This Row],[YearsAtCompany]]&lt;=2),"High Risk","Normal")</f>
        <v>Normal</v>
      </c>
    </row>
    <row r="313" spans="1:42" x14ac:dyDescent="0.25">
      <c r="A313" s="6">
        <v>45</v>
      </c>
      <c r="B313" s="4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s="11" t="str">
        <f>IF(HR_Data[[#This Row],[Age]]&lt;=25,"18-25",IF(HR_Data[[#This Row],[Age]]&lt;=35,"26-35",IF(HR_Data[[#This Row],[Age]]&lt;=45,"36-45",IF(HR_Data[[#This Row],[Age]]&lt;=55,"46-55","56+"))))</f>
        <v>36-45</v>
      </c>
      <c r="AK313" s="11" t="str">
        <f>IF(HR_Data[[#This Row],[MonthlyIncome]]&lt;3000,"Low",IF(HR_Data[[#This Row],[MonthlyIncome]]&lt;6000,"Medium",IF(HR_Data[[#This Row],[MonthlyIncome]]&lt;10000,"High","Very High")))</f>
        <v>Medium</v>
      </c>
      <c r="AL31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313" t="str">
        <f>IF(HR_Data[[#This Row],[TotalWorkingYears]]&lt;=5,"Junior",IF(HR_Data[[#This Row],[TotalWorkingYears]]&lt;=15,"Mid-Level","Senior"))</f>
        <v>Senior</v>
      </c>
      <c r="AN313" s="11" t="str">
        <f>IF(HR_Data[[#This Row],[PerformanceRating]]=3,"Standard","Excellent")</f>
        <v>Standard</v>
      </c>
      <c r="AO313" s="11" t="str">
        <f>IF(HR_Data[[#This Row],[JobSatisfaction]]&lt;=2,"Low","High")</f>
        <v>Low</v>
      </c>
      <c r="AP313" s="11" t="str">
        <f>IF(AND(HR_Data[[#This Row],[OverTime]]="Yes",HR_Data[[#This Row],[JobSatisfaction]]&lt;=2,HR_Data[[#This Row],[YearsAtCompany]]&lt;=2),"High Risk","Normal")</f>
        <v>Normal</v>
      </c>
    </row>
    <row r="314" spans="1:42" x14ac:dyDescent="0.25">
      <c r="A314" s="6">
        <v>31</v>
      </c>
      <c r="B314" s="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s="11" t="str">
        <f>IF(HR_Data[[#This Row],[Age]]&lt;=25,"18-25",IF(HR_Data[[#This Row],[Age]]&lt;=35,"26-35",IF(HR_Data[[#This Row],[Age]]&lt;=45,"36-45",IF(HR_Data[[#This Row],[Age]]&lt;=55,"46-55","56+"))))</f>
        <v>26-35</v>
      </c>
      <c r="AK314" s="11" t="str">
        <f>IF(HR_Data[[#This Row],[MonthlyIncome]]&lt;3000,"Low",IF(HR_Data[[#This Row],[MonthlyIncome]]&lt;6000,"Medium",IF(HR_Data[[#This Row],[MonthlyIncome]]&lt;10000,"High","Very High")))</f>
        <v>Low</v>
      </c>
      <c r="AL31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14" t="str">
        <f>IF(HR_Data[[#This Row],[TotalWorkingYears]]&lt;=5,"Junior",IF(HR_Data[[#This Row],[TotalWorkingYears]]&lt;=15,"Mid-Level","Senior"))</f>
        <v>Junior</v>
      </c>
      <c r="AN314" s="11" t="str">
        <f>IF(HR_Data[[#This Row],[PerformanceRating]]=3,"Standard","Excellent")</f>
        <v>Standard</v>
      </c>
      <c r="AO314" s="11" t="str">
        <f>IF(HR_Data[[#This Row],[JobSatisfaction]]&lt;=2,"Low","High")</f>
        <v>High</v>
      </c>
      <c r="AP314" s="11" t="str">
        <f>IF(AND(HR_Data[[#This Row],[OverTime]]="Yes",HR_Data[[#This Row],[JobSatisfaction]]&lt;=2,HR_Data[[#This Row],[YearsAtCompany]]&lt;=2),"High Risk","Normal")</f>
        <v>Normal</v>
      </c>
    </row>
    <row r="315" spans="1:42" x14ac:dyDescent="0.25">
      <c r="A315" s="6">
        <v>33</v>
      </c>
      <c r="B315" s="4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s="11" t="str">
        <f>IF(HR_Data[[#This Row],[Age]]&lt;=25,"18-25",IF(HR_Data[[#This Row],[Age]]&lt;=35,"26-35",IF(HR_Data[[#This Row],[Age]]&lt;=45,"36-45",IF(HR_Data[[#This Row],[Age]]&lt;=55,"46-55","56+"))))</f>
        <v>26-35</v>
      </c>
      <c r="AK315" s="11" t="str">
        <f>IF(HR_Data[[#This Row],[MonthlyIncome]]&lt;3000,"Low",IF(HR_Data[[#This Row],[MonthlyIncome]]&lt;6000,"Medium",IF(HR_Data[[#This Row],[MonthlyIncome]]&lt;10000,"High","Very High")))</f>
        <v>Very High</v>
      </c>
      <c r="AL31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15" t="str">
        <f>IF(HR_Data[[#This Row],[TotalWorkingYears]]&lt;=5,"Junior",IF(HR_Data[[#This Row],[TotalWorkingYears]]&lt;=15,"Mid-Level","Senior"))</f>
        <v>Mid-Level</v>
      </c>
      <c r="AN315" s="11" t="str">
        <f>IF(HR_Data[[#This Row],[PerformanceRating]]=3,"Standard","Excellent")</f>
        <v>Standard</v>
      </c>
      <c r="AO315" s="11" t="str">
        <f>IF(HR_Data[[#This Row],[JobSatisfaction]]&lt;=2,"Low","High")</f>
        <v>Low</v>
      </c>
      <c r="AP315" s="11" t="str">
        <f>IF(AND(HR_Data[[#This Row],[OverTime]]="Yes",HR_Data[[#This Row],[JobSatisfaction]]&lt;=2,HR_Data[[#This Row],[YearsAtCompany]]&lt;=2),"High Risk","Normal")</f>
        <v>Normal</v>
      </c>
    </row>
    <row r="316" spans="1:42" x14ac:dyDescent="0.25">
      <c r="A316" s="6">
        <v>39</v>
      </c>
      <c r="B316" s="4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s="11" t="str">
        <f>IF(HR_Data[[#This Row],[Age]]&lt;=25,"18-25",IF(HR_Data[[#This Row],[Age]]&lt;=35,"26-35",IF(HR_Data[[#This Row],[Age]]&lt;=45,"36-45",IF(HR_Data[[#This Row],[Age]]&lt;=55,"46-55","56+"))))</f>
        <v>36-45</v>
      </c>
      <c r="AK316" s="11" t="str">
        <f>IF(HR_Data[[#This Row],[MonthlyIncome]]&lt;3000,"Low",IF(HR_Data[[#This Row],[MonthlyIncome]]&lt;6000,"Medium",IF(HR_Data[[#This Row],[MonthlyIncome]]&lt;10000,"High","Very High")))</f>
        <v>Very High</v>
      </c>
      <c r="AL31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316" t="str">
        <f>IF(HR_Data[[#This Row],[TotalWorkingYears]]&lt;=5,"Junior",IF(HR_Data[[#This Row],[TotalWorkingYears]]&lt;=15,"Mid-Level","Senior"))</f>
        <v>Senior</v>
      </c>
      <c r="AN316" s="11" t="str">
        <f>IF(HR_Data[[#This Row],[PerformanceRating]]=3,"Standard","Excellent")</f>
        <v>Standard</v>
      </c>
      <c r="AO316" s="11" t="str">
        <f>IF(HR_Data[[#This Row],[JobSatisfaction]]&lt;=2,"Low","High")</f>
        <v>Low</v>
      </c>
      <c r="AP316" s="11" t="str">
        <f>IF(AND(HR_Data[[#This Row],[OverTime]]="Yes",HR_Data[[#This Row],[JobSatisfaction]]&lt;=2,HR_Data[[#This Row],[YearsAtCompany]]&lt;=2),"High Risk","Normal")</f>
        <v>Normal</v>
      </c>
    </row>
    <row r="317" spans="1:42" x14ac:dyDescent="0.25">
      <c r="A317" s="6">
        <v>43</v>
      </c>
      <c r="B317" s="4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s="11" t="str">
        <f>IF(HR_Data[[#This Row],[Age]]&lt;=25,"18-25",IF(HR_Data[[#This Row],[Age]]&lt;=35,"26-35",IF(HR_Data[[#This Row],[Age]]&lt;=45,"36-45",IF(HR_Data[[#This Row],[Age]]&lt;=55,"46-55","56+"))))</f>
        <v>36-45</v>
      </c>
      <c r="AK317" s="11" t="str">
        <f>IF(HR_Data[[#This Row],[MonthlyIncome]]&lt;3000,"Low",IF(HR_Data[[#This Row],[MonthlyIncome]]&lt;6000,"Medium",IF(HR_Data[[#This Row],[MonthlyIncome]]&lt;10000,"High","Very High")))</f>
        <v>Low</v>
      </c>
      <c r="AL31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17" t="str">
        <f>IF(HR_Data[[#This Row],[TotalWorkingYears]]&lt;=5,"Junior",IF(HR_Data[[#This Row],[TotalWorkingYears]]&lt;=15,"Mid-Level","Senior"))</f>
        <v>Mid-Level</v>
      </c>
      <c r="AN317" s="11" t="str">
        <f>IF(HR_Data[[#This Row],[PerformanceRating]]=3,"Standard","Excellent")</f>
        <v>Standard</v>
      </c>
      <c r="AO317" s="11" t="str">
        <f>IF(HR_Data[[#This Row],[JobSatisfaction]]&lt;=2,"Low","High")</f>
        <v>High</v>
      </c>
      <c r="AP317" s="11" t="str">
        <f>IF(AND(HR_Data[[#This Row],[OverTime]]="Yes",HR_Data[[#This Row],[JobSatisfaction]]&lt;=2,HR_Data[[#This Row],[YearsAtCompany]]&lt;=2),"High Risk","Normal")</f>
        <v>Normal</v>
      </c>
    </row>
    <row r="318" spans="1:42" x14ac:dyDescent="0.25">
      <c r="A318" s="6">
        <v>49</v>
      </c>
      <c r="B318" s="4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s="11" t="str">
        <f>IF(HR_Data[[#This Row],[Age]]&lt;=25,"18-25",IF(HR_Data[[#This Row],[Age]]&lt;=35,"26-35",IF(HR_Data[[#This Row],[Age]]&lt;=45,"36-45",IF(HR_Data[[#This Row],[Age]]&lt;=55,"46-55","56+"))))</f>
        <v>46-55</v>
      </c>
      <c r="AK318" s="11" t="str">
        <f>IF(HR_Data[[#This Row],[MonthlyIncome]]&lt;3000,"Low",IF(HR_Data[[#This Row],[MonthlyIncome]]&lt;6000,"Medium",IF(HR_Data[[#This Row],[MonthlyIncome]]&lt;10000,"High","Very High")))</f>
        <v>Very High</v>
      </c>
      <c r="AL31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18" t="str">
        <f>IF(HR_Data[[#This Row],[TotalWorkingYears]]&lt;=5,"Junior",IF(HR_Data[[#This Row],[TotalWorkingYears]]&lt;=15,"Mid-Level","Senior"))</f>
        <v>Senior</v>
      </c>
      <c r="AN318" s="11" t="str">
        <f>IF(HR_Data[[#This Row],[PerformanceRating]]=3,"Standard","Excellent")</f>
        <v>Standard</v>
      </c>
      <c r="AO318" s="11" t="str">
        <f>IF(HR_Data[[#This Row],[JobSatisfaction]]&lt;=2,"Low","High")</f>
        <v>High</v>
      </c>
      <c r="AP318" s="11" t="str">
        <f>IF(AND(HR_Data[[#This Row],[OverTime]]="Yes",HR_Data[[#This Row],[JobSatisfaction]]&lt;=2,HR_Data[[#This Row],[YearsAtCompany]]&lt;=2),"High Risk","Normal")</f>
        <v>Normal</v>
      </c>
    </row>
    <row r="319" spans="1:42" x14ac:dyDescent="0.25">
      <c r="A319" s="6">
        <v>52</v>
      </c>
      <c r="B319" s="4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s="11" t="str">
        <f>IF(HR_Data[[#This Row],[Age]]&lt;=25,"18-25",IF(HR_Data[[#This Row],[Age]]&lt;=35,"26-35",IF(HR_Data[[#This Row],[Age]]&lt;=45,"36-45",IF(HR_Data[[#This Row],[Age]]&lt;=55,"46-55","56+"))))</f>
        <v>46-55</v>
      </c>
      <c r="AK319" s="11" t="str">
        <f>IF(HR_Data[[#This Row],[MonthlyIncome]]&lt;3000,"Low",IF(HR_Data[[#This Row],[MonthlyIncome]]&lt;6000,"Medium",IF(HR_Data[[#This Row],[MonthlyIncome]]&lt;10000,"High","Very High")))</f>
        <v>Medium</v>
      </c>
      <c r="AL31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19" t="str">
        <f>IF(HR_Data[[#This Row],[TotalWorkingYears]]&lt;=5,"Junior",IF(HR_Data[[#This Row],[TotalWorkingYears]]&lt;=15,"Mid-Level","Senior"))</f>
        <v>Mid-Level</v>
      </c>
      <c r="AN319" s="11" t="str">
        <f>IF(HR_Data[[#This Row],[PerformanceRating]]=3,"Standard","Excellent")</f>
        <v>Standard</v>
      </c>
      <c r="AO319" s="11" t="str">
        <f>IF(HR_Data[[#This Row],[JobSatisfaction]]&lt;=2,"Low","High")</f>
        <v>Low</v>
      </c>
      <c r="AP319" s="11" t="str">
        <f>IF(AND(HR_Data[[#This Row],[OverTime]]="Yes",HR_Data[[#This Row],[JobSatisfaction]]&lt;=2,HR_Data[[#This Row],[YearsAtCompany]]&lt;=2),"High Risk","Normal")</f>
        <v>Normal</v>
      </c>
    </row>
    <row r="320" spans="1:42" x14ac:dyDescent="0.25">
      <c r="A320" s="6">
        <v>27</v>
      </c>
      <c r="B320" s="4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s="11" t="str">
        <f>IF(HR_Data[[#This Row],[Age]]&lt;=25,"18-25",IF(HR_Data[[#This Row],[Age]]&lt;=35,"26-35",IF(HR_Data[[#This Row],[Age]]&lt;=45,"36-45",IF(HR_Data[[#This Row],[Age]]&lt;=55,"46-55","56+"))))</f>
        <v>26-35</v>
      </c>
      <c r="AK320" s="11" t="str">
        <f>IF(HR_Data[[#This Row],[MonthlyIncome]]&lt;3000,"Low",IF(HR_Data[[#This Row],[MonthlyIncome]]&lt;6000,"Medium",IF(HR_Data[[#This Row],[MonthlyIncome]]&lt;10000,"High","Very High")))</f>
        <v>Low</v>
      </c>
      <c r="AL32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20" t="str">
        <f>IF(HR_Data[[#This Row],[TotalWorkingYears]]&lt;=5,"Junior",IF(HR_Data[[#This Row],[TotalWorkingYears]]&lt;=15,"Mid-Level","Senior"))</f>
        <v>Junior</v>
      </c>
      <c r="AN320" s="11" t="str">
        <f>IF(HR_Data[[#This Row],[PerformanceRating]]=3,"Standard","Excellent")</f>
        <v>Standard</v>
      </c>
      <c r="AO320" s="11" t="str">
        <f>IF(HR_Data[[#This Row],[JobSatisfaction]]&lt;=2,"Low","High")</f>
        <v>Low</v>
      </c>
      <c r="AP320" s="11" t="str">
        <f>IF(AND(HR_Data[[#This Row],[OverTime]]="Yes",HR_Data[[#This Row],[JobSatisfaction]]&lt;=2,HR_Data[[#This Row],[YearsAtCompany]]&lt;=2),"High Risk","Normal")</f>
        <v>Normal</v>
      </c>
    </row>
    <row r="321" spans="1:42" x14ac:dyDescent="0.25">
      <c r="A321" s="6">
        <v>32</v>
      </c>
      <c r="B321" s="4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s="11" t="str">
        <f>IF(HR_Data[[#This Row],[Age]]&lt;=25,"18-25",IF(HR_Data[[#This Row],[Age]]&lt;=35,"26-35",IF(HR_Data[[#This Row],[Age]]&lt;=45,"36-45",IF(HR_Data[[#This Row],[Age]]&lt;=55,"46-55","56+"))))</f>
        <v>26-35</v>
      </c>
      <c r="AK321" s="11" t="str">
        <f>IF(HR_Data[[#This Row],[MonthlyIncome]]&lt;3000,"Low",IF(HR_Data[[#This Row],[MonthlyIncome]]&lt;6000,"Medium",IF(HR_Data[[#This Row],[MonthlyIncome]]&lt;10000,"High","Very High")))</f>
        <v>Medium</v>
      </c>
      <c r="AL321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321" t="str">
        <f>IF(HR_Data[[#This Row],[TotalWorkingYears]]&lt;=5,"Junior",IF(HR_Data[[#This Row],[TotalWorkingYears]]&lt;=15,"Mid-Level","Senior"))</f>
        <v>Mid-Level</v>
      </c>
      <c r="AN321" s="11" t="str">
        <f>IF(HR_Data[[#This Row],[PerformanceRating]]=3,"Standard","Excellent")</f>
        <v>Standard</v>
      </c>
      <c r="AO321" s="11" t="str">
        <f>IF(HR_Data[[#This Row],[JobSatisfaction]]&lt;=2,"Low","High")</f>
        <v>Low</v>
      </c>
      <c r="AP321" s="11" t="str">
        <f>IF(AND(HR_Data[[#This Row],[OverTime]]="Yes",HR_Data[[#This Row],[JobSatisfaction]]&lt;=2,HR_Data[[#This Row],[YearsAtCompany]]&lt;=2),"High Risk","Normal")</f>
        <v>Normal</v>
      </c>
    </row>
    <row r="322" spans="1:42" x14ac:dyDescent="0.25">
      <c r="A322" s="6">
        <v>27</v>
      </c>
      <c r="B322" s="4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s="11" t="str">
        <f>IF(HR_Data[[#This Row],[Age]]&lt;=25,"18-25",IF(HR_Data[[#This Row],[Age]]&lt;=35,"26-35",IF(HR_Data[[#This Row],[Age]]&lt;=45,"36-45",IF(HR_Data[[#This Row],[Age]]&lt;=55,"46-55","56+"))))</f>
        <v>26-35</v>
      </c>
      <c r="AK322" s="11" t="str">
        <f>IF(HR_Data[[#This Row],[MonthlyIncome]]&lt;3000,"Low",IF(HR_Data[[#This Row],[MonthlyIncome]]&lt;6000,"Medium",IF(HR_Data[[#This Row],[MonthlyIncome]]&lt;10000,"High","Very High")))</f>
        <v>Medium</v>
      </c>
      <c r="AL32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22" t="str">
        <f>IF(HR_Data[[#This Row],[TotalWorkingYears]]&lt;=5,"Junior",IF(HR_Data[[#This Row],[TotalWorkingYears]]&lt;=15,"Mid-Level","Senior"))</f>
        <v>Junior</v>
      </c>
      <c r="AN322" s="11" t="str">
        <f>IF(HR_Data[[#This Row],[PerformanceRating]]=3,"Standard","Excellent")</f>
        <v>Standard</v>
      </c>
      <c r="AO322" s="11" t="str">
        <f>IF(HR_Data[[#This Row],[JobSatisfaction]]&lt;=2,"Low","High")</f>
        <v>High</v>
      </c>
      <c r="AP322" s="11" t="str">
        <f>IF(AND(HR_Data[[#This Row],[OverTime]]="Yes",HR_Data[[#This Row],[JobSatisfaction]]&lt;=2,HR_Data[[#This Row],[YearsAtCompany]]&lt;=2),"High Risk","Normal")</f>
        <v>Normal</v>
      </c>
    </row>
    <row r="323" spans="1:42" x14ac:dyDescent="0.25">
      <c r="A323" s="6">
        <v>31</v>
      </c>
      <c r="B323" s="4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s="11" t="str">
        <f>IF(HR_Data[[#This Row],[Age]]&lt;=25,"18-25",IF(HR_Data[[#This Row],[Age]]&lt;=35,"26-35",IF(HR_Data[[#This Row],[Age]]&lt;=45,"36-45",IF(HR_Data[[#This Row],[Age]]&lt;=55,"46-55","56+"))))</f>
        <v>26-35</v>
      </c>
      <c r="AK323" s="11" t="str">
        <f>IF(HR_Data[[#This Row],[MonthlyIncome]]&lt;3000,"Low",IF(HR_Data[[#This Row],[MonthlyIncome]]&lt;6000,"Medium",IF(HR_Data[[#This Row],[MonthlyIncome]]&lt;10000,"High","Very High")))</f>
        <v>High</v>
      </c>
      <c r="AL32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23" t="str">
        <f>IF(HR_Data[[#This Row],[TotalWorkingYears]]&lt;=5,"Junior",IF(HR_Data[[#This Row],[TotalWorkingYears]]&lt;=15,"Mid-Level","Senior"))</f>
        <v>Mid-Level</v>
      </c>
      <c r="AN323" s="11" t="str">
        <f>IF(HR_Data[[#This Row],[PerformanceRating]]=3,"Standard","Excellent")</f>
        <v>Standard</v>
      </c>
      <c r="AO323" s="11" t="str">
        <f>IF(HR_Data[[#This Row],[JobSatisfaction]]&lt;=2,"Low","High")</f>
        <v>High</v>
      </c>
      <c r="AP323" s="11" t="str">
        <f>IF(AND(HR_Data[[#This Row],[OverTime]]="Yes",HR_Data[[#This Row],[JobSatisfaction]]&lt;=2,HR_Data[[#This Row],[YearsAtCompany]]&lt;=2),"High Risk","Normal")</f>
        <v>Normal</v>
      </c>
    </row>
    <row r="324" spans="1:42" x14ac:dyDescent="0.25">
      <c r="A324" s="6">
        <v>32</v>
      </c>
      <c r="B324" s="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s="11" t="str">
        <f>IF(HR_Data[[#This Row],[Age]]&lt;=25,"18-25",IF(HR_Data[[#This Row],[Age]]&lt;=35,"26-35",IF(HR_Data[[#This Row],[Age]]&lt;=45,"36-45",IF(HR_Data[[#This Row],[Age]]&lt;=55,"46-55","56+"))))</f>
        <v>26-35</v>
      </c>
      <c r="AK324" s="11" t="str">
        <f>IF(HR_Data[[#This Row],[MonthlyIncome]]&lt;3000,"Low",IF(HR_Data[[#This Row],[MonthlyIncome]]&lt;6000,"Medium",IF(HR_Data[[#This Row],[MonthlyIncome]]&lt;10000,"High","Very High")))</f>
        <v>Medium</v>
      </c>
      <c r="AL32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24" t="str">
        <f>IF(HR_Data[[#This Row],[TotalWorkingYears]]&lt;=5,"Junior",IF(HR_Data[[#This Row],[TotalWorkingYears]]&lt;=15,"Mid-Level","Senior"))</f>
        <v>Mid-Level</v>
      </c>
      <c r="AN324" s="11" t="str">
        <f>IF(HR_Data[[#This Row],[PerformanceRating]]=3,"Standard","Excellent")</f>
        <v>Standard</v>
      </c>
      <c r="AO324" s="11" t="str">
        <f>IF(HR_Data[[#This Row],[JobSatisfaction]]&lt;=2,"Low","High")</f>
        <v>High</v>
      </c>
      <c r="AP324" s="11" t="str">
        <f>IF(AND(HR_Data[[#This Row],[OverTime]]="Yes",HR_Data[[#This Row],[JobSatisfaction]]&lt;=2,HR_Data[[#This Row],[YearsAtCompany]]&lt;=2),"High Risk","Normal")</f>
        <v>Normal</v>
      </c>
    </row>
    <row r="325" spans="1:42" x14ac:dyDescent="0.25">
      <c r="A325" s="6">
        <v>28</v>
      </c>
      <c r="B325" s="4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s="11" t="str">
        <f>IF(HR_Data[[#This Row],[Age]]&lt;=25,"18-25",IF(HR_Data[[#This Row],[Age]]&lt;=35,"26-35",IF(HR_Data[[#This Row],[Age]]&lt;=45,"36-45",IF(HR_Data[[#This Row],[Age]]&lt;=55,"46-55","56+"))))</f>
        <v>26-35</v>
      </c>
      <c r="AK325" s="11" t="str">
        <f>IF(HR_Data[[#This Row],[MonthlyIncome]]&lt;3000,"Low",IF(HR_Data[[#This Row],[MonthlyIncome]]&lt;6000,"Medium",IF(HR_Data[[#This Row],[MonthlyIncome]]&lt;10000,"High","Very High")))</f>
        <v>Medium</v>
      </c>
      <c r="AL32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25" t="str">
        <f>IF(HR_Data[[#This Row],[TotalWorkingYears]]&lt;=5,"Junior",IF(HR_Data[[#This Row],[TotalWorkingYears]]&lt;=15,"Mid-Level","Senior"))</f>
        <v>Junior</v>
      </c>
      <c r="AN325" s="11" t="str">
        <f>IF(HR_Data[[#This Row],[PerformanceRating]]=3,"Standard","Excellent")</f>
        <v>Standard</v>
      </c>
      <c r="AO325" s="11" t="str">
        <f>IF(HR_Data[[#This Row],[JobSatisfaction]]&lt;=2,"Low","High")</f>
        <v>High</v>
      </c>
      <c r="AP325" s="11" t="str">
        <f>IF(AND(HR_Data[[#This Row],[OverTime]]="Yes",HR_Data[[#This Row],[JobSatisfaction]]&lt;=2,HR_Data[[#This Row],[YearsAtCompany]]&lt;=2),"High Risk","Normal")</f>
        <v>Normal</v>
      </c>
    </row>
    <row r="326" spans="1:42" x14ac:dyDescent="0.25">
      <c r="A326" s="6">
        <v>30</v>
      </c>
      <c r="B326" s="4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s="11" t="str">
        <f>IF(HR_Data[[#This Row],[Age]]&lt;=25,"18-25",IF(HR_Data[[#This Row],[Age]]&lt;=35,"26-35",IF(HR_Data[[#This Row],[Age]]&lt;=45,"36-45",IF(HR_Data[[#This Row],[Age]]&lt;=55,"46-55","56+"))))</f>
        <v>26-35</v>
      </c>
      <c r="AK326" s="11" t="str">
        <f>IF(HR_Data[[#This Row],[MonthlyIncome]]&lt;3000,"Low",IF(HR_Data[[#This Row],[MonthlyIncome]]&lt;6000,"Medium",IF(HR_Data[[#This Row],[MonthlyIncome]]&lt;10000,"High","Very High")))</f>
        <v>Medium</v>
      </c>
      <c r="AL32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26" t="str">
        <f>IF(HR_Data[[#This Row],[TotalWorkingYears]]&lt;=5,"Junior",IF(HR_Data[[#This Row],[TotalWorkingYears]]&lt;=15,"Mid-Level","Senior"))</f>
        <v>Mid-Level</v>
      </c>
      <c r="AN326" s="11" t="str">
        <f>IF(HR_Data[[#This Row],[PerformanceRating]]=3,"Standard","Excellent")</f>
        <v>Standard</v>
      </c>
      <c r="AO326" s="11" t="str">
        <f>IF(HR_Data[[#This Row],[JobSatisfaction]]&lt;=2,"Low","High")</f>
        <v>High</v>
      </c>
      <c r="AP326" s="11" t="str">
        <f>IF(AND(HR_Data[[#This Row],[OverTime]]="Yes",HR_Data[[#This Row],[JobSatisfaction]]&lt;=2,HR_Data[[#This Row],[YearsAtCompany]]&lt;=2),"High Risk","Normal")</f>
        <v>Normal</v>
      </c>
    </row>
    <row r="327" spans="1:42" x14ac:dyDescent="0.25">
      <c r="A327" s="6">
        <v>31</v>
      </c>
      <c r="B327" s="4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s="11" t="str">
        <f>IF(HR_Data[[#This Row],[Age]]&lt;=25,"18-25",IF(HR_Data[[#This Row],[Age]]&lt;=35,"26-35",IF(HR_Data[[#This Row],[Age]]&lt;=45,"36-45",IF(HR_Data[[#This Row],[Age]]&lt;=55,"46-55","56+"))))</f>
        <v>26-35</v>
      </c>
      <c r="AK327" s="11" t="str">
        <f>IF(HR_Data[[#This Row],[MonthlyIncome]]&lt;3000,"Low",IF(HR_Data[[#This Row],[MonthlyIncome]]&lt;6000,"Medium",IF(HR_Data[[#This Row],[MonthlyIncome]]&lt;10000,"High","Very High")))</f>
        <v>High</v>
      </c>
      <c r="AL32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27" t="str">
        <f>IF(HR_Data[[#This Row],[TotalWorkingYears]]&lt;=5,"Junior",IF(HR_Data[[#This Row],[TotalWorkingYears]]&lt;=15,"Mid-Level","Senior"))</f>
        <v>Mid-Level</v>
      </c>
      <c r="AN327" s="11" t="str">
        <f>IF(HR_Data[[#This Row],[PerformanceRating]]=3,"Standard","Excellent")</f>
        <v>Excellent</v>
      </c>
      <c r="AO327" s="11" t="str">
        <f>IF(HR_Data[[#This Row],[JobSatisfaction]]&lt;=2,"Low","High")</f>
        <v>High</v>
      </c>
      <c r="AP327" s="11" t="str">
        <f>IF(AND(HR_Data[[#This Row],[OverTime]]="Yes",HR_Data[[#This Row],[JobSatisfaction]]&lt;=2,HR_Data[[#This Row],[YearsAtCompany]]&lt;=2),"High Risk","Normal")</f>
        <v>Normal</v>
      </c>
    </row>
    <row r="328" spans="1:42" x14ac:dyDescent="0.25">
      <c r="A328" s="6">
        <v>39</v>
      </c>
      <c r="B328" s="4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s="11" t="str">
        <f>IF(HR_Data[[#This Row],[Age]]&lt;=25,"18-25",IF(HR_Data[[#This Row],[Age]]&lt;=35,"26-35",IF(HR_Data[[#This Row],[Age]]&lt;=45,"36-45",IF(HR_Data[[#This Row],[Age]]&lt;=55,"46-55","56+"))))</f>
        <v>36-45</v>
      </c>
      <c r="AK328" s="11" t="str">
        <f>IF(HR_Data[[#This Row],[MonthlyIncome]]&lt;3000,"Low",IF(HR_Data[[#This Row],[MonthlyIncome]]&lt;6000,"Medium",IF(HR_Data[[#This Row],[MonthlyIncome]]&lt;10000,"High","Very High")))</f>
        <v>Very High</v>
      </c>
      <c r="AL32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328" t="str">
        <f>IF(HR_Data[[#This Row],[TotalWorkingYears]]&lt;=5,"Junior",IF(HR_Data[[#This Row],[TotalWorkingYears]]&lt;=15,"Mid-Level","Senior"))</f>
        <v>Senior</v>
      </c>
      <c r="AN328" s="11" t="str">
        <f>IF(HR_Data[[#This Row],[PerformanceRating]]=3,"Standard","Excellent")</f>
        <v>Standard</v>
      </c>
      <c r="AO328" s="11" t="str">
        <f>IF(HR_Data[[#This Row],[JobSatisfaction]]&lt;=2,"Low","High")</f>
        <v>High</v>
      </c>
      <c r="AP328" s="11" t="str">
        <f>IF(AND(HR_Data[[#This Row],[OverTime]]="Yes",HR_Data[[#This Row],[JobSatisfaction]]&lt;=2,HR_Data[[#This Row],[YearsAtCompany]]&lt;=2),"High Risk","Normal")</f>
        <v>Normal</v>
      </c>
    </row>
    <row r="329" spans="1:42" x14ac:dyDescent="0.25">
      <c r="A329" s="6">
        <v>39</v>
      </c>
      <c r="B329" s="4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s="11" t="str">
        <f>IF(HR_Data[[#This Row],[Age]]&lt;=25,"18-25",IF(HR_Data[[#This Row],[Age]]&lt;=35,"26-35",IF(HR_Data[[#This Row],[Age]]&lt;=45,"36-45",IF(HR_Data[[#This Row],[Age]]&lt;=55,"46-55","56+"))))</f>
        <v>36-45</v>
      </c>
      <c r="AK329" s="11" t="str">
        <f>IF(HR_Data[[#This Row],[MonthlyIncome]]&lt;3000,"Low",IF(HR_Data[[#This Row],[MonthlyIncome]]&lt;6000,"Medium",IF(HR_Data[[#This Row],[MonthlyIncome]]&lt;10000,"High","Very High")))</f>
        <v>Medium</v>
      </c>
      <c r="AL32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29" t="str">
        <f>IF(HR_Data[[#This Row],[TotalWorkingYears]]&lt;=5,"Junior",IF(HR_Data[[#This Row],[TotalWorkingYears]]&lt;=15,"Mid-Level","Senior"))</f>
        <v>Mid-Level</v>
      </c>
      <c r="AN329" s="11" t="str">
        <f>IF(HR_Data[[#This Row],[PerformanceRating]]=3,"Standard","Excellent")</f>
        <v>Standard</v>
      </c>
      <c r="AO329" s="11" t="str">
        <f>IF(HR_Data[[#This Row],[JobSatisfaction]]&lt;=2,"Low","High")</f>
        <v>High</v>
      </c>
      <c r="AP329" s="11" t="str">
        <f>IF(AND(HR_Data[[#This Row],[OverTime]]="Yes",HR_Data[[#This Row],[JobSatisfaction]]&lt;=2,HR_Data[[#This Row],[YearsAtCompany]]&lt;=2),"High Risk","Normal")</f>
        <v>Normal</v>
      </c>
    </row>
    <row r="330" spans="1:42" x14ac:dyDescent="0.25">
      <c r="A330" s="6">
        <v>33</v>
      </c>
      <c r="B330" s="4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s="11" t="str">
        <f>IF(HR_Data[[#This Row],[Age]]&lt;=25,"18-25",IF(HR_Data[[#This Row],[Age]]&lt;=35,"26-35",IF(HR_Data[[#This Row],[Age]]&lt;=45,"36-45",IF(HR_Data[[#This Row],[Age]]&lt;=55,"46-55","56+"))))</f>
        <v>26-35</v>
      </c>
      <c r="AK330" s="11" t="str">
        <f>IF(HR_Data[[#This Row],[MonthlyIncome]]&lt;3000,"Low",IF(HR_Data[[#This Row],[MonthlyIncome]]&lt;6000,"Medium",IF(HR_Data[[#This Row],[MonthlyIncome]]&lt;10000,"High","Very High")))</f>
        <v>Medium</v>
      </c>
      <c r="AL33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30" t="str">
        <f>IF(HR_Data[[#This Row],[TotalWorkingYears]]&lt;=5,"Junior",IF(HR_Data[[#This Row],[TotalWorkingYears]]&lt;=15,"Mid-Level","Senior"))</f>
        <v>Mid-Level</v>
      </c>
      <c r="AN330" s="11" t="str">
        <f>IF(HR_Data[[#This Row],[PerformanceRating]]=3,"Standard","Excellent")</f>
        <v>Standard</v>
      </c>
      <c r="AO330" s="11" t="str">
        <f>IF(HR_Data[[#This Row],[JobSatisfaction]]&lt;=2,"Low","High")</f>
        <v>High</v>
      </c>
      <c r="AP330" s="11" t="str">
        <f>IF(AND(HR_Data[[#This Row],[OverTime]]="Yes",HR_Data[[#This Row],[JobSatisfaction]]&lt;=2,HR_Data[[#This Row],[YearsAtCompany]]&lt;=2),"High Risk","Normal")</f>
        <v>Normal</v>
      </c>
    </row>
    <row r="331" spans="1:42" x14ac:dyDescent="0.25">
      <c r="A331" s="6">
        <v>47</v>
      </c>
      <c r="B331" s="4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s="11" t="str">
        <f>IF(HR_Data[[#This Row],[Age]]&lt;=25,"18-25",IF(HR_Data[[#This Row],[Age]]&lt;=35,"26-35",IF(HR_Data[[#This Row],[Age]]&lt;=45,"36-45",IF(HR_Data[[#This Row],[Age]]&lt;=55,"46-55","56+"))))</f>
        <v>46-55</v>
      </c>
      <c r="AK331" s="11" t="str">
        <f>IF(HR_Data[[#This Row],[MonthlyIncome]]&lt;3000,"Low",IF(HR_Data[[#This Row],[MonthlyIncome]]&lt;6000,"Medium",IF(HR_Data[[#This Row],[MonthlyIncome]]&lt;10000,"High","Very High")))</f>
        <v>Very High</v>
      </c>
      <c r="AL33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31" t="str">
        <f>IF(HR_Data[[#This Row],[TotalWorkingYears]]&lt;=5,"Junior",IF(HR_Data[[#This Row],[TotalWorkingYears]]&lt;=15,"Mid-Level","Senior"))</f>
        <v>Senior</v>
      </c>
      <c r="AN331" s="11" t="str">
        <f>IF(HR_Data[[#This Row],[PerformanceRating]]=3,"Standard","Excellent")</f>
        <v>Standard</v>
      </c>
      <c r="AO331" s="11" t="str">
        <f>IF(HR_Data[[#This Row],[JobSatisfaction]]&lt;=2,"Low","High")</f>
        <v>High</v>
      </c>
      <c r="AP331" s="11" t="str">
        <f>IF(AND(HR_Data[[#This Row],[OverTime]]="Yes",HR_Data[[#This Row],[JobSatisfaction]]&lt;=2,HR_Data[[#This Row],[YearsAtCompany]]&lt;=2),"High Risk","Normal")</f>
        <v>Normal</v>
      </c>
    </row>
    <row r="332" spans="1:42" x14ac:dyDescent="0.25">
      <c r="A332" s="6">
        <v>43</v>
      </c>
      <c r="B332" s="4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s="11" t="str">
        <f>IF(HR_Data[[#This Row],[Age]]&lt;=25,"18-25",IF(HR_Data[[#This Row],[Age]]&lt;=35,"26-35",IF(HR_Data[[#This Row],[Age]]&lt;=45,"36-45",IF(HR_Data[[#This Row],[Age]]&lt;=55,"46-55","56+"))))</f>
        <v>36-45</v>
      </c>
      <c r="AK332" s="11" t="str">
        <f>IF(HR_Data[[#This Row],[MonthlyIncome]]&lt;3000,"Low",IF(HR_Data[[#This Row],[MonthlyIncome]]&lt;6000,"Medium",IF(HR_Data[[#This Row],[MonthlyIncome]]&lt;10000,"High","Very High")))</f>
        <v>Medium</v>
      </c>
      <c r="AL33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32" t="str">
        <f>IF(HR_Data[[#This Row],[TotalWorkingYears]]&lt;=5,"Junior",IF(HR_Data[[#This Row],[TotalWorkingYears]]&lt;=15,"Mid-Level","Senior"))</f>
        <v>Mid-Level</v>
      </c>
      <c r="AN332" s="11" t="str">
        <f>IF(HR_Data[[#This Row],[PerformanceRating]]=3,"Standard","Excellent")</f>
        <v>Standard</v>
      </c>
      <c r="AO332" s="11" t="str">
        <f>IF(HR_Data[[#This Row],[JobSatisfaction]]&lt;=2,"Low","High")</f>
        <v>High</v>
      </c>
      <c r="AP332" s="11" t="str">
        <f>IF(AND(HR_Data[[#This Row],[OverTime]]="Yes",HR_Data[[#This Row],[JobSatisfaction]]&lt;=2,HR_Data[[#This Row],[YearsAtCompany]]&lt;=2),"High Risk","Normal")</f>
        <v>Normal</v>
      </c>
    </row>
    <row r="333" spans="1:42" x14ac:dyDescent="0.25">
      <c r="A333" s="6">
        <v>27</v>
      </c>
      <c r="B333" s="4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s="11" t="str">
        <f>IF(HR_Data[[#This Row],[Age]]&lt;=25,"18-25",IF(HR_Data[[#This Row],[Age]]&lt;=35,"26-35",IF(HR_Data[[#This Row],[Age]]&lt;=45,"36-45",IF(HR_Data[[#This Row],[Age]]&lt;=55,"46-55","56+"))))</f>
        <v>26-35</v>
      </c>
      <c r="AK333" s="11" t="str">
        <f>IF(HR_Data[[#This Row],[MonthlyIncome]]&lt;3000,"Low",IF(HR_Data[[#This Row],[MonthlyIncome]]&lt;6000,"Medium",IF(HR_Data[[#This Row],[MonthlyIncome]]&lt;10000,"High","Very High")))</f>
        <v>High</v>
      </c>
      <c r="AL33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33" t="str">
        <f>IF(HR_Data[[#This Row],[TotalWorkingYears]]&lt;=5,"Junior",IF(HR_Data[[#This Row],[TotalWorkingYears]]&lt;=15,"Mid-Level","Senior"))</f>
        <v>Mid-Level</v>
      </c>
      <c r="AN333" s="11" t="str">
        <f>IF(HR_Data[[#This Row],[PerformanceRating]]=3,"Standard","Excellent")</f>
        <v>Standard</v>
      </c>
      <c r="AO333" s="11" t="str">
        <f>IF(HR_Data[[#This Row],[JobSatisfaction]]&lt;=2,"Low","High")</f>
        <v>Low</v>
      </c>
      <c r="AP333" s="11" t="str">
        <f>IF(AND(HR_Data[[#This Row],[OverTime]]="Yes",HR_Data[[#This Row],[JobSatisfaction]]&lt;=2,HR_Data[[#This Row],[YearsAtCompany]]&lt;=2),"High Risk","Normal")</f>
        <v>Normal</v>
      </c>
    </row>
    <row r="334" spans="1:42" x14ac:dyDescent="0.25">
      <c r="A334" s="6">
        <v>54</v>
      </c>
      <c r="B334" s="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s="11" t="str">
        <f>IF(HR_Data[[#This Row],[Age]]&lt;=25,"18-25",IF(HR_Data[[#This Row],[Age]]&lt;=35,"26-35",IF(HR_Data[[#This Row],[Age]]&lt;=45,"36-45",IF(HR_Data[[#This Row],[Age]]&lt;=55,"46-55","56+"))))</f>
        <v>46-55</v>
      </c>
      <c r="AK334" s="11" t="str">
        <f>IF(HR_Data[[#This Row],[MonthlyIncome]]&lt;3000,"Low",IF(HR_Data[[#This Row],[MonthlyIncome]]&lt;6000,"Medium",IF(HR_Data[[#This Row],[MonthlyIncome]]&lt;10000,"High","Very High")))</f>
        <v>Medium</v>
      </c>
      <c r="AL33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34" t="str">
        <f>IF(HR_Data[[#This Row],[TotalWorkingYears]]&lt;=5,"Junior",IF(HR_Data[[#This Row],[TotalWorkingYears]]&lt;=15,"Mid-Level","Senior"))</f>
        <v>Senior</v>
      </c>
      <c r="AN334" s="11" t="str">
        <f>IF(HR_Data[[#This Row],[PerformanceRating]]=3,"Standard","Excellent")</f>
        <v>Standard</v>
      </c>
      <c r="AO334" s="11" t="str">
        <f>IF(HR_Data[[#This Row],[JobSatisfaction]]&lt;=2,"Low","High")</f>
        <v>High</v>
      </c>
      <c r="AP334" s="11" t="str">
        <f>IF(AND(HR_Data[[#This Row],[OverTime]]="Yes",HR_Data[[#This Row],[JobSatisfaction]]&lt;=2,HR_Data[[#This Row],[YearsAtCompany]]&lt;=2),"High Risk","Normal")</f>
        <v>Normal</v>
      </c>
    </row>
    <row r="335" spans="1:42" x14ac:dyDescent="0.25">
      <c r="A335" s="6">
        <v>43</v>
      </c>
      <c r="B335" s="4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s="11" t="str">
        <f>IF(HR_Data[[#This Row],[Age]]&lt;=25,"18-25",IF(HR_Data[[#This Row],[Age]]&lt;=35,"26-35",IF(HR_Data[[#This Row],[Age]]&lt;=45,"36-45",IF(HR_Data[[#This Row],[Age]]&lt;=55,"46-55","56+"))))</f>
        <v>36-45</v>
      </c>
      <c r="AK335" s="11" t="str">
        <f>IF(HR_Data[[#This Row],[MonthlyIncome]]&lt;3000,"Low",IF(HR_Data[[#This Row],[MonthlyIncome]]&lt;6000,"Medium",IF(HR_Data[[#This Row],[MonthlyIncome]]&lt;10000,"High","Very High")))</f>
        <v>High</v>
      </c>
      <c r="AL33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35" t="str">
        <f>IF(HR_Data[[#This Row],[TotalWorkingYears]]&lt;=5,"Junior",IF(HR_Data[[#This Row],[TotalWorkingYears]]&lt;=15,"Mid-Level","Senior"))</f>
        <v>Mid-Level</v>
      </c>
      <c r="AN335" s="11" t="str">
        <f>IF(HR_Data[[#This Row],[PerformanceRating]]=3,"Standard","Excellent")</f>
        <v>Standard</v>
      </c>
      <c r="AO335" s="11" t="str">
        <f>IF(HR_Data[[#This Row],[JobSatisfaction]]&lt;=2,"Low","High")</f>
        <v>Low</v>
      </c>
      <c r="AP335" s="11" t="str">
        <f>IF(AND(HR_Data[[#This Row],[OverTime]]="Yes",HR_Data[[#This Row],[JobSatisfaction]]&lt;=2,HR_Data[[#This Row],[YearsAtCompany]]&lt;=2),"High Risk","Normal")</f>
        <v>Normal</v>
      </c>
    </row>
    <row r="336" spans="1:42" x14ac:dyDescent="0.25">
      <c r="A336" s="6">
        <v>45</v>
      </c>
      <c r="B336" s="4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s="11" t="str">
        <f>IF(HR_Data[[#This Row],[Age]]&lt;=25,"18-25",IF(HR_Data[[#This Row],[Age]]&lt;=35,"26-35",IF(HR_Data[[#This Row],[Age]]&lt;=45,"36-45",IF(HR_Data[[#This Row],[Age]]&lt;=55,"46-55","56+"))))</f>
        <v>36-45</v>
      </c>
      <c r="AK336" s="11" t="str">
        <f>IF(HR_Data[[#This Row],[MonthlyIncome]]&lt;3000,"Low",IF(HR_Data[[#This Row],[MonthlyIncome]]&lt;6000,"Medium",IF(HR_Data[[#This Row],[MonthlyIncome]]&lt;10000,"High","Very High")))</f>
        <v>Medium</v>
      </c>
      <c r="AL33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36" t="str">
        <f>IF(HR_Data[[#This Row],[TotalWorkingYears]]&lt;=5,"Junior",IF(HR_Data[[#This Row],[TotalWorkingYears]]&lt;=15,"Mid-Level","Senior"))</f>
        <v>Mid-Level</v>
      </c>
      <c r="AN336" s="11" t="str">
        <f>IF(HR_Data[[#This Row],[PerformanceRating]]=3,"Standard","Excellent")</f>
        <v>Standard</v>
      </c>
      <c r="AO336" s="11" t="str">
        <f>IF(HR_Data[[#This Row],[JobSatisfaction]]&lt;=2,"Low","High")</f>
        <v>High</v>
      </c>
      <c r="AP336" s="11" t="str">
        <f>IF(AND(HR_Data[[#This Row],[OverTime]]="Yes",HR_Data[[#This Row],[JobSatisfaction]]&lt;=2,HR_Data[[#This Row],[YearsAtCompany]]&lt;=2),"High Risk","Normal")</f>
        <v>Normal</v>
      </c>
    </row>
    <row r="337" spans="1:42" x14ac:dyDescent="0.25">
      <c r="A337" s="6">
        <v>40</v>
      </c>
      <c r="B337" s="4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s="11" t="str">
        <f>IF(HR_Data[[#This Row],[Age]]&lt;=25,"18-25",IF(HR_Data[[#This Row],[Age]]&lt;=35,"26-35",IF(HR_Data[[#This Row],[Age]]&lt;=45,"36-45",IF(HR_Data[[#This Row],[Age]]&lt;=55,"46-55","56+"))))</f>
        <v>36-45</v>
      </c>
      <c r="AK337" s="11" t="str">
        <f>IF(HR_Data[[#This Row],[MonthlyIncome]]&lt;3000,"Low",IF(HR_Data[[#This Row],[MonthlyIncome]]&lt;6000,"Medium",IF(HR_Data[[#This Row],[MonthlyIncome]]&lt;10000,"High","Very High")))</f>
        <v>High</v>
      </c>
      <c r="AL33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37" t="str">
        <f>IF(HR_Data[[#This Row],[TotalWorkingYears]]&lt;=5,"Junior",IF(HR_Data[[#This Row],[TotalWorkingYears]]&lt;=15,"Mid-Level","Senior"))</f>
        <v>Mid-Level</v>
      </c>
      <c r="AN337" s="11" t="str">
        <f>IF(HR_Data[[#This Row],[PerformanceRating]]=3,"Standard","Excellent")</f>
        <v>Excellent</v>
      </c>
      <c r="AO337" s="11" t="str">
        <f>IF(HR_Data[[#This Row],[JobSatisfaction]]&lt;=2,"Low","High")</f>
        <v>High</v>
      </c>
      <c r="AP337" s="11" t="str">
        <f>IF(AND(HR_Data[[#This Row],[OverTime]]="Yes",HR_Data[[#This Row],[JobSatisfaction]]&lt;=2,HR_Data[[#This Row],[YearsAtCompany]]&lt;=2),"High Risk","Normal")</f>
        <v>Normal</v>
      </c>
    </row>
    <row r="338" spans="1:42" x14ac:dyDescent="0.25">
      <c r="A338" s="6">
        <v>29</v>
      </c>
      <c r="B338" s="4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s="11" t="str">
        <f>IF(HR_Data[[#This Row],[Age]]&lt;=25,"18-25",IF(HR_Data[[#This Row],[Age]]&lt;=35,"26-35",IF(HR_Data[[#This Row],[Age]]&lt;=45,"36-45",IF(HR_Data[[#This Row],[Age]]&lt;=55,"46-55","56+"))))</f>
        <v>26-35</v>
      </c>
      <c r="AK338" s="11" t="str">
        <f>IF(HR_Data[[#This Row],[MonthlyIncome]]&lt;3000,"Low",IF(HR_Data[[#This Row],[MonthlyIncome]]&lt;6000,"Medium",IF(HR_Data[[#This Row],[MonthlyIncome]]&lt;10000,"High","Very High")))</f>
        <v>Low</v>
      </c>
      <c r="AL33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38" t="str">
        <f>IF(HR_Data[[#This Row],[TotalWorkingYears]]&lt;=5,"Junior",IF(HR_Data[[#This Row],[TotalWorkingYears]]&lt;=15,"Mid-Level","Senior"))</f>
        <v>Mid-Level</v>
      </c>
      <c r="AN338" s="11" t="str">
        <f>IF(HR_Data[[#This Row],[PerformanceRating]]=3,"Standard","Excellent")</f>
        <v>Standard</v>
      </c>
      <c r="AO338" s="11" t="str">
        <f>IF(HR_Data[[#This Row],[JobSatisfaction]]&lt;=2,"Low","High")</f>
        <v>Low</v>
      </c>
      <c r="AP338" s="11" t="str">
        <f>IF(AND(HR_Data[[#This Row],[OverTime]]="Yes",HR_Data[[#This Row],[JobSatisfaction]]&lt;=2,HR_Data[[#This Row],[YearsAtCompany]]&lt;=2),"High Risk","Normal")</f>
        <v>Normal</v>
      </c>
    </row>
    <row r="339" spans="1:42" x14ac:dyDescent="0.25">
      <c r="A339" s="6">
        <v>29</v>
      </c>
      <c r="B339" s="4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s="11" t="str">
        <f>IF(HR_Data[[#This Row],[Age]]&lt;=25,"18-25",IF(HR_Data[[#This Row],[Age]]&lt;=35,"26-35",IF(HR_Data[[#This Row],[Age]]&lt;=45,"36-45",IF(HR_Data[[#This Row],[Age]]&lt;=55,"46-55","56+"))))</f>
        <v>26-35</v>
      </c>
      <c r="AK339" s="11" t="str">
        <f>IF(HR_Data[[#This Row],[MonthlyIncome]]&lt;3000,"Low",IF(HR_Data[[#This Row],[MonthlyIncome]]&lt;6000,"Medium",IF(HR_Data[[#This Row],[MonthlyIncome]]&lt;10000,"High","Very High")))</f>
        <v>Medium</v>
      </c>
      <c r="AL33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39" t="str">
        <f>IF(HR_Data[[#This Row],[TotalWorkingYears]]&lt;=5,"Junior",IF(HR_Data[[#This Row],[TotalWorkingYears]]&lt;=15,"Mid-Level","Senior"))</f>
        <v>Junior</v>
      </c>
      <c r="AN339" s="11" t="str">
        <f>IF(HR_Data[[#This Row],[PerformanceRating]]=3,"Standard","Excellent")</f>
        <v>Standard</v>
      </c>
      <c r="AO339" s="11" t="str">
        <f>IF(HR_Data[[#This Row],[JobSatisfaction]]&lt;=2,"Low","High")</f>
        <v>High</v>
      </c>
      <c r="AP339" s="11" t="str">
        <f>IF(AND(HR_Data[[#This Row],[OverTime]]="Yes",HR_Data[[#This Row],[JobSatisfaction]]&lt;=2,HR_Data[[#This Row],[YearsAtCompany]]&lt;=2),"High Risk","Normal")</f>
        <v>Normal</v>
      </c>
    </row>
    <row r="340" spans="1:42" x14ac:dyDescent="0.25">
      <c r="A340" s="6">
        <v>30</v>
      </c>
      <c r="B340" s="4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s="11" t="str">
        <f>IF(HR_Data[[#This Row],[Age]]&lt;=25,"18-25",IF(HR_Data[[#This Row],[Age]]&lt;=35,"26-35",IF(HR_Data[[#This Row],[Age]]&lt;=45,"36-45",IF(HR_Data[[#This Row],[Age]]&lt;=55,"46-55","56+"))))</f>
        <v>26-35</v>
      </c>
      <c r="AK340" s="11" t="str">
        <f>IF(HR_Data[[#This Row],[MonthlyIncome]]&lt;3000,"Low",IF(HR_Data[[#This Row],[MonthlyIncome]]&lt;6000,"Medium",IF(HR_Data[[#This Row],[MonthlyIncome]]&lt;10000,"High","Very High")))</f>
        <v>High</v>
      </c>
      <c r="AL34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40" t="str">
        <f>IF(HR_Data[[#This Row],[TotalWorkingYears]]&lt;=5,"Junior",IF(HR_Data[[#This Row],[TotalWorkingYears]]&lt;=15,"Mid-Level","Senior"))</f>
        <v>Mid-Level</v>
      </c>
      <c r="AN340" s="11" t="str">
        <f>IF(HR_Data[[#This Row],[PerformanceRating]]=3,"Standard","Excellent")</f>
        <v>Standard</v>
      </c>
      <c r="AO340" s="11" t="str">
        <f>IF(HR_Data[[#This Row],[JobSatisfaction]]&lt;=2,"Low","High")</f>
        <v>High</v>
      </c>
      <c r="AP340" s="11" t="str">
        <f>IF(AND(HR_Data[[#This Row],[OverTime]]="Yes",HR_Data[[#This Row],[JobSatisfaction]]&lt;=2,HR_Data[[#This Row],[YearsAtCompany]]&lt;=2),"High Risk","Normal")</f>
        <v>Normal</v>
      </c>
    </row>
    <row r="341" spans="1:42" x14ac:dyDescent="0.25">
      <c r="A341" s="6">
        <v>27</v>
      </c>
      <c r="B341" s="4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s="11" t="str">
        <f>IF(HR_Data[[#This Row],[Age]]&lt;=25,"18-25",IF(HR_Data[[#This Row],[Age]]&lt;=35,"26-35",IF(HR_Data[[#This Row],[Age]]&lt;=45,"36-45",IF(HR_Data[[#This Row],[Age]]&lt;=55,"46-55","56+"))))</f>
        <v>26-35</v>
      </c>
      <c r="AK341" s="11" t="str">
        <f>IF(HR_Data[[#This Row],[MonthlyIncome]]&lt;3000,"Low",IF(HR_Data[[#This Row],[MonthlyIncome]]&lt;6000,"Medium",IF(HR_Data[[#This Row],[MonthlyIncome]]&lt;10000,"High","Very High")))</f>
        <v>High</v>
      </c>
      <c r="AL34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41" t="str">
        <f>IF(HR_Data[[#This Row],[TotalWorkingYears]]&lt;=5,"Junior",IF(HR_Data[[#This Row],[TotalWorkingYears]]&lt;=15,"Mid-Level","Senior"))</f>
        <v>Mid-Level</v>
      </c>
      <c r="AN341" s="11" t="str">
        <f>IF(HR_Data[[#This Row],[PerformanceRating]]=3,"Standard","Excellent")</f>
        <v>Standard</v>
      </c>
      <c r="AO341" s="11" t="str">
        <f>IF(HR_Data[[#This Row],[JobSatisfaction]]&lt;=2,"Low","High")</f>
        <v>Low</v>
      </c>
      <c r="AP341" s="11" t="str">
        <f>IF(AND(HR_Data[[#This Row],[OverTime]]="Yes",HR_Data[[#This Row],[JobSatisfaction]]&lt;=2,HR_Data[[#This Row],[YearsAtCompany]]&lt;=2),"High Risk","Normal")</f>
        <v>Normal</v>
      </c>
    </row>
    <row r="342" spans="1:42" x14ac:dyDescent="0.25">
      <c r="A342" s="6">
        <v>37</v>
      </c>
      <c r="B342" s="4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s="11" t="str">
        <f>IF(HR_Data[[#This Row],[Age]]&lt;=25,"18-25",IF(HR_Data[[#This Row],[Age]]&lt;=35,"26-35",IF(HR_Data[[#This Row],[Age]]&lt;=45,"36-45",IF(HR_Data[[#This Row],[Age]]&lt;=55,"46-55","56+"))))</f>
        <v>36-45</v>
      </c>
      <c r="AK342" s="11" t="str">
        <f>IF(HR_Data[[#This Row],[MonthlyIncome]]&lt;3000,"Low",IF(HR_Data[[#This Row],[MonthlyIncome]]&lt;6000,"Medium",IF(HR_Data[[#This Row],[MonthlyIncome]]&lt;10000,"High","Very High")))</f>
        <v>High</v>
      </c>
      <c r="AL34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42" t="str">
        <f>IF(HR_Data[[#This Row],[TotalWorkingYears]]&lt;=5,"Junior",IF(HR_Data[[#This Row],[TotalWorkingYears]]&lt;=15,"Mid-Level","Senior"))</f>
        <v>Mid-Level</v>
      </c>
      <c r="AN342" s="11" t="str">
        <f>IF(HR_Data[[#This Row],[PerformanceRating]]=3,"Standard","Excellent")</f>
        <v>Standard</v>
      </c>
      <c r="AO342" s="11" t="str">
        <f>IF(HR_Data[[#This Row],[JobSatisfaction]]&lt;=2,"Low","High")</f>
        <v>High</v>
      </c>
      <c r="AP342" s="11" t="str">
        <f>IF(AND(HR_Data[[#This Row],[OverTime]]="Yes",HR_Data[[#This Row],[JobSatisfaction]]&lt;=2,HR_Data[[#This Row],[YearsAtCompany]]&lt;=2),"High Risk","Normal")</f>
        <v>Normal</v>
      </c>
    </row>
    <row r="343" spans="1:42" x14ac:dyDescent="0.25">
      <c r="A343" s="6">
        <v>38</v>
      </c>
      <c r="B343" s="4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s="11" t="str">
        <f>IF(HR_Data[[#This Row],[Age]]&lt;=25,"18-25",IF(HR_Data[[#This Row],[Age]]&lt;=35,"26-35",IF(HR_Data[[#This Row],[Age]]&lt;=45,"36-45",IF(HR_Data[[#This Row],[Age]]&lt;=55,"46-55","56+"))))</f>
        <v>36-45</v>
      </c>
      <c r="AK343" s="11" t="str">
        <f>IF(HR_Data[[#This Row],[MonthlyIncome]]&lt;3000,"Low",IF(HR_Data[[#This Row],[MonthlyIncome]]&lt;6000,"Medium",IF(HR_Data[[#This Row],[MonthlyIncome]]&lt;10000,"High","Very High")))</f>
        <v>Very High</v>
      </c>
      <c r="AL343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343" t="str">
        <f>IF(HR_Data[[#This Row],[TotalWorkingYears]]&lt;=5,"Junior",IF(HR_Data[[#This Row],[TotalWorkingYears]]&lt;=15,"Mid-Level","Senior"))</f>
        <v>Mid-Level</v>
      </c>
      <c r="AN343" s="11" t="str">
        <f>IF(HR_Data[[#This Row],[PerformanceRating]]=3,"Standard","Excellent")</f>
        <v>Standard</v>
      </c>
      <c r="AO343" s="11" t="str">
        <f>IF(HR_Data[[#This Row],[JobSatisfaction]]&lt;=2,"Low","High")</f>
        <v>High</v>
      </c>
      <c r="AP343" s="11" t="str">
        <f>IF(AND(HR_Data[[#This Row],[OverTime]]="Yes",HR_Data[[#This Row],[JobSatisfaction]]&lt;=2,HR_Data[[#This Row],[YearsAtCompany]]&lt;=2),"High Risk","Normal")</f>
        <v>Normal</v>
      </c>
    </row>
    <row r="344" spans="1:42" x14ac:dyDescent="0.25">
      <c r="A344" s="6">
        <v>31</v>
      </c>
      <c r="B344" s="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s="11" t="str">
        <f>IF(HR_Data[[#This Row],[Age]]&lt;=25,"18-25",IF(HR_Data[[#This Row],[Age]]&lt;=35,"26-35",IF(HR_Data[[#This Row],[Age]]&lt;=45,"36-45",IF(HR_Data[[#This Row],[Age]]&lt;=55,"46-55","56+"))))</f>
        <v>26-35</v>
      </c>
      <c r="AK344" s="11" t="str">
        <f>IF(HR_Data[[#This Row],[MonthlyIncome]]&lt;3000,"Low",IF(HR_Data[[#This Row],[MonthlyIncome]]&lt;6000,"Medium",IF(HR_Data[[#This Row],[MonthlyIncome]]&lt;10000,"High","Very High")))</f>
        <v>High</v>
      </c>
      <c r="AL344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344" t="str">
        <f>IF(HR_Data[[#This Row],[TotalWorkingYears]]&lt;=5,"Junior",IF(HR_Data[[#This Row],[TotalWorkingYears]]&lt;=15,"Mid-Level","Senior"))</f>
        <v>Mid-Level</v>
      </c>
      <c r="AN344" s="11" t="str">
        <f>IF(HR_Data[[#This Row],[PerformanceRating]]=3,"Standard","Excellent")</f>
        <v>Standard</v>
      </c>
      <c r="AO344" s="11" t="str">
        <f>IF(HR_Data[[#This Row],[JobSatisfaction]]&lt;=2,"Low","High")</f>
        <v>High</v>
      </c>
      <c r="AP344" s="11" t="str">
        <f>IF(AND(HR_Data[[#This Row],[OverTime]]="Yes",HR_Data[[#This Row],[JobSatisfaction]]&lt;=2,HR_Data[[#This Row],[YearsAtCompany]]&lt;=2),"High Risk","Normal")</f>
        <v>Normal</v>
      </c>
    </row>
    <row r="345" spans="1:42" x14ac:dyDescent="0.25">
      <c r="A345" s="6">
        <v>29</v>
      </c>
      <c r="B345" s="4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s="11" t="str">
        <f>IF(HR_Data[[#This Row],[Age]]&lt;=25,"18-25",IF(HR_Data[[#This Row],[Age]]&lt;=35,"26-35",IF(HR_Data[[#This Row],[Age]]&lt;=45,"36-45",IF(HR_Data[[#This Row],[Age]]&lt;=55,"46-55","56+"))))</f>
        <v>26-35</v>
      </c>
      <c r="AK345" s="11" t="str">
        <f>IF(HR_Data[[#This Row],[MonthlyIncome]]&lt;3000,"Low",IF(HR_Data[[#This Row],[MonthlyIncome]]&lt;6000,"Medium",IF(HR_Data[[#This Row],[MonthlyIncome]]&lt;10000,"High","Very High")))</f>
        <v>High</v>
      </c>
      <c r="AL34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45" t="str">
        <f>IF(HR_Data[[#This Row],[TotalWorkingYears]]&lt;=5,"Junior",IF(HR_Data[[#This Row],[TotalWorkingYears]]&lt;=15,"Mid-Level","Senior"))</f>
        <v>Mid-Level</v>
      </c>
      <c r="AN345" s="11" t="str">
        <f>IF(HR_Data[[#This Row],[PerformanceRating]]=3,"Standard","Excellent")</f>
        <v>Standard</v>
      </c>
      <c r="AO345" s="11" t="str">
        <f>IF(HR_Data[[#This Row],[JobSatisfaction]]&lt;=2,"Low","High")</f>
        <v>Low</v>
      </c>
      <c r="AP345" s="11" t="str">
        <f>IF(AND(HR_Data[[#This Row],[OverTime]]="Yes",HR_Data[[#This Row],[JobSatisfaction]]&lt;=2,HR_Data[[#This Row],[YearsAtCompany]]&lt;=2),"High Risk","Normal")</f>
        <v>Normal</v>
      </c>
    </row>
    <row r="346" spans="1:42" x14ac:dyDescent="0.25">
      <c r="A346" s="6">
        <v>35</v>
      </c>
      <c r="B346" s="4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s="11" t="str">
        <f>IF(HR_Data[[#This Row],[Age]]&lt;=25,"18-25",IF(HR_Data[[#This Row],[Age]]&lt;=35,"26-35",IF(HR_Data[[#This Row],[Age]]&lt;=45,"36-45",IF(HR_Data[[#This Row],[Age]]&lt;=55,"46-55","56+"))))</f>
        <v>26-35</v>
      </c>
      <c r="AK346" s="11" t="str">
        <f>IF(HR_Data[[#This Row],[MonthlyIncome]]&lt;3000,"Low",IF(HR_Data[[#This Row],[MonthlyIncome]]&lt;6000,"Medium",IF(HR_Data[[#This Row],[MonthlyIncome]]&lt;10000,"High","Very High")))</f>
        <v>High</v>
      </c>
      <c r="AL34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346" t="str">
        <f>IF(HR_Data[[#This Row],[TotalWorkingYears]]&lt;=5,"Junior",IF(HR_Data[[#This Row],[TotalWorkingYears]]&lt;=15,"Mid-Level","Senior"))</f>
        <v>Senior</v>
      </c>
      <c r="AN346" s="11" t="str">
        <f>IF(HR_Data[[#This Row],[PerformanceRating]]=3,"Standard","Excellent")</f>
        <v>Standard</v>
      </c>
      <c r="AO346" s="11" t="str">
        <f>IF(HR_Data[[#This Row],[JobSatisfaction]]&lt;=2,"Low","High")</f>
        <v>Low</v>
      </c>
      <c r="AP346" s="11" t="str">
        <f>IF(AND(HR_Data[[#This Row],[OverTime]]="Yes",HR_Data[[#This Row],[JobSatisfaction]]&lt;=2,HR_Data[[#This Row],[YearsAtCompany]]&lt;=2),"High Risk","Normal")</f>
        <v>Normal</v>
      </c>
    </row>
    <row r="347" spans="1:42" x14ac:dyDescent="0.25">
      <c r="A347" s="6">
        <v>23</v>
      </c>
      <c r="B347" s="4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s="11" t="str">
        <f>IF(HR_Data[[#This Row],[Age]]&lt;=25,"18-25",IF(HR_Data[[#This Row],[Age]]&lt;=35,"26-35",IF(HR_Data[[#This Row],[Age]]&lt;=45,"36-45",IF(HR_Data[[#This Row],[Age]]&lt;=55,"46-55","56+"))))</f>
        <v>18-25</v>
      </c>
      <c r="AK347" s="11" t="str">
        <f>IF(HR_Data[[#This Row],[MonthlyIncome]]&lt;3000,"Low",IF(HR_Data[[#This Row],[MonthlyIncome]]&lt;6000,"Medium",IF(HR_Data[[#This Row],[MonthlyIncome]]&lt;10000,"High","Very High")))</f>
        <v>Low</v>
      </c>
      <c r="AL34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47" t="str">
        <f>IF(HR_Data[[#This Row],[TotalWorkingYears]]&lt;=5,"Junior",IF(HR_Data[[#This Row],[TotalWorkingYears]]&lt;=15,"Mid-Level","Senior"))</f>
        <v>Junior</v>
      </c>
      <c r="AN347" s="11" t="str">
        <f>IF(HR_Data[[#This Row],[PerformanceRating]]=3,"Standard","Excellent")</f>
        <v>Standard</v>
      </c>
      <c r="AO347" s="11" t="str">
        <f>IF(HR_Data[[#This Row],[JobSatisfaction]]&lt;=2,"Low","High")</f>
        <v>High</v>
      </c>
      <c r="AP347" s="11" t="str">
        <f>IF(AND(HR_Data[[#This Row],[OverTime]]="Yes",HR_Data[[#This Row],[JobSatisfaction]]&lt;=2,HR_Data[[#This Row],[YearsAtCompany]]&lt;=2),"High Risk","Normal")</f>
        <v>Normal</v>
      </c>
    </row>
    <row r="348" spans="1:42" x14ac:dyDescent="0.25">
      <c r="A348" s="6">
        <v>41</v>
      </c>
      <c r="B348" s="4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s="11" t="str">
        <f>IF(HR_Data[[#This Row],[Age]]&lt;=25,"18-25",IF(HR_Data[[#This Row],[Age]]&lt;=35,"26-35",IF(HR_Data[[#This Row],[Age]]&lt;=45,"36-45",IF(HR_Data[[#This Row],[Age]]&lt;=55,"46-55","56+"))))</f>
        <v>36-45</v>
      </c>
      <c r="AK348" s="11" t="str">
        <f>IF(HR_Data[[#This Row],[MonthlyIncome]]&lt;3000,"Low",IF(HR_Data[[#This Row],[MonthlyIncome]]&lt;6000,"Medium",IF(HR_Data[[#This Row],[MonthlyIncome]]&lt;10000,"High","Very High")))</f>
        <v>High</v>
      </c>
      <c r="AL34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48" t="str">
        <f>IF(HR_Data[[#This Row],[TotalWorkingYears]]&lt;=5,"Junior",IF(HR_Data[[#This Row],[TotalWorkingYears]]&lt;=15,"Mid-Level","Senior"))</f>
        <v>Mid-Level</v>
      </c>
      <c r="AN348" s="11" t="str">
        <f>IF(HR_Data[[#This Row],[PerformanceRating]]=3,"Standard","Excellent")</f>
        <v>Standard</v>
      </c>
      <c r="AO348" s="11" t="str">
        <f>IF(HR_Data[[#This Row],[JobSatisfaction]]&lt;=2,"Low","High")</f>
        <v>Low</v>
      </c>
      <c r="AP348" s="11" t="str">
        <f>IF(AND(HR_Data[[#This Row],[OverTime]]="Yes",HR_Data[[#This Row],[JobSatisfaction]]&lt;=2,HR_Data[[#This Row],[YearsAtCompany]]&lt;=2),"High Risk","Normal")</f>
        <v>Normal</v>
      </c>
    </row>
    <row r="349" spans="1:42" x14ac:dyDescent="0.25">
      <c r="A349" s="6">
        <v>47</v>
      </c>
      <c r="B349" s="4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s="11" t="str">
        <f>IF(HR_Data[[#This Row],[Age]]&lt;=25,"18-25",IF(HR_Data[[#This Row],[Age]]&lt;=35,"26-35",IF(HR_Data[[#This Row],[Age]]&lt;=45,"36-45",IF(HR_Data[[#This Row],[Age]]&lt;=55,"46-55","56+"))))</f>
        <v>46-55</v>
      </c>
      <c r="AK349" s="11" t="str">
        <f>IF(HR_Data[[#This Row],[MonthlyIncome]]&lt;3000,"Low",IF(HR_Data[[#This Row],[MonthlyIncome]]&lt;6000,"Medium",IF(HR_Data[[#This Row],[MonthlyIncome]]&lt;10000,"High","Very High")))</f>
        <v>Low</v>
      </c>
      <c r="AL34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49" t="str">
        <f>IF(HR_Data[[#This Row],[TotalWorkingYears]]&lt;=5,"Junior",IF(HR_Data[[#This Row],[TotalWorkingYears]]&lt;=15,"Mid-Level","Senior"))</f>
        <v>Junior</v>
      </c>
      <c r="AN349" s="11" t="str">
        <f>IF(HR_Data[[#This Row],[PerformanceRating]]=3,"Standard","Excellent")</f>
        <v>Standard</v>
      </c>
      <c r="AO349" s="11" t="str">
        <f>IF(HR_Data[[#This Row],[JobSatisfaction]]&lt;=2,"Low","High")</f>
        <v>High</v>
      </c>
      <c r="AP349" s="11" t="str">
        <f>IF(AND(HR_Data[[#This Row],[OverTime]]="Yes",HR_Data[[#This Row],[JobSatisfaction]]&lt;=2,HR_Data[[#This Row],[YearsAtCompany]]&lt;=2),"High Risk","Normal")</f>
        <v>Normal</v>
      </c>
    </row>
    <row r="350" spans="1:42" x14ac:dyDescent="0.25">
      <c r="A350" s="6">
        <v>42</v>
      </c>
      <c r="B350" s="4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s="11" t="str">
        <f>IF(HR_Data[[#This Row],[Age]]&lt;=25,"18-25",IF(HR_Data[[#This Row],[Age]]&lt;=35,"26-35",IF(HR_Data[[#This Row],[Age]]&lt;=45,"36-45",IF(HR_Data[[#This Row],[Age]]&lt;=55,"46-55","56+"))))</f>
        <v>36-45</v>
      </c>
      <c r="AK350" s="11" t="str">
        <f>IF(HR_Data[[#This Row],[MonthlyIncome]]&lt;3000,"Low",IF(HR_Data[[#This Row],[MonthlyIncome]]&lt;6000,"Medium",IF(HR_Data[[#This Row],[MonthlyIncome]]&lt;10000,"High","Very High")))</f>
        <v>Very High</v>
      </c>
      <c r="AL35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50" t="str">
        <f>IF(HR_Data[[#This Row],[TotalWorkingYears]]&lt;=5,"Junior",IF(HR_Data[[#This Row],[TotalWorkingYears]]&lt;=15,"Mid-Level","Senior"))</f>
        <v>Senior</v>
      </c>
      <c r="AN350" s="11" t="str">
        <f>IF(HR_Data[[#This Row],[PerformanceRating]]=3,"Standard","Excellent")</f>
        <v>Standard</v>
      </c>
      <c r="AO350" s="11" t="str">
        <f>IF(HR_Data[[#This Row],[JobSatisfaction]]&lt;=2,"Low","High")</f>
        <v>High</v>
      </c>
      <c r="AP350" s="11" t="str">
        <f>IF(AND(HR_Data[[#This Row],[OverTime]]="Yes",HR_Data[[#This Row],[JobSatisfaction]]&lt;=2,HR_Data[[#This Row],[YearsAtCompany]]&lt;=2),"High Risk","Normal")</f>
        <v>Normal</v>
      </c>
    </row>
    <row r="351" spans="1:42" x14ac:dyDescent="0.25">
      <c r="A351" s="6">
        <v>29</v>
      </c>
      <c r="B351" s="4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s="11" t="str">
        <f>IF(HR_Data[[#This Row],[Age]]&lt;=25,"18-25",IF(HR_Data[[#This Row],[Age]]&lt;=35,"26-35",IF(HR_Data[[#This Row],[Age]]&lt;=45,"36-45",IF(HR_Data[[#This Row],[Age]]&lt;=55,"46-55","56+"))))</f>
        <v>26-35</v>
      </c>
      <c r="AK351" s="11" t="str">
        <f>IF(HR_Data[[#This Row],[MonthlyIncome]]&lt;3000,"Low",IF(HR_Data[[#This Row],[MonthlyIncome]]&lt;6000,"Medium",IF(HR_Data[[#This Row],[MonthlyIncome]]&lt;10000,"High","Very High")))</f>
        <v>Medium</v>
      </c>
      <c r="AL35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51" t="str">
        <f>IF(HR_Data[[#This Row],[TotalWorkingYears]]&lt;=5,"Junior",IF(HR_Data[[#This Row],[TotalWorkingYears]]&lt;=15,"Mid-Level","Senior"))</f>
        <v>Junior</v>
      </c>
      <c r="AN351" s="11" t="str">
        <f>IF(HR_Data[[#This Row],[PerformanceRating]]=3,"Standard","Excellent")</f>
        <v>Standard</v>
      </c>
      <c r="AO351" s="11" t="str">
        <f>IF(HR_Data[[#This Row],[JobSatisfaction]]&lt;=2,"Low","High")</f>
        <v>High</v>
      </c>
      <c r="AP351" s="11" t="str">
        <f>IF(AND(HR_Data[[#This Row],[OverTime]]="Yes",HR_Data[[#This Row],[JobSatisfaction]]&lt;=2,HR_Data[[#This Row],[YearsAtCompany]]&lt;=2),"High Risk","Normal")</f>
        <v>Normal</v>
      </c>
    </row>
    <row r="352" spans="1:42" x14ac:dyDescent="0.25">
      <c r="A352" s="6">
        <v>42</v>
      </c>
      <c r="B352" s="4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s="11" t="str">
        <f>IF(HR_Data[[#This Row],[Age]]&lt;=25,"18-25",IF(HR_Data[[#This Row],[Age]]&lt;=35,"26-35",IF(HR_Data[[#This Row],[Age]]&lt;=45,"36-45",IF(HR_Data[[#This Row],[Age]]&lt;=55,"46-55","56+"))))</f>
        <v>36-45</v>
      </c>
      <c r="AK352" s="11" t="str">
        <f>IF(HR_Data[[#This Row],[MonthlyIncome]]&lt;3000,"Low",IF(HR_Data[[#This Row],[MonthlyIncome]]&lt;6000,"Medium",IF(HR_Data[[#This Row],[MonthlyIncome]]&lt;10000,"High","Very High")))</f>
        <v>Low</v>
      </c>
      <c r="AL35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52" t="str">
        <f>IF(HR_Data[[#This Row],[TotalWorkingYears]]&lt;=5,"Junior",IF(HR_Data[[#This Row],[TotalWorkingYears]]&lt;=15,"Mid-Level","Senior"))</f>
        <v>Junior</v>
      </c>
      <c r="AN352" s="11" t="str">
        <f>IF(HR_Data[[#This Row],[PerformanceRating]]=3,"Standard","Excellent")</f>
        <v>Standard</v>
      </c>
      <c r="AO352" s="11" t="str">
        <f>IF(HR_Data[[#This Row],[JobSatisfaction]]&lt;=2,"Low","High")</f>
        <v>High</v>
      </c>
      <c r="AP352" s="11" t="str">
        <f>IF(AND(HR_Data[[#This Row],[OverTime]]="Yes",HR_Data[[#This Row],[JobSatisfaction]]&lt;=2,HR_Data[[#This Row],[YearsAtCompany]]&lt;=2),"High Risk","Normal")</f>
        <v>Normal</v>
      </c>
    </row>
    <row r="353" spans="1:42" x14ac:dyDescent="0.25">
      <c r="A353" s="6">
        <v>32</v>
      </c>
      <c r="B353" s="4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s="11" t="str">
        <f>IF(HR_Data[[#This Row],[Age]]&lt;=25,"18-25",IF(HR_Data[[#This Row],[Age]]&lt;=35,"26-35",IF(HR_Data[[#This Row],[Age]]&lt;=45,"36-45",IF(HR_Data[[#This Row],[Age]]&lt;=55,"46-55","56+"))))</f>
        <v>26-35</v>
      </c>
      <c r="AK353" s="11" t="str">
        <f>IF(HR_Data[[#This Row],[MonthlyIncome]]&lt;3000,"Low",IF(HR_Data[[#This Row],[MonthlyIncome]]&lt;6000,"Medium",IF(HR_Data[[#This Row],[MonthlyIncome]]&lt;10000,"High","Very High")))</f>
        <v>Low</v>
      </c>
      <c r="AL35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53" t="str">
        <f>IF(HR_Data[[#This Row],[TotalWorkingYears]]&lt;=5,"Junior",IF(HR_Data[[#This Row],[TotalWorkingYears]]&lt;=15,"Mid-Level","Senior"))</f>
        <v>Mid-Level</v>
      </c>
      <c r="AN353" s="11" t="str">
        <f>IF(HR_Data[[#This Row],[PerformanceRating]]=3,"Standard","Excellent")</f>
        <v>Standard</v>
      </c>
      <c r="AO353" s="11" t="str">
        <f>IF(HR_Data[[#This Row],[JobSatisfaction]]&lt;=2,"Low","High")</f>
        <v>Low</v>
      </c>
      <c r="AP353" s="11" t="str">
        <f>IF(AND(HR_Data[[#This Row],[OverTime]]="Yes",HR_Data[[#This Row],[JobSatisfaction]]&lt;=2,HR_Data[[#This Row],[YearsAtCompany]]&lt;=2),"High Risk","Normal")</f>
        <v>Normal</v>
      </c>
    </row>
    <row r="354" spans="1:42" x14ac:dyDescent="0.25">
      <c r="A354" s="6">
        <v>48</v>
      </c>
      <c r="B354" s="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s="11" t="str">
        <f>IF(HR_Data[[#This Row],[Age]]&lt;=25,"18-25",IF(HR_Data[[#This Row],[Age]]&lt;=35,"26-35",IF(HR_Data[[#This Row],[Age]]&lt;=45,"36-45",IF(HR_Data[[#This Row],[Age]]&lt;=55,"46-55","56+"))))</f>
        <v>46-55</v>
      </c>
      <c r="AK354" s="11" t="str">
        <f>IF(HR_Data[[#This Row],[MonthlyIncome]]&lt;3000,"Low",IF(HR_Data[[#This Row],[MonthlyIncome]]&lt;6000,"Medium",IF(HR_Data[[#This Row],[MonthlyIncome]]&lt;10000,"High","Very High")))</f>
        <v>Very High</v>
      </c>
      <c r="AL35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54" t="str">
        <f>IF(HR_Data[[#This Row],[TotalWorkingYears]]&lt;=5,"Junior",IF(HR_Data[[#This Row],[TotalWorkingYears]]&lt;=15,"Mid-Level","Senior"))</f>
        <v>Mid-Level</v>
      </c>
      <c r="AN354" s="11" t="str">
        <f>IF(HR_Data[[#This Row],[PerformanceRating]]=3,"Standard","Excellent")</f>
        <v>Excellent</v>
      </c>
      <c r="AO354" s="11" t="str">
        <f>IF(HR_Data[[#This Row],[JobSatisfaction]]&lt;=2,"Low","High")</f>
        <v>High</v>
      </c>
      <c r="AP354" s="11" t="str">
        <f>IF(AND(HR_Data[[#This Row],[OverTime]]="Yes",HR_Data[[#This Row],[JobSatisfaction]]&lt;=2,HR_Data[[#This Row],[YearsAtCompany]]&lt;=2),"High Risk","Normal")</f>
        <v>Normal</v>
      </c>
    </row>
    <row r="355" spans="1:42" x14ac:dyDescent="0.25">
      <c r="A355" s="6">
        <v>37</v>
      </c>
      <c r="B355" s="4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s="11" t="str">
        <f>IF(HR_Data[[#This Row],[Age]]&lt;=25,"18-25",IF(HR_Data[[#This Row],[Age]]&lt;=35,"26-35",IF(HR_Data[[#This Row],[Age]]&lt;=45,"36-45",IF(HR_Data[[#This Row],[Age]]&lt;=55,"46-55","56+"))))</f>
        <v>36-45</v>
      </c>
      <c r="AK355" s="11" t="str">
        <f>IF(HR_Data[[#This Row],[MonthlyIncome]]&lt;3000,"Low",IF(HR_Data[[#This Row],[MonthlyIncome]]&lt;6000,"Medium",IF(HR_Data[[#This Row],[MonthlyIncome]]&lt;10000,"High","Very High")))</f>
        <v>Medium</v>
      </c>
      <c r="AL35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55" t="str">
        <f>IF(HR_Data[[#This Row],[TotalWorkingYears]]&lt;=5,"Junior",IF(HR_Data[[#This Row],[TotalWorkingYears]]&lt;=15,"Mid-Level","Senior"))</f>
        <v>Mid-Level</v>
      </c>
      <c r="AN355" s="11" t="str">
        <f>IF(HR_Data[[#This Row],[PerformanceRating]]=3,"Standard","Excellent")</f>
        <v>Standard</v>
      </c>
      <c r="AO355" s="11" t="str">
        <f>IF(HR_Data[[#This Row],[JobSatisfaction]]&lt;=2,"Low","High")</f>
        <v>Low</v>
      </c>
      <c r="AP355" s="11" t="str">
        <f>IF(AND(HR_Data[[#This Row],[OverTime]]="Yes",HR_Data[[#This Row],[JobSatisfaction]]&lt;=2,HR_Data[[#This Row],[YearsAtCompany]]&lt;=2),"High Risk","Normal")</f>
        <v>Normal</v>
      </c>
    </row>
    <row r="356" spans="1:42" x14ac:dyDescent="0.25">
      <c r="A356" s="6">
        <v>30</v>
      </c>
      <c r="B356" s="4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s="11" t="str">
        <f>IF(HR_Data[[#This Row],[Age]]&lt;=25,"18-25",IF(HR_Data[[#This Row],[Age]]&lt;=35,"26-35",IF(HR_Data[[#This Row],[Age]]&lt;=45,"36-45",IF(HR_Data[[#This Row],[Age]]&lt;=55,"46-55","56+"))))</f>
        <v>26-35</v>
      </c>
      <c r="AK356" s="11" t="str">
        <f>IF(HR_Data[[#This Row],[MonthlyIncome]]&lt;3000,"Low",IF(HR_Data[[#This Row],[MonthlyIncome]]&lt;6000,"Medium",IF(HR_Data[[#This Row],[MonthlyIncome]]&lt;10000,"High","Very High")))</f>
        <v>Medium</v>
      </c>
      <c r="AL35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56" t="str">
        <f>IF(HR_Data[[#This Row],[TotalWorkingYears]]&lt;=5,"Junior",IF(HR_Data[[#This Row],[TotalWorkingYears]]&lt;=15,"Mid-Level","Senior"))</f>
        <v>Junior</v>
      </c>
      <c r="AN356" s="11" t="str">
        <f>IF(HR_Data[[#This Row],[PerformanceRating]]=3,"Standard","Excellent")</f>
        <v>Standard</v>
      </c>
      <c r="AO356" s="11" t="str">
        <f>IF(HR_Data[[#This Row],[JobSatisfaction]]&lt;=2,"Low","High")</f>
        <v>High</v>
      </c>
      <c r="AP356" s="11" t="str">
        <f>IF(AND(HR_Data[[#This Row],[OverTime]]="Yes",HR_Data[[#This Row],[JobSatisfaction]]&lt;=2,HR_Data[[#This Row],[YearsAtCompany]]&lt;=2),"High Risk","Normal")</f>
        <v>Normal</v>
      </c>
    </row>
    <row r="357" spans="1:42" x14ac:dyDescent="0.25">
      <c r="A357" s="6">
        <v>26</v>
      </c>
      <c r="B357" s="4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s="11" t="str">
        <f>IF(HR_Data[[#This Row],[Age]]&lt;=25,"18-25",IF(HR_Data[[#This Row],[Age]]&lt;=35,"26-35",IF(HR_Data[[#This Row],[Age]]&lt;=45,"36-45",IF(HR_Data[[#This Row],[Age]]&lt;=55,"46-55","56+"))))</f>
        <v>26-35</v>
      </c>
      <c r="AK357" s="11" t="str">
        <f>IF(HR_Data[[#This Row],[MonthlyIncome]]&lt;3000,"Low",IF(HR_Data[[#This Row],[MonthlyIncome]]&lt;6000,"Medium",IF(HR_Data[[#This Row],[MonthlyIncome]]&lt;10000,"High","Very High")))</f>
        <v>Medium</v>
      </c>
      <c r="AL35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57" t="str">
        <f>IF(HR_Data[[#This Row],[TotalWorkingYears]]&lt;=5,"Junior",IF(HR_Data[[#This Row],[TotalWorkingYears]]&lt;=15,"Mid-Level","Senior"))</f>
        <v>Mid-Level</v>
      </c>
      <c r="AN357" s="11" t="str">
        <f>IF(HR_Data[[#This Row],[PerformanceRating]]=3,"Standard","Excellent")</f>
        <v>Standard</v>
      </c>
      <c r="AO357" s="11" t="str">
        <f>IF(HR_Data[[#This Row],[JobSatisfaction]]&lt;=2,"Low","High")</f>
        <v>High</v>
      </c>
      <c r="AP357" s="11" t="str">
        <f>IF(AND(HR_Data[[#This Row],[OverTime]]="Yes",HR_Data[[#This Row],[JobSatisfaction]]&lt;=2,HR_Data[[#This Row],[YearsAtCompany]]&lt;=2),"High Risk","Normal")</f>
        <v>Normal</v>
      </c>
    </row>
    <row r="358" spans="1:42" x14ac:dyDescent="0.25">
      <c r="A358" s="6">
        <v>42</v>
      </c>
      <c r="B358" s="4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s="11" t="str">
        <f>IF(HR_Data[[#This Row],[Age]]&lt;=25,"18-25",IF(HR_Data[[#This Row],[Age]]&lt;=35,"26-35",IF(HR_Data[[#This Row],[Age]]&lt;=45,"36-45",IF(HR_Data[[#This Row],[Age]]&lt;=55,"46-55","56+"))))</f>
        <v>36-45</v>
      </c>
      <c r="AK358" s="11" t="str">
        <f>IF(HR_Data[[#This Row],[MonthlyIncome]]&lt;3000,"Low",IF(HR_Data[[#This Row],[MonthlyIncome]]&lt;6000,"Medium",IF(HR_Data[[#This Row],[MonthlyIncome]]&lt;10000,"High","Very High")))</f>
        <v>High</v>
      </c>
      <c r="AL35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58" t="str">
        <f>IF(HR_Data[[#This Row],[TotalWorkingYears]]&lt;=5,"Junior",IF(HR_Data[[#This Row],[TotalWorkingYears]]&lt;=15,"Mid-Level","Senior"))</f>
        <v>Mid-Level</v>
      </c>
      <c r="AN358" s="11" t="str">
        <f>IF(HR_Data[[#This Row],[PerformanceRating]]=3,"Standard","Excellent")</f>
        <v>Excellent</v>
      </c>
      <c r="AO358" s="11" t="str">
        <f>IF(HR_Data[[#This Row],[JobSatisfaction]]&lt;=2,"Low","High")</f>
        <v>High</v>
      </c>
      <c r="AP358" s="11" t="str">
        <f>IF(AND(HR_Data[[#This Row],[OverTime]]="Yes",HR_Data[[#This Row],[JobSatisfaction]]&lt;=2,HR_Data[[#This Row],[YearsAtCompany]]&lt;=2),"High Risk","Normal")</f>
        <v>Normal</v>
      </c>
    </row>
    <row r="359" spans="1:42" x14ac:dyDescent="0.25">
      <c r="A359" s="6">
        <v>21</v>
      </c>
      <c r="B359" s="4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s="11" t="str">
        <f>IF(HR_Data[[#This Row],[Age]]&lt;=25,"18-25",IF(HR_Data[[#This Row],[Age]]&lt;=35,"26-35",IF(HR_Data[[#This Row],[Age]]&lt;=45,"36-45",IF(HR_Data[[#This Row],[Age]]&lt;=55,"46-55","56+"))))</f>
        <v>18-25</v>
      </c>
      <c r="AK359" s="11" t="str">
        <f>IF(HR_Data[[#This Row],[MonthlyIncome]]&lt;3000,"Low",IF(HR_Data[[#This Row],[MonthlyIncome]]&lt;6000,"Medium",IF(HR_Data[[#This Row],[MonthlyIncome]]&lt;10000,"High","Very High")))</f>
        <v>Low</v>
      </c>
      <c r="AL35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59" t="str">
        <f>IF(HR_Data[[#This Row],[TotalWorkingYears]]&lt;=5,"Junior",IF(HR_Data[[#This Row],[TotalWorkingYears]]&lt;=15,"Mid-Level","Senior"))</f>
        <v>Junior</v>
      </c>
      <c r="AN359" s="11" t="str">
        <f>IF(HR_Data[[#This Row],[PerformanceRating]]=3,"Standard","Excellent")</f>
        <v>Standard</v>
      </c>
      <c r="AO359" s="11" t="str">
        <f>IF(HR_Data[[#This Row],[JobSatisfaction]]&lt;=2,"Low","High")</f>
        <v>Low</v>
      </c>
      <c r="AP359" s="11" t="str">
        <f>IF(AND(HR_Data[[#This Row],[OverTime]]="Yes",HR_Data[[#This Row],[JobSatisfaction]]&lt;=2,HR_Data[[#This Row],[YearsAtCompany]]&lt;=2),"High Risk","Normal")</f>
        <v>Normal</v>
      </c>
    </row>
    <row r="360" spans="1:42" x14ac:dyDescent="0.25">
      <c r="A360" s="6">
        <v>36</v>
      </c>
      <c r="B360" s="4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s="11" t="str">
        <f>IF(HR_Data[[#This Row],[Age]]&lt;=25,"18-25",IF(HR_Data[[#This Row],[Age]]&lt;=35,"26-35",IF(HR_Data[[#This Row],[Age]]&lt;=45,"36-45",IF(HR_Data[[#This Row],[Age]]&lt;=55,"46-55","56+"))))</f>
        <v>36-45</v>
      </c>
      <c r="AK360" s="11" t="str">
        <f>IF(HR_Data[[#This Row],[MonthlyIncome]]&lt;3000,"Low",IF(HR_Data[[#This Row],[MonthlyIncome]]&lt;6000,"Medium",IF(HR_Data[[#This Row],[MonthlyIncome]]&lt;10000,"High","Very High")))</f>
        <v>High</v>
      </c>
      <c r="AL36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60" t="str">
        <f>IF(HR_Data[[#This Row],[TotalWorkingYears]]&lt;=5,"Junior",IF(HR_Data[[#This Row],[TotalWorkingYears]]&lt;=15,"Mid-Level","Senior"))</f>
        <v>Mid-Level</v>
      </c>
      <c r="AN360" s="11" t="str">
        <f>IF(HR_Data[[#This Row],[PerformanceRating]]=3,"Standard","Excellent")</f>
        <v>Standard</v>
      </c>
      <c r="AO360" s="11" t="str">
        <f>IF(HR_Data[[#This Row],[JobSatisfaction]]&lt;=2,"Low","High")</f>
        <v>High</v>
      </c>
      <c r="AP360" s="11" t="str">
        <f>IF(AND(HR_Data[[#This Row],[OverTime]]="Yes",HR_Data[[#This Row],[JobSatisfaction]]&lt;=2,HR_Data[[#This Row],[YearsAtCompany]]&lt;=2),"High Risk","Normal")</f>
        <v>Normal</v>
      </c>
    </row>
    <row r="361" spans="1:42" x14ac:dyDescent="0.25">
      <c r="A361" s="6">
        <v>36</v>
      </c>
      <c r="B361" s="4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s="11" t="str">
        <f>IF(HR_Data[[#This Row],[Age]]&lt;=25,"18-25",IF(HR_Data[[#This Row],[Age]]&lt;=35,"26-35",IF(HR_Data[[#This Row],[Age]]&lt;=45,"36-45",IF(HR_Data[[#This Row],[Age]]&lt;=55,"46-55","56+"))))</f>
        <v>36-45</v>
      </c>
      <c r="AK361" s="11" t="str">
        <f>IF(HR_Data[[#This Row],[MonthlyIncome]]&lt;3000,"Low",IF(HR_Data[[#This Row],[MonthlyIncome]]&lt;6000,"Medium",IF(HR_Data[[#This Row],[MonthlyIncome]]&lt;10000,"High","Very High")))</f>
        <v>High</v>
      </c>
      <c r="AL361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361" t="str">
        <f>IF(HR_Data[[#This Row],[TotalWorkingYears]]&lt;=5,"Junior",IF(HR_Data[[#This Row],[TotalWorkingYears]]&lt;=15,"Mid-Level","Senior"))</f>
        <v>Senior</v>
      </c>
      <c r="AN361" s="11" t="str">
        <f>IF(HR_Data[[#This Row],[PerformanceRating]]=3,"Standard","Excellent")</f>
        <v>Standard</v>
      </c>
      <c r="AO361" s="11" t="str">
        <f>IF(HR_Data[[#This Row],[JobSatisfaction]]&lt;=2,"Low","High")</f>
        <v>High</v>
      </c>
      <c r="AP361" s="11" t="str">
        <f>IF(AND(HR_Data[[#This Row],[OverTime]]="Yes",HR_Data[[#This Row],[JobSatisfaction]]&lt;=2,HR_Data[[#This Row],[YearsAtCompany]]&lt;=2),"High Risk","Normal")</f>
        <v>Normal</v>
      </c>
    </row>
    <row r="362" spans="1:42" x14ac:dyDescent="0.25">
      <c r="A362" s="6">
        <v>57</v>
      </c>
      <c r="B362" s="4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s="11" t="str">
        <f>IF(HR_Data[[#This Row],[Age]]&lt;=25,"18-25",IF(HR_Data[[#This Row],[Age]]&lt;=35,"26-35",IF(HR_Data[[#This Row],[Age]]&lt;=45,"36-45",IF(HR_Data[[#This Row],[Age]]&lt;=55,"46-55","56+"))))</f>
        <v>56+</v>
      </c>
      <c r="AK362" s="11" t="str">
        <f>IF(HR_Data[[#This Row],[MonthlyIncome]]&lt;3000,"Low",IF(HR_Data[[#This Row],[MonthlyIncome]]&lt;6000,"Medium",IF(HR_Data[[#This Row],[MonthlyIncome]]&lt;10000,"High","Very High")))</f>
        <v>High</v>
      </c>
      <c r="AL36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62" t="str">
        <f>IF(HR_Data[[#This Row],[TotalWorkingYears]]&lt;=5,"Junior",IF(HR_Data[[#This Row],[TotalWorkingYears]]&lt;=15,"Mid-Level","Senior"))</f>
        <v>Mid-Level</v>
      </c>
      <c r="AN362" s="11" t="str">
        <f>IF(HR_Data[[#This Row],[PerformanceRating]]=3,"Standard","Excellent")</f>
        <v>Standard</v>
      </c>
      <c r="AO362" s="11" t="str">
        <f>IF(HR_Data[[#This Row],[JobSatisfaction]]&lt;=2,"Low","High")</f>
        <v>High</v>
      </c>
      <c r="AP362" s="11" t="str">
        <f>IF(AND(HR_Data[[#This Row],[OverTime]]="Yes",HR_Data[[#This Row],[JobSatisfaction]]&lt;=2,HR_Data[[#This Row],[YearsAtCompany]]&lt;=2),"High Risk","Normal")</f>
        <v>Normal</v>
      </c>
    </row>
    <row r="363" spans="1:42" x14ac:dyDescent="0.25">
      <c r="A363" s="6">
        <v>40</v>
      </c>
      <c r="B363" s="4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s="11" t="str">
        <f>IF(HR_Data[[#This Row],[Age]]&lt;=25,"18-25",IF(HR_Data[[#This Row],[Age]]&lt;=35,"26-35",IF(HR_Data[[#This Row],[Age]]&lt;=45,"36-45",IF(HR_Data[[#This Row],[Age]]&lt;=55,"46-55","56+"))))</f>
        <v>36-45</v>
      </c>
      <c r="AK363" s="11" t="str">
        <f>IF(HR_Data[[#This Row],[MonthlyIncome]]&lt;3000,"Low",IF(HR_Data[[#This Row],[MonthlyIncome]]&lt;6000,"Medium",IF(HR_Data[[#This Row],[MonthlyIncome]]&lt;10000,"High","Very High")))</f>
        <v>Low</v>
      </c>
      <c r="AL36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63" t="str">
        <f>IF(HR_Data[[#This Row],[TotalWorkingYears]]&lt;=5,"Junior",IF(HR_Data[[#This Row],[TotalWorkingYears]]&lt;=15,"Mid-Level","Senior"))</f>
        <v>Mid-Level</v>
      </c>
      <c r="AN363" s="11" t="str">
        <f>IF(HR_Data[[#This Row],[PerformanceRating]]=3,"Standard","Excellent")</f>
        <v>Standard</v>
      </c>
      <c r="AO363" s="11" t="str">
        <f>IF(HR_Data[[#This Row],[JobSatisfaction]]&lt;=2,"Low","High")</f>
        <v>High</v>
      </c>
      <c r="AP363" s="11" t="str">
        <f>IF(AND(HR_Data[[#This Row],[OverTime]]="Yes",HR_Data[[#This Row],[JobSatisfaction]]&lt;=2,HR_Data[[#This Row],[YearsAtCompany]]&lt;=2),"High Risk","Normal")</f>
        <v>Normal</v>
      </c>
    </row>
    <row r="364" spans="1:42" x14ac:dyDescent="0.25">
      <c r="A364" s="6">
        <v>21</v>
      </c>
      <c r="B364" s="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s="11" t="str">
        <f>IF(HR_Data[[#This Row],[Age]]&lt;=25,"18-25",IF(HR_Data[[#This Row],[Age]]&lt;=35,"26-35",IF(HR_Data[[#This Row],[Age]]&lt;=45,"36-45",IF(HR_Data[[#This Row],[Age]]&lt;=55,"46-55","56+"))))</f>
        <v>18-25</v>
      </c>
      <c r="AK364" s="11" t="str">
        <f>IF(HR_Data[[#This Row],[MonthlyIncome]]&lt;3000,"Low",IF(HR_Data[[#This Row],[MonthlyIncome]]&lt;6000,"Medium",IF(HR_Data[[#This Row],[MonthlyIncome]]&lt;10000,"High","Very High")))</f>
        <v>Low</v>
      </c>
      <c r="AL36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64" t="str">
        <f>IF(HR_Data[[#This Row],[TotalWorkingYears]]&lt;=5,"Junior",IF(HR_Data[[#This Row],[TotalWorkingYears]]&lt;=15,"Mid-Level","Senior"))</f>
        <v>Junior</v>
      </c>
      <c r="AN364" s="11" t="str">
        <f>IF(HR_Data[[#This Row],[PerformanceRating]]=3,"Standard","Excellent")</f>
        <v>Excellent</v>
      </c>
      <c r="AO364" s="11" t="str">
        <f>IF(HR_Data[[#This Row],[JobSatisfaction]]&lt;=2,"Low","High")</f>
        <v>High</v>
      </c>
      <c r="AP364" s="11" t="str">
        <f>IF(AND(HR_Data[[#This Row],[OverTime]]="Yes",HR_Data[[#This Row],[JobSatisfaction]]&lt;=2,HR_Data[[#This Row],[YearsAtCompany]]&lt;=2),"High Risk","Normal")</f>
        <v>Normal</v>
      </c>
    </row>
    <row r="365" spans="1:42" x14ac:dyDescent="0.25">
      <c r="A365" s="6">
        <v>33</v>
      </c>
      <c r="B365" s="4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s="11" t="str">
        <f>IF(HR_Data[[#This Row],[Age]]&lt;=25,"18-25",IF(HR_Data[[#This Row],[Age]]&lt;=35,"26-35",IF(HR_Data[[#This Row],[Age]]&lt;=45,"36-45",IF(HR_Data[[#This Row],[Age]]&lt;=55,"46-55","56+"))))</f>
        <v>26-35</v>
      </c>
      <c r="AK365" s="11" t="str">
        <f>IF(HR_Data[[#This Row],[MonthlyIncome]]&lt;3000,"Low",IF(HR_Data[[#This Row],[MonthlyIncome]]&lt;6000,"Medium",IF(HR_Data[[#This Row],[MonthlyIncome]]&lt;10000,"High","Very High")))</f>
        <v>Low</v>
      </c>
      <c r="AL36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65" t="str">
        <f>IF(HR_Data[[#This Row],[TotalWorkingYears]]&lt;=5,"Junior",IF(HR_Data[[#This Row],[TotalWorkingYears]]&lt;=15,"Mid-Level","Senior"))</f>
        <v>Junior</v>
      </c>
      <c r="AN365" s="11" t="str">
        <f>IF(HR_Data[[#This Row],[PerformanceRating]]=3,"Standard","Excellent")</f>
        <v>Standard</v>
      </c>
      <c r="AO365" s="11" t="str">
        <f>IF(HR_Data[[#This Row],[JobSatisfaction]]&lt;=2,"Low","High")</f>
        <v>High</v>
      </c>
      <c r="AP365" s="11" t="str">
        <f>IF(AND(HR_Data[[#This Row],[OverTime]]="Yes",HR_Data[[#This Row],[JobSatisfaction]]&lt;=2,HR_Data[[#This Row],[YearsAtCompany]]&lt;=2),"High Risk","Normal")</f>
        <v>Normal</v>
      </c>
    </row>
    <row r="366" spans="1:42" x14ac:dyDescent="0.25">
      <c r="A366" s="6">
        <v>37</v>
      </c>
      <c r="B366" s="4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s="11" t="str">
        <f>IF(HR_Data[[#This Row],[Age]]&lt;=25,"18-25",IF(HR_Data[[#This Row],[Age]]&lt;=35,"26-35",IF(HR_Data[[#This Row],[Age]]&lt;=45,"36-45",IF(HR_Data[[#This Row],[Age]]&lt;=55,"46-55","56+"))))</f>
        <v>36-45</v>
      </c>
      <c r="AK366" s="11" t="str">
        <f>IF(HR_Data[[#This Row],[MonthlyIncome]]&lt;3000,"Low",IF(HR_Data[[#This Row],[MonthlyIncome]]&lt;6000,"Medium",IF(HR_Data[[#This Row],[MonthlyIncome]]&lt;10000,"High","Very High")))</f>
        <v>Medium</v>
      </c>
      <c r="AL36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66" t="str">
        <f>IF(HR_Data[[#This Row],[TotalWorkingYears]]&lt;=5,"Junior",IF(HR_Data[[#This Row],[TotalWorkingYears]]&lt;=15,"Mid-Level","Senior"))</f>
        <v>Senior</v>
      </c>
      <c r="AN366" s="11" t="str">
        <f>IF(HR_Data[[#This Row],[PerformanceRating]]=3,"Standard","Excellent")</f>
        <v>Excellent</v>
      </c>
      <c r="AO366" s="11" t="str">
        <f>IF(HR_Data[[#This Row],[JobSatisfaction]]&lt;=2,"Low","High")</f>
        <v>Low</v>
      </c>
      <c r="AP366" s="11" t="str">
        <f>IF(AND(HR_Data[[#This Row],[OverTime]]="Yes",HR_Data[[#This Row],[JobSatisfaction]]&lt;=2,HR_Data[[#This Row],[YearsAtCompany]]&lt;=2),"High Risk","Normal")</f>
        <v>Normal</v>
      </c>
    </row>
    <row r="367" spans="1:42" x14ac:dyDescent="0.25">
      <c r="A367" s="6">
        <v>46</v>
      </c>
      <c r="B367" s="4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s="11" t="str">
        <f>IF(HR_Data[[#This Row],[Age]]&lt;=25,"18-25",IF(HR_Data[[#This Row],[Age]]&lt;=35,"26-35",IF(HR_Data[[#This Row],[Age]]&lt;=45,"36-45",IF(HR_Data[[#This Row],[Age]]&lt;=55,"46-55","56+"))))</f>
        <v>46-55</v>
      </c>
      <c r="AK367" s="11" t="str">
        <f>IF(HR_Data[[#This Row],[MonthlyIncome]]&lt;3000,"Low",IF(HR_Data[[#This Row],[MonthlyIncome]]&lt;6000,"Medium",IF(HR_Data[[#This Row],[MonthlyIncome]]&lt;10000,"High","Very High")))</f>
        <v>Medium</v>
      </c>
      <c r="AL36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67" t="str">
        <f>IF(HR_Data[[#This Row],[TotalWorkingYears]]&lt;=5,"Junior",IF(HR_Data[[#This Row],[TotalWorkingYears]]&lt;=15,"Mid-Level","Senior"))</f>
        <v>Mid-Level</v>
      </c>
      <c r="AN367" s="11" t="str">
        <f>IF(HR_Data[[#This Row],[PerformanceRating]]=3,"Standard","Excellent")</f>
        <v>Standard</v>
      </c>
      <c r="AO367" s="11" t="str">
        <f>IF(HR_Data[[#This Row],[JobSatisfaction]]&lt;=2,"Low","High")</f>
        <v>High</v>
      </c>
      <c r="AP367" s="11" t="str">
        <f>IF(AND(HR_Data[[#This Row],[OverTime]]="Yes",HR_Data[[#This Row],[JobSatisfaction]]&lt;=2,HR_Data[[#This Row],[YearsAtCompany]]&lt;=2),"High Risk","Normal")</f>
        <v>Normal</v>
      </c>
    </row>
    <row r="368" spans="1:42" x14ac:dyDescent="0.25">
      <c r="A368" s="6">
        <v>41</v>
      </c>
      <c r="B368" s="4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s="11" t="str">
        <f>IF(HR_Data[[#This Row],[Age]]&lt;=25,"18-25",IF(HR_Data[[#This Row],[Age]]&lt;=35,"26-35",IF(HR_Data[[#This Row],[Age]]&lt;=45,"36-45",IF(HR_Data[[#This Row],[Age]]&lt;=55,"46-55","56+"))))</f>
        <v>36-45</v>
      </c>
      <c r="AK368" s="11" t="str">
        <f>IF(HR_Data[[#This Row],[MonthlyIncome]]&lt;3000,"Low",IF(HR_Data[[#This Row],[MonthlyIncome]]&lt;6000,"Medium",IF(HR_Data[[#This Row],[MonthlyIncome]]&lt;10000,"High","Very High")))</f>
        <v>High</v>
      </c>
      <c r="AL36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68" t="str">
        <f>IF(HR_Data[[#This Row],[TotalWorkingYears]]&lt;=5,"Junior",IF(HR_Data[[#This Row],[TotalWorkingYears]]&lt;=15,"Mid-Level","Senior"))</f>
        <v>Mid-Level</v>
      </c>
      <c r="AN368" s="11" t="str">
        <f>IF(HR_Data[[#This Row],[PerformanceRating]]=3,"Standard","Excellent")</f>
        <v>Standard</v>
      </c>
      <c r="AO368" s="11" t="str">
        <f>IF(HR_Data[[#This Row],[JobSatisfaction]]&lt;=2,"Low","High")</f>
        <v>Low</v>
      </c>
      <c r="AP368" s="11" t="str">
        <f>IF(AND(HR_Data[[#This Row],[OverTime]]="Yes",HR_Data[[#This Row],[JobSatisfaction]]&lt;=2,HR_Data[[#This Row],[YearsAtCompany]]&lt;=2),"High Risk","Normal")</f>
        <v>Normal</v>
      </c>
    </row>
    <row r="369" spans="1:42" x14ac:dyDescent="0.25">
      <c r="A369" s="6">
        <v>50</v>
      </c>
      <c r="B369" s="4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s="11" t="str">
        <f>IF(HR_Data[[#This Row],[Age]]&lt;=25,"18-25",IF(HR_Data[[#This Row],[Age]]&lt;=35,"26-35",IF(HR_Data[[#This Row],[Age]]&lt;=45,"36-45",IF(HR_Data[[#This Row],[Age]]&lt;=55,"46-55","56+"))))</f>
        <v>46-55</v>
      </c>
      <c r="AK369" s="11" t="str">
        <f>IF(HR_Data[[#This Row],[MonthlyIncome]]&lt;3000,"Low",IF(HR_Data[[#This Row],[MonthlyIncome]]&lt;6000,"Medium",IF(HR_Data[[#This Row],[MonthlyIncome]]&lt;10000,"High","Very High")))</f>
        <v>Very High</v>
      </c>
      <c r="AL36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69" t="str">
        <f>IF(HR_Data[[#This Row],[TotalWorkingYears]]&lt;=5,"Junior",IF(HR_Data[[#This Row],[TotalWorkingYears]]&lt;=15,"Mid-Level","Senior"))</f>
        <v>Senior</v>
      </c>
      <c r="AN369" s="11" t="str">
        <f>IF(HR_Data[[#This Row],[PerformanceRating]]=3,"Standard","Excellent")</f>
        <v>Standard</v>
      </c>
      <c r="AO369" s="11" t="str">
        <f>IF(HR_Data[[#This Row],[JobSatisfaction]]&lt;=2,"Low","High")</f>
        <v>High</v>
      </c>
      <c r="AP369" s="11" t="str">
        <f>IF(AND(HR_Data[[#This Row],[OverTime]]="Yes",HR_Data[[#This Row],[JobSatisfaction]]&lt;=2,HR_Data[[#This Row],[YearsAtCompany]]&lt;=2),"High Risk","Normal")</f>
        <v>Normal</v>
      </c>
    </row>
    <row r="370" spans="1:42" x14ac:dyDescent="0.25">
      <c r="A370" s="6">
        <v>40</v>
      </c>
      <c r="B370" s="4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s="11" t="str">
        <f>IF(HR_Data[[#This Row],[Age]]&lt;=25,"18-25",IF(HR_Data[[#This Row],[Age]]&lt;=35,"26-35",IF(HR_Data[[#This Row],[Age]]&lt;=45,"36-45",IF(HR_Data[[#This Row],[Age]]&lt;=55,"46-55","56+"))))</f>
        <v>36-45</v>
      </c>
      <c r="AK370" s="11" t="str">
        <f>IF(HR_Data[[#This Row],[MonthlyIncome]]&lt;3000,"Low",IF(HR_Data[[#This Row],[MonthlyIncome]]&lt;6000,"Medium",IF(HR_Data[[#This Row],[MonthlyIncome]]&lt;10000,"High","Very High")))</f>
        <v>High</v>
      </c>
      <c r="AL37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70" t="str">
        <f>IF(HR_Data[[#This Row],[TotalWorkingYears]]&lt;=5,"Junior",IF(HR_Data[[#This Row],[TotalWorkingYears]]&lt;=15,"Mid-Level","Senior"))</f>
        <v>Mid-Level</v>
      </c>
      <c r="AN370" s="11" t="str">
        <f>IF(HR_Data[[#This Row],[PerformanceRating]]=3,"Standard","Excellent")</f>
        <v>Standard</v>
      </c>
      <c r="AO370" s="11" t="str">
        <f>IF(HR_Data[[#This Row],[JobSatisfaction]]&lt;=2,"Low","High")</f>
        <v>High</v>
      </c>
      <c r="AP370" s="11" t="str">
        <f>IF(AND(HR_Data[[#This Row],[OverTime]]="Yes",HR_Data[[#This Row],[JobSatisfaction]]&lt;=2,HR_Data[[#This Row],[YearsAtCompany]]&lt;=2),"High Risk","Normal")</f>
        <v>Normal</v>
      </c>
    </row>
    <row r="371" spans="1:42" x14ac:dyDescent="0.25">
      <c r="A371" s="6">
        <v>31</v>
      </c>
      <c r="B371" s="4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s="11" t="str">
        <f>IF(HR_Data[[#This Row],[Age]]&lt;=25,"18-25",IF(HR_Data[[#This Row],[Age]]&lt;=35,"26-35",IF(HR_Data[[#This Row],[Age]]&lt;=45,"36-45",IF(HR_Data[[#This Row],[Age]]&lt;=55,"46-55","56+"))))</f>
        <v>26-35</v>
      </c>
      <c r="AK371" s="11" t="str">
        <f>IF(HR_Data[[#This Row],[MonthlyIncome]]&lt;3000,"Low",IF(HR_Data[[#This Row],[MonthlyIncome]]&lt;6000,"Medium",IF(HR_Data[[#This Row],[MonthlyIncome]]&lt;10000,"High","Very High")))</f>
        <v>Low</v>
      </c>
      <c r="AL37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71" t="str">
        <f>IF(HR_Data[[#This Row],[TotalWorkingYears]]&lt;=5,"Junior",IF(HR_Data[[#This Row],[TotalWorkingYears]]&lt;=15,"Mid-Level","Senior"))</f>
        <v>Junior</v>
      </c>
      <c r="AN371" s="11" t="str">
        <f>IF(HR_Data[[#This Row],[PerformanceRating]]=3,"Standard","Excellent")</f>
        <v>Standard</v>
      </c>
      <c r="AO371" s="11" t="str">
        <f>IF(HR_Data[[#This Row],[JobSatisfaction]]&lt;=2,"Low","High")</f>
        <v>Low</v>
      </c>
      <c r="AP371" s="11" t="str">
        <f>IF(AND(HR_Data[[#This Row],[OverTime]]="Yes",HR_Data[[#This Row],[JobSatisfaction]]&lt;=2,HR_Data[[#This Row],[YearsAtCompany]]&lt;=2),"High Risk","Normal")</f>
        <v>High Risk</v>
      </c>
    </row>
    <row r="372" spans="1:42" x14ac:dyDescent="0.25">
      <c r="A372" s="6">
        <v>21</v>
      </c>
      <c r="B372" s="4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s="11" t="str">
        <f>IF(HR_Data[[#This Row],[Age]]&lt;=25,"18-25",IF(HR_Data[[#This Row],[Age]]&lt;=35,"26-35",IF(HR_Data[[#This Row],[Age]]&lt;=45,"36-45",IF(HR_Data[[#This Row],[Age]]&lt;=55,"46-55","56+"))))</f>
        <v>18-25</v>
      </c>
      <c r="AK372" s="11" t="str">
        <f>IF(HR_Data[[#This Row],[MonthlyIncome]]&lt;3000,"Low",IF(HR_Data[[#This Row],[MonthlyIncome]]&lt;6000,"Medium",IF(HR_Data[[#This Row],[MonthlyIncome]]&lt;10000,"High","Very High")))</f>
        <v>Low</v>
      </c>
      <c r="AL37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72" t="str">
        <f>IF(HR_Data[[#This Row],[TotalWorkingYears]]&lt;=5,"Junior",IF(HR_Data[[#This Row],[TotalWorkingYears]]&lt;=15,"Mid-Level","Senior"))</f>
        <v>Junior</v>
      </c>
      <c r="AN372" s="11" t="str">
        <f>IF(HR_Data[[#This Row],[PerformanceRating]]=3,"Standard","Excellent")</f>
        <v>Standard</v>
      </c>
      <c r="AO372" s="11" t="str">
        <f>IF(HR_Data[[#This Row],[JobSatisfaction]]&lt;=2,"Low","High")</f>
        <v>Low</v>
      </c>
      <c r="AP372" s="11" t="str">
        <f>IF(AND(HR_Data[[#This Row],[OverTime]]="Yes",HR_Data[[#This Row],[JobSatisfaction]]&lt;=2,HR_Data[[#This Row],[YearsAtCompany]]&lt;=2),"High Risk","Normal")</f>
        <v>Normal</v>
      </c>
    </row>
    <row r="373" spans="1:42" x14ac:dyDescent="0.25">
      <c r="A373" s="6">
        <v>29</v>
      </c>
      <c r="B373" s="4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s="11" t="str">
        <f>IF(HR_Data[[#This Row],[Age]]&lt;=25,"18-25",IF(HR_Data[[#This Row],[Age]]&lt;=35,"26-35",IF(HR_Data[[#This Row],[Age]]&lt;=45,"36-45",IF(HR_Data[[#This Row],[Age]]&lt;=55,"46-55","56+"))))</f>
        <v>26-35</v>
      </c>
      <c r="AK373" s="11" t="str">
        <f>IF(HR_Data[[#This Row],[MonthlyIncome]]&lt;3000,"Low",IF(HR_Data[[#This Row],[MonthlyIncome]]&lt;6000,"Medium",IF(HR_Data[[#This Row],[MonthlyIncome]]&lt;10000,"High","Very High")))</f>
        <v>Low</v>
      </c>
      <c r="AL37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73" t="str">
        <f>IF(HR_Data[[#This Row],[TotalWorkingYears]]&lt;=5,"Junior",IF(HR_Data[[#This Row],[TotalWorkingYears]]&lt;=15,"Mid-Level","Senior"))</f>
        <v>Mid-Level</v>
      </c>
      <c r="AN373" s="11" t="str">
        <f>IF(HR_Data[[#This Row],[PerformanceRating]]=3,"Standard","Excellent")</f>
        <v>Standard</v>
      </c>
      <c r="AO373" s="11" t="str">
        <f>IF(HR_Data[[#This Row],[JobSatisfaction]]&lt;=2,"Low","High")</f>
        <v>High</v>
      </c>
      <c r="AP373" s="11" t="str">
        <f>IF(AND(HR_Data[[#This Row],[OverTime]]="Yes",HR_Data[[#This Row],[JobSatisfaction]]&lt;=2,HR_Data[[#This Row],[YearsAtCompany]]&lt;=2),"High Risk","Normal")</f>
        <v>Normal</v>
      </c>
    </row>
    <row r="374" spans="1:42" x14ac:dyDescent="0.25">
      <c r="A374" s="6">
        <v>35</v>
      </c>
      <c r="B374" s="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s="11" t="str">
        <f>IF(HR_Data[[#This Row],[Age]]&lt;=25,"18-25",IF(HR_Data[[#This Row],[Age]]&lt;=35,"26-35",IF(HR_Data[[#This Row],[Age]]&lt;=45,"36-45",IF(HR_Data[[#This Row],[Age]]&lt;=55,"46-55","56+"))))</f>
        <v>26-35</v>
      </c>
      <c r="AK374" s="11" t="str">
        <f>IF(HR_Data[[#This Row],[MonthlyIncome]]&lt;3000,"Low",IF(HR_Data[[#This Row],[MonthlyIncome]]&lt;6000,"Medium",IF(HR_Data[[#This Row],[MonthlyIncome]]&lt;10000,"High","Very High")))</f>
        <v>High</v>
      </c>
      <c r="AL37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74" t="str">
        <f>IF(HR_Data[[#This Row],[TotalWorkingYears]]&lt;=5,"Junior",IF(HR_Data[[#This Row],[TotalWorkingYears]]&lt;=15,"Mid-Level","Senior"))</f>
        <v>Mid-Level</v>
      </c>
      <c r="AN374" s="11" t="str">
        <f>IF(HR_Data[[#This Row],[PerformanceRating]]=3,"Standard","Excellent")</f>
        <v>Standard</v>
      </c>
      <c r="AO374" s="11" t="str">
        <f>IF(HR_Data[[#This Row],[JobSatisfaction]]&lt;=2,"Low","High")</f>
        <v>Low</v>
      </c>
      <c r="AP374" s="11" t="str">
        <f>IF(AND(HR_Data[[#This Row],[OverTime]]="Yes",HR_Data[[#This Row],[JobSatisfaction]]&lt;=2,HR_Data[[#This Row],[YearsAtCompany]]&lt;=2),"High Risk","Normal")</f>
        <v>Normal</v>
      </c>
    </row>
    <row r="375" spans="1:42" x14ac:dyDescent="0.25">
      <c r="A375" s="6">
        <v>27</v>
      </c>
      <c r="B375" s="4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s="11" t="str">
        <f>IF(HR_Data[[#This Row],[Age]]&lt;=25,"18-25",IF(HR_Data[[#This Row],[Age]]&lt;=35,"26-35",IF(HR_Data[[#This Row],[Age]]&lt;=45,"36-45",IF(HR_Data[[#This Row],[Age]]&lt;=55,"46-55","56+"))))</f>
        <v>26-35</v>
      </c>
      <c r="AK375" s="11" t="str">
        <f>IF(HR_Data[[#This Row],[MonthlyIncome]]&lt;3000,"Low",IF(HR_Data[[#This Row],[MonthlyIncome]]&lt;6000,"Medium",IF(HR_Data[[#This Row],[MonthlyIncome]]&lt;10000,"High","Very High")))</f>
        <v>Medium</v>
      </c>
      <c r="AL37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75" t="str">
        <f>IF(HR_Data[[#This Row],[TotalWorkingYears]]&lt;=5,"Junior",IF(HR_Data[[#This Row],[TotalWorkingYears]]&lt;=15,"Mid-Level","Senior"))</f>
        <v>Junior</v>
      </c>
      <c r="AN375" s="11" t="str">
        <f>IF(HR_Data[[#This Row],[PerformanceRating]]=3,"Standard","Excellent")</f>
        <v>Standard</v>
      </c>
      <c r="AO375" s="11" t="str">
        <f>IF(HR_Data[[#This Row],[JobSatisfaction]]&lt;=2,"Low","High")</f>
        <v>Low</v>
      </c>
      <c r="AP375" s="11" t="str">
        <f>IF(AND(HR_Data[[#This Row],[OverTime]]="Yes",HR_Data[[#This Row],[JobSatisfaction]]&lt;=2,HR_Data[[#This Row],[YearsAtCompany]]&lt;=2),"High Risk","Normal")</f>
        <v>Normal</v>
      </c>
    </row>
    <row r="376" spans="1:42" x14ac:dyDescent="0.25">
      <c r="A376" s="6">
        <v>28</v>
      </c>
      <c r="B376" s="4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s="11" t="str">
        <f>IF(HR_Data[[#This Row],[Age]]&lt;=25,"18-25",IF(HR_Data[[#This Row],[Age]]&lt;=35,"26-35",IF(HR_Data[[#This Row],[Age]]&lt;=45,"36-45",IF(HR_Data[[#This Row],[Age]]&lt;=55,"46-55","56+"))))</f>
        <v>26-35</v>
      </c>
      <c r="AK376" s="11" t="str">
        <f>IF(HR_Data[[#This Row],[MonthlyIncome]]&lt;3000,"Low",IF(HR_Data[[#This Row],[MonthlyIncome]]&lt;6000,"Medium",IF(HR_Data[[#This Row],[MonthlyIncome]]&lt;10000,"High","Very High")))</f>
        <v>Medium</v>
      </c>
      <c r="AL37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76" t="str">
        <f>IF(HR_Data[[#This Row],[TotalWorkingYears]]&lt;=5,"Junior",IF(HR_Data[[#This Row],[TotalWorkingYears]]&lt;=15,"Mid-Level","Senior"))</f>
        <v>Mid-Level</v>
      </c>
      <c r="AN376" s="11" t="str">
        <f>IF(HR_Data[[#This Row],[PerformanceRating]]=3,"Standard","Excellent")</f>
        <v>Standard</v>
      </c>
      <c r="AO376" s="11" t="str">
        <f>IF(HR_Data[[#This Row],[JobSatisfaction]]&lt;=2,"Low","High")</f>
        <v>High</v>
      </c>
      <c r="AP376" s="11" t="str">
        <f>IF(AND(HR_Data[[#This Row],[OverTime]]="Yes",HR_Data[[#This Row],[JobSatisfaction]]&lt;=2,HR_Data[[#This Row],[YearsAtCompany]]&lt;=2),"High Risk","Normal")</f>
        <v>Normal</v>
      </c>
    </row>
    <row r="377" spans="1:42" x14ac:dyDescent="0.25">
      <c r="A377" s="6">
        <v>49</v>
      </c>
      <c r="B377" s="4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s="11" t="str">
        <f>IF(HR_Data[[#This Row],[Age]]&lt;=25,"18-25",IF(HR_Data[[#This Row],[Age]]&lt;=35,"26-35",IF(HR_Data[[#This Row],[Age]]&lt;=45,"36-45",IF(HR_Data[[#This Row],[Age]]&lt;=55,"46-55","56+"))))</f>
        <v>46-55</v>
      </c>
      <c r="AK377" s="11" t="str">
        <f>IF(HR_Data[[#This Row],[MonthlyIncome]]&lt;3000,"Low",IF(HR_Data[[#This Row],[MonthlyIncome]]&lt;6000,"Medium",IF(HR_Data[[#This Row],[MonthlyIncome]]&lt;10000,"High","Very High")))</f>
        <v>Very High</v>
      </c>
      <c r="AL37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77" t="str">
        <f>IF(HR_Data[[#This Row],[TotalWorkingYears]]&lt;=5,"Junior",IF(HR_Data[[#This Row],[TotalWorkingYears]]&lt;=15,"Mid-Level","Senior"))</f>
        <v>Senior</v>
      </c>
      <c r="AN377" s="11" t="str">
        <f>IF(HR_Data[[#This Row],[PerformanceRating]]=3,"Standard","Excellent")</f>
        <v>Excellent</v>
      </c>
      <c r="AO377" s="11" t="str">
        <f>IF(HR_Data[[#This Row],[JobSatisfaction]]&lt;=2,"Low","High")</f>
        <v>High</v>
      </c>
      <c r="AP377" s="11" t="str">
        <f>IF(AND(HR_Data[[#This Row],[OverTime]]="Yes",HR_Data[[#This Row],[JobSatisfaction]]&lt;=2,HR_Data[[#This Row],[YearsAtCompany]]&lt;=2),"High Risk","Normal")</f>
        <v>Normal</v>
      </c>
    </row>
    <row r="378" spans="1:42" x14ac:dyDescent="0.25">
      <c r="A378" s="6">
        <v>51</v>
      </c>
      <c r="B378" s="4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s="11" t="str">
        <f>IF(HR_Data[[#This Row],[Age]]&lt;=25,"18-25",IF(HR_Data[[#This Row],[Age]]&lt;=35,"26-35",IF(HR_Data[[#This Row],[Age]]&lt;=45,"36-45",IF(HR_Data[[#This Row],[Age]]&lt;=55,"46-55","56+"))))</f>
        <v>46-55</v>
      </c>
      <c r="AK378" s="11" t="str">
        <f>IF(HR_Data[[#This Row],[MonthlyIncome]]&lt;3000,"Low",IF(HR_Data[[#This Row],[MonthlyIncome]]&lt;6000,"Medium",IF(HR_Data[[#This Row],[MonthlyIncome]]&lt;10000,"High","Very High")))</f>
        <v>Medium</v>
      </c>
      <c r="AL37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78" t="str">
        <f>IF(HR_Data[[#This Row],[TotalWorkingYears]]&lt;=5,"Junior",IF(HR_Data[[#This Row],[TotalWorkingYears]]&lt;=15,"Mid-Level","Senior"))</f>
        <v>Senior</v>
      </c>
      <c r="AN378" s="11" t="str">
        <f>IF(HR_Data[[#This Row],[PerformanceRating]]=3,"Standard","Excellent")</f>
        <v>Standard</v>
      </c>
      <c r="AO378" s="11" t="str">
        <f>IF(HR_Data[[#This Row],[JobSatisfaction]]&lt;=2,"Low","High")</f>
        <v>High</v>
      </c>
      <c r="AP378" s="11" t="str">
        <f>IF(AND(HR_Data[[#This Row],[OverTime]]="Yes",HR_Data[[#This Row],[JobSatisfaction]]&lt;=2,HR_Data[[#This Row],[YearsAtCompany]]&lt;=2),"High Risk","Normal")</f>
        <v>Normal</v>
      </c>
    </row>
    <row r="379" spans="1:42" x14ac:dyDescent="0.25">
      <c r="A379" s="6">
        <v>36</v>
      </c>
      <c r="B379" s="4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s="11" t="str">
        <f>IF(HR_Data[[#This Row],[Age]]&lt;=25,"18-25",IF(HR_Data[[#This Row],[Age]]&lt;=35,"26-35",IF(HR_Data[[#This Row],[Age]]&lt;=45,"36-45",IF(HR_Data[[#This Row],[Age]]&lt;=55,"46-55","56+"))))</f>
        <v>36-45</v>
      </c>
      <c r="AK379" s="11" t="str">
        <f>IF(HR_Data[[#This Row],[MonthlyIncome]]&lt;3000,"Low",IF(HR_Data[[#This Row],[MonthlyIncome]]&lt;6000,"Medium",IF(HR_Data[[#This Row],[MonthlyIncome]]&lt;10000,"High","Very High")))</f>
        <v>Low</v>
      </c>
      <c r="AL37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79" t="str">
        <f>IF(HR_Data[[#This Row],[TotalWorkingYears]]&lt;=5,"Junior",IF(HR_Data[[#This Row],[TotalWorkingYears]]&lt;=15,"Mid-Level","Senior"))</f>
        <v>Mid-Level</v>
      </c>
      <c r="AN379" s="11" t="str">
        <f>IF(HR_Data[[#This Row],[PerformanceRating]]=3,"Standard","Excellent")</f>
        <v>Standard</v>
      </c>
      <c r="AO379" s="11" t="str">
        <f>IF(HR_Data[[#This Row],[JobSatisfaction]]&lt;=2,"Low","High")</f>
        <v>High</v>
      </c>
      <c r="AP379" s="11" t="str">
        <f>IF(AND(HR_Data[[#This Row],[OverTime]]="Yes",HR_Data[[#This Row],[JobSatisfaction]]&lt;=2,HR_Data[[#This Row],[YearsAtCompany]]&lt;=2),"High Risk","Normal")</f>
        <v>Normal</v>
      </c>
    </row>
    <row r="380" spans="1:42" x14ac:dyDescent="0.25">
      <c r="A380" s="6">
        <v>34</v>
      </c>
      <c r="B380" s="4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s="11" t="str">
        <f>IF(HR_Data[[#This Row],[Age]]&lt;=25,"18-25",IF(HR_Data[[#This Row],[Age]]&lt;=35,"26-35",IF(HR_Data[[#This Row],[Age]]&lt;=45,"36-45",IF(HR_Data[[#This Row],[Age]]&lt;=55,"46-55","56+"))))</f>
        <v>26-35</v>
      </c>
      <c r="AK380" s="11" t="str">
        <f>IF(HR_Data[[#This Row],[MonthlyIncome]]&lt;3000,"Low",IF(HR_Data[[#This Row],[MonthlyIncome]]&lt;6000,"Medium",IF(HR_Data[[#This Row],[MonthlyIncome]]&lt;10000,"High","Very High")))</f>
        <v>Medium</v>
      </c>
      <c r="AL38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80" t="str">
        <f>IF(HR_Data[[#This Row],[TotalWorkingYears]]&lt;=5,"Junior",IF(HR_Data[[#This Row],[TotalWorkingYears]]&lt;=15,"Mid-Level","Senior"))</f>
        <v>Mid-Level</v>
      </c>
      <c r="AN380" s="11" t="str">
        <f>IF(HR_Data[[#This Row],[PerformanceRating]]=3,"Standard","Excellent")</f>
        <v>Standard</v>
      </c>
      <c r="AO380" s="11" t="str">
        <f>IF(HR_Data[[#This Row],[JobSatisfaction]]&lt;=2,"Low","High")</f>
        <v>High</v>
      </c>
      <c r="AP380" s="11" t="str">
        <f>IF(AND(HR_Data[[#This Row],[OverTime]]="Yes",HR_Data[[#This Row],[JobSatisfaction]]&lt;=2,HR_Data[[#This Row],[YearsAtCompany]]&lt;=2),"High Risk","Normal")</f>
        <v>Normal</v>
      </c>
    </row>
    <row r="381" spans="1:42" x14ac:dyDescent="0.25">
      <c r="A381" s="6">
        <v>55</v>
      </c>
      <c r="B381" s="4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s="11" t="str">
        <f>IF(HR_Data[[#This Row],[Age]]&lt;=25,"18-25",IF(HR_Data[[#This Row],[Age]]&lt;=35,"26-35",IF(HR_Data[[#This Row],[Age]]&lt;=45,"36-45",IF(HR_Data[[#This Row],[Age]]&lt;=55,"46-55","56+"))))</f>
        <v>46-55</v>
      </c>
      <c r="AK381" s="11" t="str">
        <f>IF(HR_Data[[#This Row],[MonthlyIncome]]&lt;3000,"Low",IF(HR_Data[[#This Row],[MonthlyIncome]]&lt;6000,"Medium",IF(HR_Data[[#This Row],[MonthlyIncome]]&lt;10000,"High","Very High")))</f>
        <v>Very High</v>
      </c>
      <c r="AL38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81" t="str">
        <f>IF(HR_Data[[#This Row],[TotalWorkingYears]]&lt;=5,"Junior",IF(HR_Data[[#This Row],[TotalWorkingYears]]&lt;=15,"Mid-Level","Senior"))</f>
        <v>Senior</v>
      </c>
      <c r="AN381" s="11" t="str">
        <f>IF(HR_Data[[#This Row],[PerformanceRating]]=3,"Standard","Excellent")</f>
        <v>Standard</v>
      </c>
      <c r="AO381" s="11" t="str">
        <f>IF(HR_Data[[#This Row],[JobSatisfaction]]&lt;=2,"Low","High")</f>
        <v>High</v>
      </c>
      <c r="AP381" s="11" t="str">
        <f>IF(AND(HR_Data[[#This Row],[OverTime]]="Yes",HR_Data[[#This Row],[JobSatisfaction]]&lt;=2,HR_Data[[#This Row],[YearsAtCompany]]&lt;=2),"High Risk","Normal")</f>
        <v>Normal</v>
      </c>
    </row>
    <row r="382" spans="1:42" x14ac:dyDescent="0.25">
      <c r="A382" s="6">
        <v>24</v>
      </c>
      <c r="B382" s="4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s="11" t="str">
        <f>IF(HR_Data[[#This Row],[Age]]&lt;=25,"18-25",IF(HR_Data[[#This Row],[Age]]&lt;=35,"26-35",IF(HR_Data[[#This Row],[Age]]&lt;=45,"36-45",IF(HR_Data[[#This Row],[Age]]&lt;=55,"46-55","56+"))))</f>
        <v>18-25</v>
      </c>
      <c r="AK382" s="11" t="str">
        <f>IF(HR_Data[[#This Row],[MonthlyIncome]]&lt;3000,"Low",IF(HR_Data[[#This Row],[MonthlyIncome]]&lt;6000,"Medium",IF(HR_Data[[#This Row],[MonthlyIncome]]&lt;10000,"High","Very High")))</f>
        <v>Medium</v>
      </c>
      <c r="AL38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82" t="str">
        <f>IF(HR_Data[[#This Row],[TotalWorkingYears]]&lt;=5,"Junior",IF(HR_Data[[#This Row],[TotalWorkingYears]]&lt;=15,"Mid-Level","Senior"))</f>
        <v>Junior</v>
      </c>
      <c r="AN382" s="11" t="str">
        <f>IF(HR_Data[[#This Row],[PerformanceRating]]=3,"Standard","Excellent")</f>
        <v>Standard</v>
      </c>
      <c r="AO382" s="11" t="str">
        <f>IF(HR_Data[[#This Row],[JobSatisfaction]]&lt;=2,"Low","High")</f>
        <v>High</v>
      </c>
      <c r="AP382" s="11" t="str">
        <f>IF(AND(HR_Data[[#This Row],[OverTime]]="Yes",HR_Data[[#This Row],[JobSatisfaction]]&lt;=2,HR_Data[[#This Row],[YearsAtCompany]]&lt;=2),"High Risk","Normal")</f>
        <v>Normal</v>
      </c>
    </row>
    <row r="383" spans="1:42" x14ac:dyDescent="0.25">
      <c r="A383" s="6">
        <v>30</v>
      </c>
      <c r="B383" s="4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s="11" t="str">
        <f>IF(HR_Data[[#This Row],[Age]]&lt;=25,"18-25",IF(HR_Data[[#This Row],[Age]]&lt;=35,"26-35",IF(HR_Data[[#This Row],[Age]]&lt;=45,"36-45",IF(HR_Data[[#This Row],[Age]]&lt;=55,"46-55","56+"))))</f>
        <v>26-35</v>
      </c>
      <c r="AK383" s="11" t="str">
        <f>IF(HR_Data[[#This Row],[MonthlyIncome]]&lt;3000,"Low",IF(HR_Data[[#This Row],[MonthlyIncome]]&lt;6000,"Medium",IF(HR_Data[[#This Row],[MonthlyIncome]]&lt;10000,"High","Very High")))</f>
        <v>Low</v>
      </c>
      <c r="AL38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83" t="str">
        <f>IF(HR_Data[[#This Row],[TotalWorkingYears]]&lt;=5,"Junior",IF(HR_Data[[#This Row],[TotalWorkingYears]]&lt;=15,"Mid-Level","Senior"))</f>
        <v>Junior</v>
      </c>
      <c r="AN383" s="11" t="str">
        <f>IF(HR_Data[[#This Row],[PerformanceRating]]=3,"Standard","Excellent")</f>
        <v>Standard</v>
      </c>
      <c r="AO383" s="11" t="str">
        <f>IF(HR_Data[[#This Row],[JobSatisfaction]]&lt;=2,"Low","High")</f>
        <v>Low</v>
      </c>
      <c r="AP383" s="11" t="str">
        <f>IF(AND(HR_Data[[#This Row],[OverTime]]="Yes",HR_Data[[#This Row],[JobSatisfaction]]&lt;=2,HR_Data[[#This Row],[YearsAtCompany]]&lt;=2),"High Risk","Normal")</f>
        <v>Normal</v>
      </c>
    </row>
    <row r="384" spans="1:42" x14ac:dyDescent="0.25">
      <c r="A384" s="6">
        <v>26</v>
      </c>
      <c r="B384" s="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s="11" t="str">
        <f>IF(HR_Data[[#This Row],[Age]]&lt;=25,"18-25",IF(HR_Data[[#This Row],[Age]]&lt;=35,"26-35",IF(HR_Data[[#This Row],[Age]]&lt;=45,"36-45",IF(HR_Data[[#This Row],[Age]]&lt;=55,"46-55","56+"))))</f>
        <v>26-35</v>
      </c>
      <c r="AK384" s="11" t="str">
        <f>IF(HR_Data[[#This Row],[MonthlyIncome]]&lt;3000,"Low",IF(HR_Data[[#This Row],[MonthlyIncome]]&lt;6000,"Medium",IF(HR_Data[[#This Row],[MonthlyIncome]]&lt;10000,"High","Very High")))</f>
        <v>Medium</v>
      </c>
      <c r="AL38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84" t="str">
        <f>IF(HR_Data[[#This Row],[TotalWorkingYears]]&lt;=5,"Junior",IF(HR_Data[[#This Row],[TotalWorkingYears]]&lt;=15,"Mid-Level","Senior"))</f>
        <v>Mid-Level</v>
      </c>
      <c r="AN384" s="11" t="str">
        <f>IF(HR_Data[[#This Row],[PerformanceRating]]=3,"Standard","Excellent")</f>
        <v>Excellent</v>
      </c>
      <c r="AO384" s="11" t="str">
        <f>IF(HR_Data[[#This Row],[JobSatisfaction]]&lt;=2,"Low","High")</f>
        <v>Low</v>
      </c>
      <c r="AP384" s="11" t="str">
        <f>IF(AND(HR_Data[[#This Row],[OverTime]]="Yes",HR_Data[[#This Row],[JobSatisfaction]]&lt;=2,HR_Data[[#This Row],[YearsAtCompany]]&lt;=2),"High Risk","Normal")</f>
        <v>Normal</v>
      </c>
    </row>
    <row r="385" spans="1:42" x14ac:dyDescent="0.25">
      <c r="A385" s="6">
        <v>22</v>
      </c>
      <c r="B385" s="4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s="11" t="str">
        <f>IF(HR_Data[[#This Row],[Age]]&lt;=25,"18-25",IF(HR_Data[[#This Row],[Age]]&lt;=35,"26-35",IF(HR_Data[[#This Row],[Age]]&lt;=45,"36-45",IF(HR_Data[[#This Row],[Age]]&lt;=55,"46-55","56+"))))</f>
        <v>18-25</v>
      </c>
      <c r="AK385" s="11" t="str">
        <f>IF(HR_Data[[#This Row],[MonthlyIncome]]&lt;3000,"Low",IF(HR_Data[[#This Row],[MonthlyIncome]]&lt;6000,"Medium",IF(HR_Data[[#This Row],[MonthlyIncome]]&lt;10000,"High","Very High")))</f>
        <v>Low</v>
      </c>
      <c r="AL38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85" t="str">
        <f>IF(HR_Data[[#This Row],[TotalWorkingYears]]&lt;=5,"Junior",IF(HR_Data[[#This Row],[TotalWorkingYears]]&lt;=15,"Mid-Level","Senior"))</f>
        <v>Junior</v>
      </c>
      <c r="AN385" s="11" t="str">
        <f>IF(HR_Data[[#This Row],[PerformanceRating]]=3,"Standard","Excellent")</f>
        <v>Standard</v>
      </c>
      <c r="AO385" s="11" t="str">
        <f>IF(HR_Data[[#This Row],[JobSatisfaction]]&lt;=2,"Low","High")</f>
        <v>Low</v>
      </c>
      <c r="AP385" s="11" t="str">
        <f>IF(AND(HR_Data[[#This Row],[OverTime]]="Yes",HR_Data[[#This Row],[JobSatisfaction]]&lt;=2,HR_Data[[#This Row],[YearsAtCompany]]&lt;=2),"High Risk","Normal")</f>
        <v>Normal</v>
      </c>
    </row>
    <row r="386" spans="1:42" x14ac:dyDescent="0.25">
      <c r="A386" s="6">
        <v>36</v>
      </c>
      <c r="B386" s="4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s="11" t="str">
        <f>IF(HR_Data[[#This Row],[Age]]&lt;=25,"18-25",IF(HR_Data[[#This Row],[Age]]&lt;=35,"26-35",IF(HR_Data[[#This Row],[Age]]&lt;=45,"36-45",IF(HR_Data[[#This Row],[Age]]&lt;=55,"46-55","56+"))))</f>
        <v>36-45</v>
      </c>
      <c r="AK386" s="11" t="str">
        <f>IF(HR_Data[[#This Row],[MonthlyIncome]]&lt;3000,"Low",IF(HR_Data[[#This Row],[MonthlyIncome]]&lt;6000,"Medium",IF(HR_Data[[#This Row],[MonthlyIncome]]&lt;10000,"High","Very High")))</f>
        <v>High</v>
      </c>
      <c r="AL38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386" t="str">
        <f>IF(HR_Data[[#This Row],[TotalWorkingYears]]&lt;=5,"Junior",IF(HR_Data[[#This Row],[TotalWorkingYears]]&lt;=15,"Mid-Level","Senior"))</f>
        <v>Mid-Level</v>
      </c>
      <c r="AN386" s="11" t="str">
        <f>IF(HR_Data[[#This Row],[PerformanceRating]]=3,"Standard","Excellent")</f>
        <v>Standard</v>
      </c>
      <c r="AO386" s="11" t="str">
        <f>IF(HR_Data[[#This Row],[JobSatisfaction]]&lt;=2,"Low","High")</f>
        <v>High</v>
      </c>
      <c r="AP386" s="11" t="str">
        <f>IF(AND(HR_Data[[#This Row],[OverTime]]="Yes",HR_Data[[#This Row],[JobSatisfaction]]&lt;=2,HR_Data[[#This Row],[YearsAtCompany]]&lt;=2),"High Risk","Normal")</f>
        <v>Normal</v>
      </c>
    </row>
    <row r="387" spans="1:42" x14ac:dyDescent="0.25">
      <c r="A387" s="6">
        <v>30</v>
      </c>
      <c r="B387" s="4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s="11" t="str">
        <f>IF(HR_Data[[#This Row],[Age]]&lt;=25,"18-25",IF(HR_Data[[#This Row],[Age]]&lt;=35,"26-35",IF(HR_Data[[#This Row],[Age]]&lt;=45,"36-45",IF(HR_Data[[#This Row],[Age]]&lt;=55,"46-55","56+"))))</f>
        <v>26-35</v>
      </c>
      <c r="AK387" s="11" t="str">
        <f>IF(HR_Data[[#This Row],[MonthlyIncome]]&lt;3000,"Low",IF(HR_Data[[#This Row],[MonthlyIncome]]&lt;6000,"Medium",IF(HR_Data[[#This Row],[MonthlyIncome]]&lt;10000,"High","Very High")))</f>
        <v>Low</v>
      </c>
      <c r="AL38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87" t="str">
        <f>IF(HR_Data[[#This Row],[TotalWorkingYears]]&lt;=5,"Junior",IF(HR_Data[[#This Row],[TotalWorkingYears]]&lt;=15,"Mid-Level","Senior"))</f>
        <v>Junior</v>
      </c>
      <c r="AN387" s="11" t="str">
        <f>IF(HR_Data[[#This Row],[PerformanceRating]]=3,"Standard","Excellent")</f>
        <v>Excellent</v>
      </c>
      <c r="AO387" s="11" t="str">
        <f>IF(HR_Data[[#This Row],[JobSatisfaction]]&lt;=2,"Low","High")</f>
        <v>High</v>
      </c>
      <c r="AP387" s="11" t="str">
        <f>IF(AND(HR_Data[[#This Row],[OverTime]]="Yes",HR_Data[[#This Row],[JobSatisfaction]]&lt;=2,HR_Data[[#This Row],[YearsAtCompany]]&lt;=2),"High Risk","Normal")</f>
        <v>Normal</v>
      </c>
    </row>
    <row r="388" spans="1:42" x14ac:dyDescent="0.25">
      <c r="A388" s="6">
        <v>37</v>
      </c>
      <c r="B388" s="4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s="11" t="str">
        <f>IF(HR_Data[[#This Row],[Age]]&lt;=25,"18-25",IF(HR_Data[[#This Row],[Age]]&lt;=35,"26-35",IF(HR_Data[[#This Row],[Age]]&lt;=45,"36-45",IF(HR_Data[[#This Row],[Age]]&lt;=55,"46-55","56+"))))</f>
        <v>36-45</v>
      </c>
      <c r="AK388" s="11" t="str">
        <f>IF(HR_Data[[#This Row],[MonthlyIncome]]&lt;3000,"Low",IF(HR_Data[[#This Row],[MonthlyIncome]]&lt;6000,"Medium",IF(HR_Data[[#This Row],[MonthlyIncome]]&lt;10000,"High","Very High")))</f>
        <v>Medium</v>
      </c>
      <c r="AL38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388" t="str">
        <f>IF(HR_Data[[#This Row],[TotalWorkingYears]]&lt;=5,"Junior",IF(HR_Data[[#This Row],[TotalWorkingYears]]&lt;=15,"Mid-Level","Senior"))</f>
        <v>Senior</v>
      </c>
      <c r="AN388" s="11" t="str">
        <f>IF(HR_Data[[#This Row],[PerformanceRating]]=3,"Standard","Excellent")</f>
        <v>Standard</v>
      </c>
      <c r="AO388" s="11" t="str">
        <f>IF(HR_Data[[#This Row],[JobSatisfaction]]&lt;=2,"Low","High")</f>
        <v>Low</v>
      </c>
      <c r="AP388" s="11" t="str">
        <f>IF(AND(HR_Data[[#This Row],[OverTime]]="Yes",HR_Data[[#This Row],[JobSatisfaction]]&lt;=2,HR_Data[[#This Row],[YearsAtCompany]]&lt;=2),"High Risk","Normal")</f>
        <v>Normal</v>
      </c>
    </row>
    <row r="389" spans="1:42" x14ac:dyDescent="0.25">
      <c r="A389" s="6">
        <v>40</v>
      </c>
      <c r="B389" s="4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s="11" t="str">
        <f>IF(HR_Data[[#This Row],[Age]]&lt;=25,"18-25",IF(HR_Data[[#This Row],[Age]]&lt;=35,"26-35",IF(HR_Data[[#This Row],[Age]]&lt;=45,"36-45",IF(HR_Data[[#This Row],[Age]]&lt;=55,"46-55","56+"))))</f>
        <v>36-45</v>
      </c>
      <c r="AK389" s="11" t="str">
        <f>IF(HR_Data[[#This Row],[MonthlyIncome]]&lt;3000,"Low",IF(HR_Data[[#This Row],[MonthlyIncome]]&lt;6000,"Medium",IF(HR_Data[[#This Row],[MonthlyIncome]]&lt;10000,"High","Very High")))</f>
        <v>Medium</v>
      </c>
      <c r="AL38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89" t="str">
        <f>IF(HR_Data[[#This Row],[TotalWorkingYears]]&lt;=5,"Junior",IF(HR_Data[[#This Row],[TotalWorkingYears]]&lt;=15,"Mid-Level","Senior"))</f>
        <v>Mid-Level</v>
      </c>
      <c r="AN389" s="11" t="str">
        <f>IF(HR_Data[[#This Row],[PerformanceRating]]=3,"Standard","Excellent")</f>
        <v>Standard</v>
      </c>
      <c r="AO389" s="11" t="str">
        <f>IF(HR_Data[[#This Row],[JobSatisfaction]]&lt;=2,"Low","High")</f>
        <v>Low</v>
      </c>
      <c r="AP389" s="11" t="str">
        <f>IF(AND(HR_Data[[#This Row],[OverTime]]="Yes",HR_Data[[#This Row],[JobSatisfaction]]&lt;=2,HR_Data[[#This Row],[YearsAtCompany]]&lt;=2),"High Risk","Normal")</f>
        <v>Normal</v>
      </c>
    </row>
    <row r="390" spans="1:42" x14ac:dyDescent="0.25">
      <c r="A390" s="6">
        <v>42</v>
      </c>
      <c r="B390" s="4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s="11" t="str">
        <f>IF(HR_Data[[#This Row],[Age]]&lt;=25,"18-25",IF(HR_Data[[#This Row],[Age]]&lt;=35,"26-35",IF(HR_Data[[#This Row],[Age]]&lt;=45,"36-45",IF(HR_Data[[#This Row],[Age]]&lt;=55,"46-55","56+"))))</f>
        <v>36-45</v>
      </c>
      <c r="AK390" s="11" t="str">
        <f>IF(HR_Data[[#This Row],[MonthlyIncome]]&lt;3000,"Low",IF(HR_Data[[#This Row],[MonthlyIncome]]&lt;6000,"Medium",IF(HR_Data[[#This Row],[MonthlyIncome]]&lt;10000,"High","Very High")))</f>
        <v>Low</v>
      </c>
      <c r="AL39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90" t="str">
        <f>IF(HR_Data[[#This Row],[TotalWorkingYears]]&lt;=5,"Junior",IF(HR_Data[[#This Row],[TotalWorkingYears]]&lt;=15,"Mid-Level","Senior"))</f>
        <v>Mid-Level</v>
      </c>
      <c r="AN390" s="11" t="str">
        <f>IF(HR_Data[[#This Row],[PerformanceRating]]=3,"Standard","Excellent")</f>
        <v>Standard</v>
      </c>
      <c r="AO390" s="11" t="str">
        <f>IF(HR_Data[[#This Row],[JobSatisfaction]]&lt;=2,"Low","High")</f>
        <v>Low</v>
      </c>
      <c r="AP390" s="11" t="str">
        <f>IF(AND(HR_Data[[#This Row],[OverTime]]="Yes",HR_Data[[#This Row],[JobSatisfaction]]&lt;=2,HR_Data[[#This Row],[YearsAtCompany]]&lt;=2),"High Risk","Normal")</f>
        <v>Normal</v>
      </c>
    </row>
    <row r="391" spans="1:42" x14ac:dyDescent="0.25">
      <c r="A391" s="6">
        <v>37</v>
      </c>
      <c r="B391" s="4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s="11" t="str">
        <f>IF(HR_Data[[#This Row],[Age]]&lt;=25,"18-25",IF(HR_Data[[#This Row],[Age]]&lt;=35,"26-35",IF(HR_Data[[#This Row],[Age]]&lt;=45,"36-45",IF(HR_Data[[#This Row],[Age]]&lt;=55,"46-55","56+"))))</f>
        <v>36-45</v>
      </c>
      <c r="AK391" s="11" t="str">
        <f>IF(HR_Data[[#This Row],[MonthlyIncome]]&lt;3000,"Low",IF(HR_Data[[#This Row],[MonthlyIncome]]&lt;6000,"Medium",IF(HR_Data[[#This Row],[MonthlyIncome]]&lt;10000,"High","Very High")))</f>
        <v>Medium</v>
      </c>
      <c r="AL39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91" t="str">
        <f>IF(HR_Data[[#This Row],[TotalWorkingYears]]&lt;=5,"Junior",IF(HR_Data[[#This Row],[TotalWorkingYears]]&lt;=15,"Mid-Level","Senior"))</f>
        <v>Senior</v>
      </c>
      <c r="AN391" s="11" t="str">
        <f>IF(HR_Data[[#This Row],[PerformanceRating]]=3,"Standard","Excellent")</f>
        <v>Standard</v>
      </c>
      <c r="AO391" s="11" t="str">
        <f>IF(HR_Data[[#This Row],[JobSatisfaction]]&lt;=2,"Low","High")</f>
        <v>Low</v>
      </c>
      <c r="AP391" s="11" t="str">
        <f>IF(AND(HR_Data[[#This Row],[OverTime]]="Yes",HR_Data[[#This Row],[JobSatisfaction]]&lt;=2,HR_Data[[#This Row],[YearsAtCompany]]&lt;=2),"High Risk","Normal")</f>
        <v>High Risk</v>
      </c>
    </row>
    <row r="392" spans="1:42" x14ac:dyDescent="0.25">
      <c r="A392" s="6">
        <v>43</v>
      </c>
      <c r="B392" s="4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s="11" t="str">
        <f>IF(HR_Data[[#This Row],[Age]]&lt;=25,"18-25",IF(HR_Data[[#This Row],[Age]]&lt;=35,"26-35",IF(HR_Data[[#This Row],[Age]]&lt;=45,"36-45",IF(HR_Data[[#This Row],[Age]]&lt;=55,"46-55","56+"))))</f>
        <v>36-45</v>
      </c>
      <c r="AK392" s="11" t="str">
        <f>IF(HR_Data[[#This Row],[MonthlyIncome]]&lt;3000,"Low",IF(HR_Data[[#This Row],[MonthlyIncome]]&lt;6000,"Medium",IF(HR_Data[[#This Row],[MonthlyIncome]]&lt;10000,"High","Very High")))</f>
        <v>Very High</v>
      </c>
      <c r="AL392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392" t="str">
        <f>IF(HR_Data[[#This Row],[TotalWorkingYears]]&lt;=5,"Junior",IF(HR_Data[[#This Row],[TotalWorkingYears]]&lt;=15,"Mid-Level","Senior"))</f>
        <v>Senior</v>
      </c>
      <c r="AN392" s="11" t="str">
        <f>IF(HR_Data[[#This Row],[PerformanceRating]]=3,"Standard","Excellent")</f>
        <v>Standard</v>
      </c>
      <c r="AO392" s="11" t="str">
        <f>IF(HR_Data[[#This Row],[JobSatisfaction]]&lt;=2,"Low","High")</f>
        <v>Low</v>
      </c>
      <c r="AP392" s="11" t="str">
        <f>IF(AND(HR_Data[[#This Row],[OverTime]]="Yes",HR_Data[[#This Row],[JobSatisfaction]]&lt;=2,HR_Data[[#This Row],[YearsAtCompany]]&lt;=2),"High Risk","Normal")</f>
        <v>Normal</v>
      </c>
    </row>
    <row r="393" spans="1:42" x14ac:dyDescent="0.25">
      <c r="A393" s="6">
        <v>40</v>
      </c>
      <c r="B393" s="4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s="11" t="str">
        <f>IF(HR_Data[[#This Row],[Age]]&lt;=25,"18-25",IF(HR_Data[[#This Row],[Age]]&lt;=35,"26-35",IF(HR_Data[[#This Row],[Age]]&lt;=45,"36-45",IF(HR_Data[[#This Row],[Age]]&lt;=55,"46-55","56+"))))</f>
        <v>36-45</v>
      </c>
      <c r="AK393" s="11" t="str">
        <f>IF(HR_Data[[#This Row],[MonthlyIncome]]&lt;3000,"Low",IF(HR_Data[[#This Row],[MonthlyIncome]]&lt;6000,"Medium",IF(HR_Data[[#This Row],[MonthlyIncome]]&lt;10000,"High","Very High")))</f>
        <v>Medium</v>
      </c>
      <c r="AL39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393" t="str">
        <f>IF(HR_Data[[#This Row],[TotalWorkingYears]]&lt;=5,"Junior",IF(HR_Data[[#This Row],[TotalWorkingYears]]&lt;=15,"Mid-Level","Senior"))</f>
        <v>Senior</v>
      </c>
      <c r="AN393" s="11" t="str">
        <f>IF(HR_Data[[#This Row],[PerformanceRating]]=3,"Standard","Excellent")</f>
        <v>Excellent</v>
      </c>
      <c r="AO393" s="11" t="str">
        <f>IF(HR_Data[[#This Row],[JobSatisfaction]]&lt;=2,"Low","High")</f>
        <v>High</v>
      </c>
      <c r="AP393" s="11" t="str">
        <f>IF(AND(HR_Data[[#This Row],[OverTime]]="Yes",HR_Data[[#This Row],[JobSatisfaction]]&lt;=2,HR_Data[[#This Row],[YearsAtCompany]]&lt;=2),"High Risk","Normal")</f>
        <v>Normal</v>
      </c>
    </row>
    <row r="394" spans="1:42" x14ac:dyDescent="0.25">
      <c r="A394" s="6">
        <v>54</v>
      </c>
      <c r="B394" s="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s="11" t="str">
        <f>IF(HR_Data[[#This Row],[Age]]&lt;=25,"18-25",IF(HR_Data[[#This Row],[Age]]&lt;=35,"26-35",IF(HR_Data[[#This Row],[Age]]&lt;=45,"36-45",IF(HR_Data[[#This Row],[Age]]&lt;=55,"46-55","56+"))))</f>
        <v>46-55</v>
      </c>
      <c r="AK394" s="11" t="str">
        <f>IF(HR_Data[[#This Row],[MonthlyIncome]]&lt;3000,"Low",IF(HR_Data[[#This Row],[MonthlyIncome]]&lt;6000,"Medium",IF(HR_Data[[#This Row],[MonthlyIncome]]&lt;10000,"High","Very High")))</f>
        <v>Very High</v>
      </c>
      <c r="AL39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94" t="str">
        <f>IF(HR_Data[[#This Row],[TotalWorkingYears]]&lt;=5,"Junior",IF(HR_Data[[#This Row],[TotalWorkingYears]]&lt;=15,"Mid-Level","Senior"))</f>
        <v>Senior</v>
      </c>
      <c r="AN394" s="11" t="str">
        <f>IF(HR_Data[[#This Row],[PerformanceRating]]=3,"Standard","Excellent")</f>
        <v>Standard</v>
      </c>
      <c r="AO394" s="11" t="str">
        <f>IF(HR_Data[[#This Row],[JobSatisfaction]]&lt;=2,"Low","High")</f>
        <v>Low</v>
      </c>
      <c r="AP394" s="11" t="str">
        <f>IF(AND(HR_Data[[#This Row],[OverTime]]="Yes",HR_Data[[#This Row],[JobSatisfaction]]&lt;=2,HR_Data[[#This Row],[YearsAtCompany]]&lt;=2),"High Risk","Normal")</f>
        <v>Normal</v>
      </c>
    </row>
    <row r="395" spans="1:42" x14ac:dyDescent="0.25">
      <c r="A395" s="6">
        <v>34</v>
      </c>
      <c r="B395" s="4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s="11" t="str">
        <f>IF(HR_Data[[#This Row],[Age]]&lt;=25,"18-25",IF(HR_Data[[#This Row],[Age]]&lt;=35,"26-35",IF(HR_Data[[#This Row],[Age]]&lt;=45,"36-45",IF(HR_Data[[#This Row],[Age]]&lt;=55,"46-55","56+"))))</f>
        <v>26-35</v>
      </c>
      <c r="AK395" s="11" t="str">
        <f>IF(HR_Data[[#This Row],[MonthlyIncome]]&lt;3000,"Low",IF(HR_Data[[#This Row],[MonthlyIncome]]&lt;6000,"Medium",IF(HR_Data[[#This Row],[MonthlyIncome]]&lt;10000,"High","Very High")))</f>
        <v>High</v>
      </c>
      <c r="AL39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95" t="str">
        <f>IF(HR_Data[[#This Row],[TotalWorkingYears]]&lt;=5,"Junior",IF(HR_Data[[#This Row],[TotalWorkingYears]]&lt;=15,"Mid-Level","Senior"))</f>
        <v>Mid-Level</v>
      </c>
      <c r="AN395" s="11" t="str">
        <f>IF(HR_Data[[#This Row],[PerformanceRating]]=3,"Standard","Excellent")</f>
        <v>Standard</v>
      </c>
      <c r="AO395" s="11" t="str">
        <f>IF(HR_Data[[#This Row],[JobSatisfaction]]&lt;=2,"Low","High")</f>
        <v>High</v>
      </c>
      <c r="AP395" s="11" t="str">
        <f>IF(AND(HR_Data[[#This Row],[OverTime]]="Yes",HR_Data[[#This Row],[JobSatisfaction]]&lt;=2,HR_Data[[#This Row],[YearsAtCompany]]&lt;=2),"High Risk","Normal")</f>
        <v>Normal</v>
      </c>
    </row>
    <row r="396" spans="1:42" x14ac:dyDescent="0.25">
      <c r="A396" s="6">
        <v>31</v>
      </c>
      <c r="B396" s="4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s="11" t="str">
        <f>IF(HR_Data[[#This Row],[Age]]&lt;=25,"18-25",IF(HR_Data[[#This Row],[Age]]&lt;=35,"26-35",IF(HR_Data[[#This Row],[Age]]&lt;=45,"36-45",IF(HR_Data[[#This Row],[Age]]&lt;=55,"46-55","56+"))))</f>
        <v>26-35</v>
      </c>
      <c r="AK396" s="11" t="str">
        <f>IF(HR_Data[[#This Row],[MonthlyIncome]]&lt;3000,"Low",IF(HR_Data[[#This Row],[MonthlyIncome]]&lt;6000,"Medium",IF(HR_Data[[#This Row],[MonthlyIncome]]&lt;10000,"High","Very High")))</f>
        <v>Medium</v>
      </c>
      <c r="AL396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396" t="str">
        <f>IF(HR_Data[[#This Row],[TotalWorkingYears]]&lt;=5,"Junior",IF(HR_Data[[#This Row],[TotalWorkingYears]]&lt;=15,"Mid-Level","Senior"))</f>
        <v>Mid-Level</v>
      </c>
      <c r="AN396" s="11" t="str">
        <f>IF(HR_Data[[#This Row],[PerformanceRating]]=3,"Standard","Excellent")</f>
        <v>Standard</v>
      </c>
      <c r="AO396" s="11" t="str">
        <f>IF(HR_Data[[#This Row],[JobSatisfaction]]&lt;=2,"Low","High")</f>
        <v>Low</v>
      </c>
      <c r="AP396" s="11" t="str">
        <f>IF(AND(HR_Data[[#This Row],[OverTime]]="Yes",HR_Data[[#This Row],[JobSatisfaction]]&lt;=2,HR_Data[[#This Row],[YearsAtCompany]]&lt;=2),"High Risk","Normal")</f>
        <v>Normal</v>
      </c>
    </row>
    <row r="397" spans="1:42" x14ac:dyDescent="0.25">
      <c r="A397" s="6">
        <v>43</v>
      </c>
      <c r="B397" s="4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s="11" t="str">
        <f>IF(HR_Data[[#This Row],[Age]]&lt;=25,"18-25",IF(HR_Data[[#This Row],[Age]]&lt;=35,"26-35",IF(HR_Data[[#This Row],[Age]]&lt;=45,"36-45",IF(HR_Data[[#This Row],[Age]]&lt;=55,"46-55","56+"))))</f>
        <v>36-45</v>
      </c>
      <c r="AK397" s="11" t="str">
        <f>IF(HR_Data[[#This Row],[MonthlyIncome]]&lt;3000,"Low",IF(HR_Data[[#This Row],[MonthlyIncome]]&lt;6000,"Medium",IF(HR_Data[[#This Row],[MonthlyIncome]]&lt;10000,"High","Very High")))</f>
        <v>Low</v>
      </c>
      <c r="AL39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97" t="str">
        <f>IF(HR_Data[[#This Row],[TotalWorkingYears]]&lt;=5,"Junior",IF(HR_Data[[#This Row],[TotalWorkingYears]]&lt;=15,"Mid-Level","Senior"))</f>
        <v>Mid-Level</v>
      </c>
      <c r="AN397" s="11" t="str">
        <f>IF(HR_Data[[#This Row],[PerformanceRating]]=3,"Standard","Excellent")</f>
        <v>Excellent</v>
      </c>
      <c r="AO397" s="11" t="str">
        <f>IF(HR_Data[[#This Row],[JobSatisfaction]]&lt;=2,"Low","High")</f>
        <v>High</v>
      </c>
      <c r="AP397" s="11" t="str">
        <f>IF(AND(HR_Data[[#This Row],[OverTime]]="Yes",HR_Data[[#This Row],[JobSatisfaction]]&lt;=2,HR_Data[[#This Row],[YearsAtCompany]]&lt;=2),"High Risk","Normal")</f>
        <v>Normal</v>
      </c>
    </row>
    <row r="398" spans="1:42" x14ac:dyDescent="0.25">
      <c r="A398" s="6">
        <v>43</v>
      </c>
      <c r="B398" s="4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s="11" t="str">
        <f>IF(HR_Data[[#This Row],[Age]]&lt;=25,"18-25",IF(HR_Data[[#This Row],[Age]]&lt;=35,"26-35",IF(HR_Data[[#This Row],[Age]]&lt;=45,"36-45",IF(HR_Data[[#This Row],[Age]]&lt;=55,"46-55","56+"))))</f>
        <v>36-45</v>
      </c>
      <c r="AK398" s="11" t="str">
        <f>IF(HR_Data[[#This Row],[MonthlyIncome]]&lt;3000,"Low",IF(HR_Data[[#This Row],[MonthlyIncome]]&lt;6000,"Medium",IF(HR_Data[[#This Row],[MonthlyIncome]]&lt;10000,"High","Very High")))</f>
        <v>Medium</v>
      </c>
      <c r="AL39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98" t="str">
        <f>IF(HR_Data[[#This Row],[TotalWorkingYears]]&lt;=5,"Junior",IF(HR_Data[[#This Row],[TotalWorkingYears]]&lt;=15,"Mid-Level","Senior"))</f>
        <v>Mid-Level</v>
      </c>
      <c r="AN398" s="11" t="str">
        <f>IF(HR_Data[[#This Row],[PerformanceRating]]=3,"Standard","Excellent")</f>
        <v>Standard</v>
      </c>
      <c r="AO398" s="11" t="str">
        <f>IF(HR_Data[[#This Row],[JobSatisfaction]]&lt;=2,"Low","High")</f>
        <v>High</v>
      </c>
      <c r="AP398" s="11" t="str">
        <f>IF(AND(HR_Data[[#This Row],[OverTime]]="Yes",HR_Data[[#This Row],[JobSatisfaction]]&lt;=2,HR_Data[[#This Row],[YearsAtCompany]]&lt;=2),"High Risk","Normal")</f>
        <v>Normal</v>
      </c>
    </row>
    <row r="399" spans="1:42" x14ac:dyDescent="0.25">
      <c r="A399" s="6">
        <v>25</v>
      </c>
      <c r="B399" s="4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s="11" t="str">
        <f>IF(HR_Data[[#This Row],[Age]]&lt;=25,"18-25",IF(HR_Data[[#This Row],[Age]]&lt;=35,"26-35",IF(HR_Data[[#This Row],[Age]]&lt;=45,"36-45",IF(HR_Data[[#This Row],[Age]]&lt;=55,"46-55","56+"))))</f>
        <v>18-25</v>
      </c>
      <c r="AK399" s="11" t="str">
        <f>IF(HR_Data[[#This Row],[MonthlyIncome]]&lt;3000,"Low",IF(HR_Data[[#This Row],[MonthlyIncome]]&lt;6000,"Medium",IF(HR_Data[[#This Row],[MonthlyIncome]]&lt;10000,"High","Very High")))</f>
        <v>Medium</v>
      </c>
      <c r="AL39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399" t="str">
        <f>IF(HR_Data[[#This Row],[TotalWorkingYears]]&lt;=5,"Junior",IF(HR_Data[[#This Row],[TotalWorkingYears]]&lt;=15,"Mid-Level","Senior"))</f>
        <v>Junior</v>
      </c>
      <c r="AN399" s="11" t="str">
        <f>IF(HR_Data[[#This Row],[PerformanceRating]]=3,"Standard","Excellent")</f>
        <v>Standard</v>
      </c>
      <c r="AO399" s="11" t="str">
        <f>IF(HR_Data[[#This Row],[JobSatisfaction]]&lt;=2,"Low","High")</f>
        <v>High</v>
      </c>
      <c r="AP399" s="11" t="str">
        <f>IF(AND(HR_Data[[#This Row],[OverTime]]="Yes",HR_Data[[#This Row],[JobSatisfaction]]&lt;=2,HR_Data[[#This Row],[YearsAtCompany]]&lt;=2),"High Risk","Normal")</f>
        <v>Normal</v>
      </c>
    </row>
    <row r="400" spans="1:42" x14ac:dyDescent="0.25">
      <c r="A400" s="6">
        <v>37</v>
      </c>
      <c r="B400" s="4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s="11" t="str">
        <f>IF(HR_Data[[#This Row],[Age]]&lt;=25,"18-25",IF(HR_Data[[#This Row],[Age]]&lt;=35,"26-35",IF(HR_Data[[#This Row],[Age]]&lt;=45,"36-45",IF(HR_Data[[#This Row],[Age]]&lt;=55,"46-55","56+"))))</f>
        <v>36-45</v>
      </c>
      <c r="AK400" s="11" t="str">
        <f>IF(HR_Data[[#This Row],[MonthlyIncome]]&lt;3000,"Low",IF(HR_Data[[#This Row],[MonthlyIncome]]&lt;6000,"Medium",IF(HR_Data[[#This Row],[MonthlyIncome]]&lt;10000,"High","Very High")))</f>
        <v>Medium</v>
      </c>
      <c r="AL40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400" t="str">
        <f>IF(HR_Data[[#This Row],[TotalWorkingYears]]&lt;=5,"Junior",IF(HR_Data[[#This Row],[TotalWorkingYears]]&lt;=15,"Mid-Level","Senior"))</f>
        <v>Mid-Level</v>
      </c>
      <c r="AN400" s="11" t="str">
        <f>IF(HR_Data[[#This Row],[PerformanceRating]]=3,"Standard","Excellent")</f>
        <v>Standard</v>
      </c>
      <c r="AO400" s="11" t="str">
        <f>IF(HR_Data[[#This Row],[JobSatisfaction]]&lt;=2,"Low","High")</f>
        <v>High</v>
      </c>
      <c r="AP400" s="11" t="str">
        <f>IF(AND(HR_Data[[#This Row],[OverTime]]="Yes",HR_Data[[#This Row],[JobSatisfaction]]&lt;=2,HR_Data[[#This Row],[YearsAtCompany]]&lt;=2),"High Risk","Normal")</f>
        <v>Normal</v>
      </c>
    </row>
    <row r="401" spans="1:42" x14ac:dyDescent="0.25">
      <c r="A401" s="6">
        <v>31</v>
      </c>
      <c r="B401" s="4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s="11" t="str">
        <f>IF(HR_Data[[#This Row],[Age]]&lt;=25,"18-25",IF(HR_Data[[#This Row],[Age]]&lt;=35,"26-35",IF(HR_Data[[#This Row],[Age]]&lt;=45,"36-45",IF(HR_Data[[#This Row],[Age]]&lt;=55,"46-55","56+"))))</f>
        <v>26-35</v>
      </c>
      <c r="AK401" s="11" t="str">
        <f>IF(HR_Data[[#This Row],[MonthlyIncome]]&lt;3000,"Low",IF(HR_Data[[#This Row],[MonthlyIncome]]&lt;6000,"Medium",IF(HR_Data[[#This Row],[MonthlyIncome]]&lt;10000,"High","Very High")))</f>
        <v>Low</v>
      </c>
      <c r="AL40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01" t="str">
        <f>IF(HR_Data[[#This Row],[TotalWorkingYears]]&lt;=5,"Junior",IF(HR_Data[[#This Row],[TotalWorkingYears]]&lt;=15,"Mid-Level","Senior"))</f>
        <v>Junior</v>
      </c>
      <c r="AN401" s="11" t="str">
        <f>IF(HR_Data[[#This Row],[PerformanceRating]]=3,"Standard","Excellent")</f>
        <v>Standard</v>
      </c>
      <c r="AO401" s="11" t="str">
        <f>IF(HR_Data[[#This Row],[JobSatisfaction]]&lt;=2,"Low","High")</f>
        <v>Low</v>
      </c>
      <c r="AP401" s="11" t="str">
        <f>IF(AND(HR_Data[[#This Row],[OverTime]]="Yes",HR_Data[[#This Row],[JobSatisfaction]]&lt;=2,HR_Data[[#This Row],[YearsAtCompany]]&lt;=2),"High Risk","Normal")</f>
        <v>Normal</v>
      </c>
    </row>
    <row r="402" spans="1:42" x14ac:dyDescent="0.25">
      <c r="A402" s="6">
        <v>39</v>
      </c>
      <c r="B402" s="4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s="11" t="str">
        <f>IF(HR_Data[[#This Row],[Age]]&lt;=25,"18-25",IF(HR_Data[[#This Row],[Age]]&lt;=35,"26-35",IF(HR_Data[[#This Row],[Age]]&lt;=45,"36-45",IF(HR_Data[[#This Row],[Age]]&lt;=55,"46-55","56+"))))</f>
        <v>36-45</v>
      </c>
      <c r="AK402" s="11" t="str">
        <f>IF(HR_Data[[#This Row],[MonthlyIncome]]&lt;3000,"Low",IF(HR_Data[[#This Row],[MonthlyIncome]]&lt;6000,"Medium",IF(HR_Data[[#This Row],[MonthlyIncome]]&lt;10000,"High","Very High")))</f>
        <v>Very High</v>
      </c>
      <c r="AL402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402" t="str">
        <f>IF(HR_Data[[#This Row],[TotalWorkingYears]]&lt;=5,"Junior",IF(HR_Data[[#This Row],[TotalWorkingYears]]&lt;=15,"Mid-Level","Senior"))</f>
        <v>Senior</v>
      </c>
      <c r="AN402" s="11" t="str">
        <f>IF(HR_Data[[#This Row],[PerformanceRating]]=3,"Standard","Excellent")</f>
        <v>Standard</v>
      </c>
      <c r="AO402" s="11" t="str">
        <f>IF(HR_Data[[#This Row],[JobSatisfaction]]&lt;=2,"Low","High")</f>
        <v>High</v>
      </c>
      <c r="AP402" s="11" t="str">
        <f>IF(AND(HR_Data[[#This Row],[OverTime]]="Yes",HR_Data[[#This Row],[JobSatisfaction]]&lt;=2,HR_Data[[#This Row],[YearsAtCompany]]&lt;=2),"High Risk","Normal")</f>
        <v>Normal</v>
      </c>
    </row>
    <row r="403" spans="1:42" x14ac:dyDescent="0.25">
      <c r="A403" s="6">
        <v>56</v>
      </c>
      <c r="B403" s="4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s="11" t="str">
        <f>IF(HR_Data[[#This Row],[Age]]&lt;=25,"18-25",IF(HR_Data[[#This Row],[Age]]&lt;=35,"26-35",IF(HR_Data[[#This Row],[Age]]&lt;=45,"36-45",IF(HR_Data[[#This Row],[Age]]&lt;=55,"46-55","56+"))))</f>
        <v>56+</v>
      </c>
      <c r="AK403" s="11" t="str">
        <f>IF(HR_Data[[#This Row],[MonthlyIncome]]&lt;3000,"Low",IF(HR_Data[[#This Row],[MonthlyIncome]]&lt;6000,"Medium",IF(HR_Data[[#This Row],[MonthlyIncome]]&lt;10000,"High","Very High")))</f>
        <v>Very High</v>
      </c>
      <c r="AL40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03" t="str">
        <f>IF(HR_Data[[#This Row],[TotalWorkingYears]]&lt;=5,"Junior",IF(HR_Data[[#This Row],[TotalWorkingYears]]&lt;=15,"Mid-Level","Senior"))</f>
        <v>Senior</v>
      </c>
      <c r="AN403" s="11" t="str">
        <f>IF(HR_Data[[#This Row],[PerformanceRating]]=3,"Standard","Excellent")</f>
        <v>Standard</v>
      </c>
      <c r="AO403" s="11" t="str">
        <f>IF(HR_Data[[#This Row],[JobSatisfaction]]&lt;=2,"Low","High")</f>
        <v>Low</v>
      </c>
      <c r="AP403" s="11" t="str">
        <f>IF(AND(HR_Data[[#This Row],[OverTime]]="Yes",HR_Data[[#This Row],[JobSatisfaction]]&lt;=2,HR_Data[[#This Row],[YearsAtCompany]]&lt;=2),"High Risk","Normal")</f>
        <v>Normal</v>
      </c>
    </row>
    <row r="404" spans="1:42" x14ac:dyDescent="0.25">
      <c r="A404" s="6">
        <v>30</v>
      </c>
      <c r="B404" s="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s="11" t="str">
        <f>IF(HR_Data[[#This Row],[Age]]&lt;=25,"18-25",IF(HR_Data[[#This Row],[Age]]&lt;=35,"26-35",IF(HR_Data[[#This Row],[Age]]&lt;=45,"36-45",IF(HR_Data[[#This Row],[Age]]&lt;=55,"46-55","56+"))))</f>
        <v>26-35</v>
      </c>
      <c r="AK404" s="11" t="str">
        <f>IF(HR_Data[[#This Row],[MonthlyIncome]]&lt;3000,"Low",IF(HR_Data[[#This Row],[MonthlyIncome]]&lt;6000,"Medium",IF(HR_Data[[#This Row],[MonthlyIncome]]&lt;10000,"High","Very High")))</f>
        <v>High</v>
      </c>
      <c r="AL40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04" t="str">
        <f>IF(HR_Data[[#This Row],[TotalWorkingYears]]&lt;=5,"Junior",IF(HR_Data[[#This Row],[TotalWorkingYears]]&lt;=15,"Mid-Level","Senior"))</f>
        <v>Mid-Level</v>
      </c>
      <c r="AN404" s="11" t="str">
        <f>IF(HR_Data[[#This Row],[PerformanceRating]]=3,"Standard","Excellent")</f>
        <v>Standard</v>
      </c>
      <c r="AO404" s="11" t="str">
        <f>IF(HR_Data[[#This Row],[JobSatisfaction]]&lt;=2,"Low","High")</f>
        <v>High</v>
      </c>
      <c r="AP404" s="11" t="str">
        <f>IF(AND(HR_Data[[#This Row],[OverTime]]="Yes",HR_Data[[#This Row],[JobSatisfaction]]&lt;=2,HR_Data[[#This Row],[YearsAtCompany]]&lt;=2),"High Risk","Normal")</f>
        <v>Normal</v>
      </c>
    </row>
    <row r="405" spans="1:42" x14ac:dyDescent="0.25">
      <c r="A405" s="6">
        <v>41</v>
      </c>
      <c r="B405" s="4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s="11" t="str">
        <f>IF(HR_Data[[#This Row],[Age]]&lt;=25,"18-25",IF(HR_Data[[#This Row],[Age]]&lt;=35,"26-35",IF(HR_Data[[#This Row],[Age]]&lt;=45,"36-45",IF(HR_Data[[#This Row],[Age]]&lt;=55,"46-55","56+"))))</f>
        <v>36-45</v>
      </c>
      <c r="AK405" s="11" t="str">
        <f>IF(HR_Data[[#This Row],[MonthlyIncome]]&lt;3000,"Low",IF(HR_Data[[#This Row],[MonthlyIncome]]&lt;6000,"Medium",IF(HR_Data[[#This Row],[MonthlyIncome]]&lt;10000,"High","Very High")))</f>
        <v>High</v>
      </c>
      <c r="AL40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05" t="str">
        <f>IF(HR_Data[[#This Row],[TotalWorkingYears]]&lt;=5,"Junior",IF(HR_Data[[#This Row],[TotalWorkingYears]]&lt;=15,"Mid-Level","Senior"))</f>
        <v>Mid-Level</v>
      </c>
      <c r="AN405" s="11" t="str">
        <f>IF(HR_Data[[#This Row],[PerformanceRating]]=3,"Standard","Excellent")</f>
        <v>Standard</v>
      </c>
      <c r="AO405" s="11" t="str">
        <f>IF(HR_Data[[#This Row],[JobSatisfaction]]&lt;=2,"Low","High")</f>
        <v>Low</v>
      </c>
      <c r="AP405" s="11" t="str">
        <f>IF(AND(HR_Data[[#This Row],[OverTime]]="Yes",HR_Data[[#This Row],[JobSatisfaction]]&lt;=2,HR_Data[[#This Row],[YearsAtCompany]]&lt;=2),"High Risk","Normal")</f>
        <v>Normal</v>
      </c>
    </row>
    <row r="406" spans="1:42" x14ac:dyDescent="0.25">
      <c r="A406" s="6">
        <v>28</v>
      </c>
      <c r="B406" s="4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s="11" t="str">
        <f>IF(HR_Data[[#This Row],[Age]]&lt;=25,"18-25",IF(HR_Data[[#This Row],[Age]]&lt;=35,"26-35",IF(HR_Data[[#This Row],[Age]]&lt;=45,"36-45",IF(HR_Data[[#This Row],[Age]]&lt;=55,"46-55","56+"))))</f>
        <v>26-35</v>
      </c>
      <c r="AK406" s="11" t="str">
        <f>IF(HR_Data[[#This Row],[MonthlyIncome]]&lt;3000,"Low",IF(HR_Data[[#This Row],[MonthlyIncome]]&lt;6000,"Medium",IF(HR_Data[[#This Row],[MonthlyIncome]]&lt;10000,"High","Very High")))</f>
        <v>Medium</v>
      </c>
      <c r="AL40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06" t="str">
        <f>IF(HR_Data[[#This Row],[TotalWorkingYears]]&lt;=5,"Junior",IF(HR_Data[[#This Row],[TotalWorkingYears]]&lt;=15,"Mid-Level","Senior"))</f>
        <v>Mid-Level</v>
      </c>
      <c r="AN406" s="11" t="str">
        <f>IF(HR_Data[[#This Row],[PerformanceRating]]=3,"Standard","Excellent")</f>
        <v>Standard</v>
      </c>
      <c r="AO406" s="11" t="str">
        <f>IF(HR_Data[[#This Row],[JobSatisfaction]]&lt;=2,"Low","High")</f>
        <v>Low</v>
      </c>
      <c r="AP406" s="11" t="str">
        <f>IF(AND(HR_Data[[#This Row],[OverTime]]="Yes",HR_Data[[#This Row],[JobSatisfaction]]&lt;=2,HR_Data[[#This Row],[YearsAtCompany]]&lt;=2),"High Risk","Normal")</f>
        <v>Normal</v>
      </c>
    </row>
    <row r="407" spans="1:42" x14ac:dyDescent="0.25">
      <c r="A407" s="6">
        <v>25</v>
      </c>
      <c r="B407" s="4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s="11" t="str">
        <f>IF(HR_Data[[#This Row],[Age]]&lt;=25,"18-25",IF(HR_Data[[#This Row],[Age]]&lt;=35,"26-35",IF(HR_Data[[#This Row],[Age]]&lt;=45,"36-45",IF(HR_Data[[#This Row],[Age]]&lt;=55,"46-55","56+"))))</f>
        <v>18-25</v>
      </c>
      <c r="AK407" s="11" t="str">
        <f>IF(HR_Data[[#This Row],[MonthlyIncome]]&lt;3000,"Low",IF(HR_Data[[#This Row],[MonthlyIncome]]&lt;6000,"Medium",IF(HR_Data[[#This Row],[MonthlyIncome]]&lt;10000,"High","Very High")))</f>
        <v>Medium</v>
      </c>
      <c r="AL40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07" t="str">
        <f>IF(HR_Data[[#This Row],[TotalWorkingYears]]&lt;=5,"Junior",IF(HR_Data[[#This Row],[TotalWorkingYears]]&lt;=15,"Mid-Level","Senior"))</f>
        <v>Mid-Level</v>
      </c>
      <c r="AN407" s="11" t="str">
        <f>IF(HR_Data[[#This Row],[PerformanceRating]]=3,"Standard","Excellent")</f>
        <v>Standard</v>
      </c>
      <c r="AO407" s="11" t="str">
        <f>IF(HR_Data[[#This Row],[JobSatisfaction]]&lt;=2,"Low","High")</f>
        <v>Low</v>
      </c>
      <c r="AP407" s="11" t="str">
        <f>IF(AND(HR_Data[[#This Row],[OverTime]]="Yes",HR_Data[[#This Row],[JobSatisfaction]]&lt;=2,HR_Data[[#This Row],[YearsAtCompany]]&lt;=2),"High Risk","Normal")</f>
        <v>Normal</v>
      </c>
    </row>
    <row r="408" spans="1:42" x14ac:dyDescent="0.25">
      <c r="A408" s="6">
        <v>52</v>
      </c>
      <c r="B408" s="4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s="11" t="str">
        <f>IF(HR_Data[[#This Row],[Age]]&lt;=25,"18-25",IF(HR_Data[[#This Row],[Age]]&lt;=35,"26-35",IF(HR_Data[[#This Row],[Age]]&lt;=45,"36-45",IF(HR_Data[[#This Row],[Age]]&lt;=55,"46-55","56+"))))</f>
        <v>46-55</v>
      </c>
      <c r="AK408" s="11" t="str">
        <f>IF(HR_Data[[#This Row],[MonthlyIncome]]&lt;3000,"Low",IF(HR_Data[[#This Row],[MonthlyIncome]]&lt;6000,"Medium",IF(HR_Data[[#This Row],[MonthlyIncome]]&lt;10000,"High","Very High")))</f>
        <v>High</v>
      </c>
      <c r="AL40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08" t="str">
        <f>IF(HR_Data[[#This Row],[TotalWorkingYears]]&lt;=5,"Junior",IF(HR_Data[[#This Row],[TotalWorkingYears]]&lt;=15,"Mid-Level","Senior"))</f>
        <v>Senior</v>
      </c>
      <c r="AN408" s="11" t="str">
        <f>IF(HR_Data[[#This Row],[PerformanceRating]]=3,"Standard","Excellent")</f>
        <v>Standard</v>
      </c>
      <c r="AO408" s="11" t="str">
        <f>IF(HR_Data[[#This Row],[JobSatisfaction]]&lt;=2,"Low","High")</f>
        <v>High</v>
      </c>
      <c r="AP408" s="11" t="str">
        <f>IF(AND(HR_Data[[#This Row],[OverTime]]="Yes",HR_Data[[#This Row],[JobSatisfaction]]&lt;=2,HR_Data[[#This Row],[YearsAtCompany]]&lt;=2),"High Risk","Normal")</f>
        <v>Normal</v>
      </c>
    </row>
    <row r="409" spans="1:42" x14ac:dyDescent="0.25">
      <c r="A409" s="6">
        <v>45</v>
      </c>
      <c r="B409" s="4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s="11" t="str">
        <f>IF(HR_Data[[#This Row],[Age]]&lt;=25,"18-25",IF(HR_Data[[#This Row],[Age]]&lt;=35,"26-35",IF(HR_Data[[#This Row],[Age]]&lt;=45,"36-45",IF(HR_Data[[#This Row],[Age]]&lt;=55,"46-55","56+"))))</f>
        <v>36-45</v>
      </c>
      <c r="AK409" s="11" t="str">
        <f>IF(HR_Data[[#This Row],[MonthlyIncome]]&lt;3000,"Low",IF(HR_Data[[#This Row],[MonthlyIncome]]&lt;6000,"Medium",IF(HR_Data[[#This Row],[MonthlyIncome]]&lt;10000,"High","Very High")))</f>
        <v>Low</v>
      </c>
      <c r="AL40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09" t="str">
        <f>IF(HR_Data[[#This Row],[TotalWorkingYears]]&lt;=5,"Junior",IF(HR_Data[[#This Row],[TotalWorkingYears]]&lt;=15,"Mid-Level","Senior"))</f>
        <v>Mid-Level</v>
      </c>
      <c r="AN409" s="11" t="str">
        <f>IF(HR_Data[[#This Row],[PerformanceRating]]=3,"Standard","Excellent")</f>
        <v>Excellent</v>
      </c>
      <c r="AO409" s="11" t="str">
        <f>IF(HR_Data[[#This Row],[JobSatisfaction]]&lt;=2,"Low","High")</f>
        <v>High</v>
      </c>
      <c r="AP409" s="11" t="str">
        <f>IF(AND(HR_Data[[#This Row],[OverTime]]="Yes",HR_Data[[#This Row],[JobSatisfaction]]&lt;=2,HR_Data[[#This Row],[YearsAtCompany]]&lt;=2),"High Risk","Normal")</f>
        <v>Normal</v>
      </c>
    </row>
    <row r="410" spans="1:42" x14ac:dyDescent="0.25">
      <c r="A410" s="6">
        <v>52</v>
      </c>
      <c r="B410" s="4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s="11" t="str">
        <f>IF(HR_Data[[#This Row],[Age]]&lt;=25,"18-25",IF(HR_Data[[#This Row],[Age]]&lt;=35,"26-35",IF(HR_Data[[#This Row],[Age]]&lt;=45,"36-45",IF(HR_Data[[#This Row],[Age]]&lt;=55,"46-55","56+"))))</f>
        <v>46-55</v>
      </c>
      <c r="AK410" s="11" t="str">
        <f>IF(HR_Data[[#This Row],[MonthlyIncome]]&lt;3000,"Low",IF(HR_Data[[#This Row],[MonthlyIncome]]&lt;6000,"Medium",IF(HR_Data[[#This Row],[MonthlyIncome]]&lt;10000,"High","Very High")))</f>
        <v>Very High</v>
      </c>
      <c r="AL41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10" t="str">
        <f>IF(HR_Data[[#This Row],[TotalWorkingYears]]&lt;=5,"Junior",IF(HR_Data[[#This Row],[TotalWorkingYears]]&lt;=15,"Mid-Level","Senior"))</f>
        <v>Senior</v>
      </c>
      <c r="AN410" s="11" t="str">
        <f>IF(HR_Data[[#This Row],[PerformanceRating]]=3,"Standard","Excellent")</f>
        <v>Standard</v>
      </c>
      <c r="AO410" s="11" t="str">
        <f>IF(HR_Data[[#This Row],[JobSatisfaction]]&lt;=2,"Low","High")</f>
        <v>High</v>
      </c>
      <c r="AP410" s="11" t="str">
        <f>IF(AND(HR_Data[[#This Row],[OverTime]]="Yes",HR_Data[[#This Row],[JobSatisfaction]]&lt;=2,HR_Data[[#This Row],[YearsAtCompany]]&lt;=2),"High Risk","Normal")</f>
        <v>Normal</v>
      </c>
    </row>
    <row r="411" spans="1:42" x14ac:dyDescent="0.25">
      <c r="A411" s="6">
        <v>42</v>
      </c>
      <c r="B411" s="4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s="11" t="str">
        <f>IF(HR_Data[[#This Row],[Age]]&lt;=25,"18-25",IF(HR_Data[[#This Row],[Age]]&lt;=35,"26-35",IF(HR_Data[[#This Row],[Age]]&lt;=45,"36-45",IF(HR_Data[[#This Row],[Age]]&lt;=55,"46-55","56+"))))</f>
        <v>36-45</v>
      </c>
      <c r="AK411" s="11" t="str">
        <f>IF(HR_Data[[#This Row],[MonthlyIncome]]&lt;3000,"Low",IF(HR_Data[[#This Row],[MonthlyIncome]]&lt;6000,"Medium",IF(HR_Data[[#This Row],[MonthlyIncome]]&lt;10000,"High","Very High")))</f>
        <v>Medium</v>
      </c>
      <c r="AL41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11" t="str">
        <f>IF(HR_Data[[#This Row],[TotalWorkingYears]]&lt;=5,"Junior",IF(HR_Data[[#This Row],[TotalWorkingYears]]&lt;=15,"Mid-Level","Senior"))</f>
        <v>Senior</v>
      </c>
      <c r="AN411" s="11" t="str">
        <f>IF(HR_Data[[#This Row],[PerformanceRating]]=3,"Standard","Excellent")</f>
        <v>Standard</v>
      </c>
      <c r="AO411" s="11" t="str">
        <f>IF(HR_Data[[#This Row],[JobSatisfaction]]&lt;=2,"Low","High")</f>
        <v>High</v>
      </c>
      <c r="AP411" s="11" t="str">
        <f>IF(AND(HR_Data[[#This Row],[OverTime]]="Yes",HR_Data[[#This Row],[JobSatisfaction]]&lt;=2,HR_Data[[#This Row],[YearsAtCompany]]&lt;=2),"High Risk","Normal")</f>
        <v>Normal</v>
      </c>
    </row>
    <row r="412" spans="1:42" x14ac:dyDescent="0.25">
      <c r="A412" s="6">
        <v>30</v>
      </c>
      <c r="B412" s="4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s="11" t="str">
        <f>IF(HR_Data[[#This Row],[Age]]&lt;=25,"18-25",IF(HR_Data[[#This Row],[Age]]&lt;=35,"26-35",IF(HR_Data[[#This Row],[Age]]&lt;=45,"36-45",IF(HR_Data[[#This Row],[Age]]&lt;=55,"46-55","56+"))))</f>
        <v>26-35</v>
      </c>
      <c r="AK412" s="11" t="str">
        <f>IF(HR_Data[[#This Row],[MonthlyIncome]]&lt;3000,"Low",IF(HR_Data[[#This Row],[MonthlyIncome]]&lt;6000,"Medium",IF(HR_Data[[#This Row],[MonthlyIncome]]&lt;10000,"High","Very High")))</f>
        <v>High</v>
      </c>
      <c r="AL41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12" t="str">
        <f>IF(HR_Data[[#This Row],[TotalWorkingYears]]&lt;=5,"Junior",IF(HR_Data[[#This Row],[TotalWorkingYears]]&lt;=15,"Mid-Level","Senior"))</f>
        <v>Mid-Level</v>
      </c>
      <c r="AN412" s="11" t="str">
        <f>IF(HR_Data[[#This Row],[PerformanceRating]]=3,"Standard","Excellent")</f>
        <v>Excellent</v>
      </c>
      <c r="AO412" s="11" t="str">
        <f>IF(HR_Data[[#This Row],[JobSatisfaction]]&lt;=2,"Low","High")</f>
        <v>High</v>
      </c>
      <c r="AP412" s="11" t="str">
        <f>IF(AND(HR_Data[[#This Row],[OverTime]]="Yes",HR_Data[[#This Row],[JobSatisfaction]]&lt;=2,HR_Data[[#This Row],[YearsAtCompany]]&lt;=2),"High Risk","Normal")</f>
        <v>Normal</v>
      </c>
    </row>
    <row r="413" spans="1:42" x14ac:dyDescent="0.25">
      <c r="A413" s="6">
        <v>60</v>
      </c>
      <c r="B413" s="4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s="11" t="str">
        <f>IF(HR_Data[[#This Row],[Age]]&lt;=25,"18-25",IF(HR_Data[[#This Row],[Age]]&lt;=35,"26-35",IF(HR_Data[[#This Row],[Age]]&lt;=45,"36-45",IF(HR_Data[[#This Row],[Age]]&lt;=55,"46-55","56+"))))</f>
        <v>56+</v>
      </c>
      <c r="AK413" s="11" t="str">
        <f>IF(HR_Data[[#This Row],[MonthlyIncome]]&lt;3000,"Low",IF(HR_Data[[#This Row],[MonthlyIncome]]&lt;6000,"Medium",IF(HR_Data[[#This Row],[MonthlyIncome]]&lt;10000,"High","Very High")))</f>
        <v>Very High</v>
      </c>
      <c r="AL41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413" t="str">
        <f>IF(HR_Data[[#This Row],[TotalWorkingYears]]&lt;=5,"Junior",IF(HR_Data[[#This Row],[TotalWorkingYears]]&lt;=15,"Mid-Level","Senior"))</f>
        <v>Senior</v>
      </c>
      <c r="AN413" s="11" t="str">
        <f>IF(HR_Data[[#This Row],[PerformanceRating]]=3,"Standard","Excellent")</f>
        <v>Standard</v>
      </c>
      <c r="AO413" s="11" t="str">
        <f>IF(HR_Data[[#This Row],[JobSatisfaction]]&lt;=2,"Low","High")</f>
        <v>Low</v>
      </c>
      <c r="AP413" s="11" t="str">
        <f>IF(AND(HR_Data[[#This Row],[OverTime]]="Yes",HR_Data[[#This Row],[JobSatisfaction]]&lt;=2,HR_Data[[#This Row],[YearsAtCompany]]&lt;=2),"High Risk","Normal")</f>
        <v>Normal</v>
      </c>
    </row>
    <row r="414" spans="1:42" x14ac:dyDescent="0.25">
      <c r="A414" s="6">
        <v>46</v>
      </c>
      <c r="B414" s="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s="11" t="str">
        <f>IF(HR_Data[[#This Row],[Age]]&lt;=25,"18-25",IF(HR_Data[[#This Row],[Age]]&lt;=35,"26-35",IF(HR_Data[[#This Row],[Age]]&lt;=45,"36-45",IF(HR_Data[[#This Row],[Age]]&lt;=55,"46-55","56+"))))</f>
        <v>46-55</v>
      </c>
      <c r="AK414" s="11" t="str">
        <f>IF(HR_Data[[#This Row],[MonthlyIncome]]&lt;3000,"Low",IF(HR_Data[[#This Row],[MonthlyIncome]]&lt;6000,"Medium",IF(HR_Data[[#This Row],[MonthlyIncome]]&lt;10000,"High","Very High")))</f>
        <v>Medium</v>
      </c>
      <c r="AL41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14" t="str">
        <f>IF(HR_Data[[#This Row],[TotalWorkingYears]]&lt;=5,"Junior",IF(HR_Data[[#This Row],[TotalWorkingYears]]&lt;=15,"Mid-Level","Senior"))</f>
        <v>Senior</v>
      </c>
      <c r="AN414" s="11" t="str">
        <f>IF(HR_Data[[#This Row],[PerformanceRating]]=3,"Standard","Excellent")</f>
        <v>Standard</v>
      </c>
      <c r="AO414" s="11" t="str">
        <f>IF(HR_Data[[#This Row],[JobSatisfaction]]&lt;=2,"Low","High")</f>
        <v>High</v>
      </c>
      <c r="AP414" s="11" t="str">
        <f>IF(AND(HR_Data[[#This Row],[OverTime]]="Yes",HR_Data[[#This Row],[JobSatisfaction]]&lt;=2,HR_Data[[#This Row],[YearsAtCompany]]&lt;=2),"High Risk","Normal")</f>
        <v>Normal</v>
      </c>
    </row>
    <row r="415" spans="1:42" x14ac:dyDescent="0.25">
      <c r="A415" s="6">
        <v>42</v>
      </c>
      <c r="B415" s="4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s="11" t="str">
        <f>IF(HR_Data[[#This Row],[Age]]&lt;=25,"18-25",IF(HR_Data[[#This Row],[Age]]&lt;=35,"26-35",IF(HR_Data[[#This Row],[Age]]&lt;=45,"36-45",IF(HR_Data[[#This Row],[Age]]&lt;=55,"46-55","56+"))))</f>
        <v>36-45</v>
      </c>
      <c r="AK415" s="11" t="str">
        <f>IF(HR_Data[[#This Row],[MonthlyIncome]]&lt;3000,"Low",IF(HR_Data[[#This Row],[MonthlyIncome]]&lt;6000,"Medium",IF(HR_Data[[#This Row],[MonthlyIncome]]&lt;10000,"High","Very High")))</f>
        <v>Medium</v>
      </c>
      <c r="AL41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15" t="str">
        <f>IF(HR_Data[[#This Row],[TotalWorkingYears]]&lt;=5,"Junior",IF(HR_Data[[#This Row],[TotalWorkingYears]]&lt;=15,"Mid-Level","Senior"))</f>
        <v>Mid-Level</v>
      </c>
      <c r="AN415" s="11" t="str">
        <f>IF(HR_Data[[#This Row],[PerformanceRating]]=3,"Standard","Excellent")</f>
        <v>Standard</v>
      </c>
      <c r="AO415" s="11" t="str">
        <f>IF(HR_Data[[#This Row],[JobSatisfaction]]&lt;=2,"Low","High")</f>
        <v>High</v>
      </c>
      <c r="AP415" s="11" t="str">
        <f>IF(AND(HR_Data[[#This Row],[OverTime]]="Yes",HR_Data[[#This Row],[JobSatisfaction]]&lt;=2,HR_Data[[#This Row],[YearsAtCompany]]&lt;=2),"High Risk","Normal")</f>
        <v>Normal</v>
      </c>
    </row>
    <row r="416" spans="1:42" x14ac:dyDescent="0.25">
      <c r="A416" s="6">
        <v>24</v>
      </c>
      <c r="B416" s="4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s="11" t="str">
        <f>IF(HR_Data[[#This Row],[Age]]&lt;=25,"18-25",IF(HR_Data[[#This Row],[Age]]&lt;=35,"26-35",IF(HR_Data[[#This Row],[Age]]&lt;=45,"36-45",IF(HR_Data[[#This Row],[Age]]&lt;=55,"46-55","56+"))))</f>
        <v>18-25</v>
      </c>
      <c r="AK416" s="11" t="str">
        <f>IF(HR_Data[[#This Row],[MonthlyIncome]]&lt;3000,"Low",IF(HR_Data[[#This Row],[MonthlyIncome]]&lt;6000,"Medium",IF(HR_Data[[#This Row],[MonthlyIncome]]&lt;10000,"High","Very High")))</f>
        <v>Medium</v>
      </c>
      <c r="AL41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16" t="str">
        <f>IF(HR_Data[[#This Row],[TotalWorkingYears]]&lt;=5,"Junior",IF(HR_Data[[#This Row],[TotalWorkingYears]]&lt;=15,"Mid-Level","Senior"))</f>
        <v>Mid-Level</v>
      </c>
      <c r="AN416" s="11" t="str">
        <f>IF(HR_Data[[#This Row],[PerformanceRating]]=3,"Standard","Excellent")</f>
        <v>Standard</v>
      </c>
      <c r="AO416" s="11" t="str">
        <f>IF(HR_Data[[#This Row],[JobSatisfaction]]&lt;=2,"Low","High")</f>
        <v>Low</v>
      </c>
      <c r="AP416" s="11" t="str">
        <f>IF(AND(HR_Data[[#This Row],[OverTime]]="Yes",HR_Data[[#This Row],[JobSatisfaction]]&lt;=2,HR_Data[[#This Row],[YearsAtCompany]]&lt;=2),"High Risk","Normal")</f>
        <v>Normal</v>
      </c>
    </row>
    <row r="417" spans="1:42" x14ac:dyDescent="0.25">
      <c r="A417" s="6">
        <v>34</v>
      </c>
      <c r="B417" s="4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s="11" t="str">
        <f>IF(HR_Data[[#This Row],[Age]]&lt;=25,"18-25",IF(HR_Data[[#This Row],[Age]]&lt;=35,"26-35",IF(HR_Data[[#This Row],[Age]]&lt;=45,"36-45",IF(HR_Data[[#This Row],[Age]]&lt;=55,"46-55","56+"))))</f>
        <v>26-35</v>
      </c>
      <c r="AK417" s="11" t="str">
        <f>IF(HR_Data[[#This Row],[MonthlyIncome]]&lt;3000,"Low",IF(HR_Data[[#This Row],[MonthlyIncome]]&lt;6000,"Medium",IF(HR_Data[[#This Row],[MonthlyIncome]]&lt;10000,"High","Very High")))</f>
        <v>Low</v>
      </c>
      <c r="AL41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17" t="str">
        <f>IF(HR_Data[[#This Row],[TotalWorkingYears]]&lt;=5,"Junior",IF(HR_Data[[#This Row],[TotalWorkingYears]]&lt;=15,"Mid-Level","Senior"))</f>
        <v>Junior</v>
      </c>
      <c r="AN417" s="11" t="str">
        <f>IF(HR_Data[[#This Row],[PerformanceRating]]=3,"Standard","Excellent")</f>
        <v>Standard</v>
      </c>
      <c r="AO417" s="11" t="str">
        <f>IF(HR_Data[[#This Row],[JobSatisfaction]]&lt;=2,"Low","High")</f>
        <v>High</v>
      </c>
      <c r="AP417" s="11" t="str">
        <f>IF(AND(HR_Data[[#This Row],[OverTime]]="Yes",HR_Data[[#This Row],[JobSatisfaction]]&lt;=2,HR_Data[[#This Row],[YearsAtCompany]]&lt;=2),"High Risk","Normal")</f>
        <v>Normal</v>
      </c>
    </row>
    <row r="418" spans="1:42" x14ac:dyDescent="0.25">
      <c r="A418" s="6">
        <v>38</v>
      </c>
      <c r="B418" s="4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s="11" t="str">
        <f>IF(HR_Data[[#This Row],[Age]]&lt;=25,"18-25",IF(HR_Data[[#This Row],[Age]]&lt;=35,"26-35",IF(HR_Data[[#This Row],[Age]]&lt;=45,"36-45",IF(HR_Data[[#This Row],[Age]]&lt;=55,"46-55","56+"))))</f>
        <v>36-45</v>
      </c>
      <c r="AK418" s="11" t="str">
        <f>IF(HR_Data[[#This Row],[MonthlyIncome]]&lt;3000,"Low",IF(HR_Data[[#This Row],[MonthlyIncome]]&lt;6000,"Medium",IF(HR_Data[[#This Row],[MonthlyIncome]]&lt;10000,"High","Very High")))</f>
        <v>Low</v>
      </c>
      <c r="AL41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18" t="str">
        <f>IF(HR_Data[[#This Row],[TotalWorkingYears]]&lt;=5,"Junior",IF(HR_Data[[#This Row],[TotalWorkingYears]]&lt;=15,"Mid-Level","Senior"))</f>
        <v>Junior</v>
      </c>
      <c r="AN418" s="11" t="str">
        <f>IF(HR_Data[[#This Row],[PerformanceRating]]=3,"Standard","Excellent")</f>
        <v>Excellent</v>
      </c>
      <c r="AO418" s="11" t="str">
        <f>IF(HR_Data[[#This Row],[JobSatisfaction]]&lt;=2,"Low","High")</f>
        <v>High</v>
      </c>
      <c r="AP418" s="11" t="str">
        <f>IF(AND(HR_Data[[#This Row],[OverTime]]="Yes",HR_Data[[#This Row],[JobSatisfaction]]&lt;=2,HR_Data[[#This Row],[YearsAtCompany]]&lt;=2),"High Risk","Normal")</f>
        <v>Normal</v>
      </c>
    </row>
    <row r="419" spans="1:42" x14ac:dyDescent="0.25">
      <c r="A419" s="6">
        <v>40</v>
      </c>
      <c r="B419" s="4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s="11" t="str">
        <f>IF(HR_Data[[#This Row],[Age]]&lt;=25,"18-25",IF(HR_Data[[#This Row],[Age]]&lt;=35,"26-35",IF(HR_Data[[#This Row],[Age]]&lt;=45,"36-45",IF(HR_Data[[#This Row],[Age]]&lt;=55,"46-55","56+"))))</f>
        <v>36-45</v>
      </c>
      <c r="AK419" s="11" t="str">
        <f>IF(HR_Data[[#This Row],[MonthlyIncome]]&lt;3000,"Low",IF(HR_Data[[#This Row],[MonthlyIncome]]&lt;6000,"Medium",IF(HR_Data[[#This Row],[MonthlyIncome]]&lt;10000,"High","Very High")))</f>
        <v>Very High</v>
      </c>
      <c r="AL41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419" t="str">
        <f>IF(HR_Data[[#This Row],[TotalWorkingYears]]&lt;=5,"Junior",IF(HR_Data[[#This Row],[TotalWorkingYears]]&lt;=15,"Mid-Level","Senior"))</f>
        <v>Senior</v>
      </c>
      <c r="AN419" s="11" t="str">
        <f>IF(HR_Data[[#This Row],[PerformanceRating]]=3,"Standard","Excellent")</f>
        <v>Standard</v>
      </c>
      <c r="AO419" s="11" t="str">
        <f>IF(HR_Data[[#This Row],[JobSatisfaction]]&lt;=2,"Low","High")</f>
        <v>High</v>
      </c>
      <c r="AP419" s="11" t="str">
        <f>IF(AND(HR_Data[[#This Row],[OverTime]]="Yes",HR_Data[[#This Row],[JobSatisfaction]]&lt;=2,HR_Data[[#This Row],[YearsAtCompany]]&lt;=2),"High Risk","Normal")</f>
        <v>Normal</v>
      </c>
    </row>
    <row r="420" spans="1:42" x14ac:dyDescent="0.25">
      <c r="A420" s="6">
        <v>26</v>
      </c>
      <c r="B420" s="4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s="11" t="str">
        <f>IF(HR_Data[[#This Row],[Age]]&lt;=25,"18-25",IF(HR_Data[[#This Row],[Age]]&lt;=35,"26-35",IF(HR_Data[[#This Row],[Age]]&lt;=45,"36-45",IF(HR_Data[[#This Row],[Age]]&lt;=55,"46-55","56+"))))</f>
        <v>26-35</v>
      </c>
      <c r="AK420" s="11" t="str">
        <f>IF(HR_Data[[#This Row],[MonthlyIncome]]&lt;3000,"Low",IF(HR_Data[[#This Row],[MonthlyIncome]]&lt;6000,"Medium",IF(HR_Data[[#This Row],[MonthlyIncome]]&lt;10000,"High","Very High")))</f>
        <v>Low</v>
      </c>
      <c r="AL42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20" t="str">
        <f>IF(HR_Data[[#This Row],[TotalWorkingYears]]&lt;=5,"Junior",IF(HR_Data[[#This Row],[TotalWorkingYears]]&lt;=15,"Mid-Level","Senior"))</f>
        <v>Junior</v>
      </c>
      <c r="AN420" s="11" t="str">
        <f>IF(HR_Data[[#This Row],[PerformanceRating]]=3,"Standard","Excellent")</f>
        <v>Excellent</v>
      </c>
      <c r="AO420" s="11" t="str">
        <f>IF(HR_Data[[#This Row],[JobSatisfaction]]&lt;=2,"Low","High")</f>
        <v>High</v>
      </c>
      <c r="AP420" s="11" t="str">
        <f>IF(AND(HR_Data[[#This Row],[OverTime]]="Yes",HR_Data[[#This Row],[JobSatisfaction]]&lt;=2,HR_Data[[#This Row],[YearsAtCompany]]&lt;=2),"High Risk","Normal")</f>
        <v>Normal</v>
      </c>
    </row>
    <row r="421" spans="1:42" x14ac:dyDescent="0.25">
      <c r="A421" s="6">
        <v>30</v>
      </c>
      <c r="B421" s="4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s="11" t="str">
        <f>IF(HR_Data[[#This Row],[Age]]&lt;=25,"18-25",IF(HR_Data[[#This Row],[Age]]&lt;=35,"26-35",IF(HR_Data[[#This Row],[Age]]&lt;=45,"36-45",IF(HR_Data[[#This Row],[Age]]&lt;=55,"46-55","56+"))))</f>
        <v>26-35</v>
      </c>
      <c r="AK421" s="11" t="str">
        <f>IF(HR_Data[[#This Row],[MonthlyIncome]]&lt;3000,"Low",IF(HR_Data[[#This Row],[MonthlyIncome]]&lt;6000,"Medium",IF(HR_Data[[#This Row],[MonthlyIncome]]&lt;10000,"High","Very High")))</f>
        <v>Low</v>
      </c>
      <c r="AL42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21" t="str">
        <f>IF(HR_Data[[#This Row],[TotalWorkingYears]]&lt;=5,"Junior",IF(HR_Data[[#This Row],[TotalWorkingYears]]&lt;=15,"Mid-Level","Senior"))</f>
        <v>Mid-Level</v>
      </c>
      <c r="AN421" s="11" t="str">
        <f>IF(HR_Data[[#This Row],[PerformanceRating]]=3,"Standard","Excellent")</f>
        <v>Standard</v>
      </c>
      <c r="AO421" s="11" t="str">
        <f>IF(HR_Data[[#This Row],[JobSatisfaction]]&lt;=2,"Low","High")</f>
        <v>High</v>
      </c>
      <c r="AP421" s="11" t="str">
        <f>IF(AND(HR_Data[[#This Row],[OverTime]]="Yes",HR_Data[[#This Row],[JobSatisfaction]]&lt;=2,HR_Data[[#This Row],[YearsAtCompany]]&lt;=2),"High Risk","Normal")</f>
        <v>Normal</v>
      </c>
    </row>
    <row r="422" spans="1:42" x14ac:dyDescent="0.25">
      <c r="A422" s="6">
        <v>29</v>
      </c>
      <c r="B422" s="4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s="11" t="str">
        <f>IF(HR_Data[[#This Row],[Age]]&lt;=25,"18-25",IF(HR_Data[[#This Row],[Age]]&lt;=35,"26-35",IF(HR_Data[[#This Row],[Age]]&lt;=45,"36-45",IF(HR_Data[[#This Row],[Age]]&lt;=55,"46-55","56+"))))</f>
        <v>26-35</v>
      </c>
      <c r="AK422" s="11" t="str">
        <f>IF(HR_Data[[#This Row],[MonthlyIncome]]&lt;3000,"Low",IF(HR_Data[[#This Row],[MonthlyIncome]]&lt;6000,"Medium",IF(HR_Data[[#This Row],[MonthlyIncome]]&lt;10000,"High","Very High")))</f>
        <v>Very High</v>
      </c>
      <c r="AL42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22" t="str">
        <f>IF(HR_Data[[#This Row],[TotalWorkingYears]]&lt;=5,"Junior",IF(HR_Data[[#This Row],[TotalWorkingYears]]&lt;=15,"Mid-Level","Senior"))</f>
        <v>Mid-Level</v>
      </c>
      <c r="AN422" s="11" t="str">
        <f>IF(HR_Data[[#This Row],[PerformanceRating]]=3,"Standard","Excellent")</f>
        <v>Standard</v>
      </c>
      <c r="AO422" s="11" t="str">
        <f>IF(HR_Data[[#This Row],[JobSatisfaction]]&lt;=2,"Low","High")</f>
        <v>High</v>
      </c>
      <c r="AP422" s="11" t="str">
        <f>IF(AND(HR_Data[[#This Row],[OverTime]]="Yes",HR_Data[[#This Row],[JobSatisfaction]]&lt;=2,HR_Data[[#This Row],[YearsAtCompany]]&lt;=2),"High Risk","Normal")</f>
        <v>Normal</v>
      </c>
    </row>
    <row r="423" spans="1:42" x14ac:dyDescent="0.25">
      <c r="A423" s="6">
        <v>29</v>
      </c>
      <c r="B423" s="4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s="11" t="str">
        <f>IF(HR_Data[[#This Row],[Age]]&lt;=25,"18-25",IF(HR_Data[[#This Row],[Age]]&lt;=35,"26-35",IF(HR_Data[[#This Row],[Age]]&lt;=45,"36-45",IF(HR_Data[[#This Row],[Age]]&lt;=55,"46-55","56+"))))</f>
        <v>26-35</v>
      </c>
      <c r="AK423" s="11" t="str">
        <f>IF(HR_Data[[#This Row],[MonthlyIncome]]&lt;3000,"Low",IF(HR_Data[[#This Row],[MonthlyIncome]]&lt;6000,"Medium",IF(HR_Data[[#This Row],[MonthlyIncome]]&lt;10000,"High","Very High")))</f>
        <v>Low</v>
      </c>
      <c r="AL42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23" t="str">
        <f>IF(HR_Data[[#This Row],[TotalWorkingYears]]&lt;=5,"Junior",IF(HR_Data[[#This Row],[TotalWorkingYears]]&lt;=15,"Mid-Level","Senior"))</f>
        <v>Mid-Level</v>
      </c>
      <c r="AN423" s="11" t="str">
        <f>IF(HR_Data[[#This Row],[PerformanceRating]]=3,"Standard","Excellent")</f>
        <v>Standard</v>
      </c>
      <c r="AO423" s="11" t="str">
        <f>IF(HR_Data[[#This Row],[JobSatisfaction]]&lt;=2,"Low","High")</f>
        <v>Low</v>
      </c>
      <c r="AP423" s="11" t="str">
        <f>IF(AND(HR_Data[[#This Row],[OverTime]]="Yes",HR_Data[[#This Row],[JobSatisfaction]]&lt;=2,HR_Data[[#This Row],[YearsAtCompany]]&lt;=2),"High Risk","Normal")</f>
        <v>Normal</v>
      </c>
    </row>
    <row r="424" spans="1:42" x14ac:dyDescent="0.25">
      <c r="A424" s="6">
        <v>19</v>
      </c>
      <c r="B424" s="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s="11" t="str">
        <f>IF(HR_Data[[#This Row],[Age]]&lt;=25,"18-25",IF(HR_Data[[#This Row],[Age]]&lt;=35,"26-35",IF(HR_Data[[#This Row],[Age]]&lt;=45,"36-45",IF(HR_Data[[#This Row],[Age]]&lt;=55,"46-55","56+"))))</f>
        <v>18-25</v>
      </c>
      <c r="AK424" s="11" t="str">
        <f>IF(HR_Data[[#This Row],[MonthlyIncome]]&lt;3000,"Low",IF(HR_Data[[#This Row],[MonthlyIncome]]&lt;6000,"Medium",IF(HR_Data[[#This Row],[MonthlyIncome]]&lt;10000,"High","Very High")))</f>
        <v>Low</v>
      </c>
      <c r="AL42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24" t="str">
        <f>IF(HR_Data[[#This Row],[TotalWorkingYears]]&lt;=5,"Junior",IF(HR_Data[[#This Row],[TotalWorkingYears]]&lt;=15,"Mid-Level","Senior"))</f>
        <v>Junior</v>
      </c>
      <c r="AN424" s="11" t="str">
        <f>IF(HR_Data[[#This Row],[PerformanceRating]]=3,"Standard","Excellent")</f>
        <v>Standard</v>
      </c>
      <c r="AO424" s="11" t="str">
        <f>IF(HR_Data[[#This Row],[JobSatisfaction]]&lt;=2,"Low","High")</f>
        <v>High</v>
      </c>
      <c r="AP424" s="11" t="str">
        <f>IF(AND(HR_Data[[#This Row],[OverTime]]="Yes",HR_Data[[#This Row],[JobSatisfaction]]&lt;=2,HR_Data[[#This Row],[YearsAtCompany]]&lt;=2),"High Risk","Normal")</f>
        <v>Normal</v>
      </c>
    </row>
    <row r="425" spans="1:42" x14ac:dyDescent="0.25">
      <c r="A425" s="6">
        <v>30</v>
      </c>
      <c r="B425" s="4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s="11" t="str">
        <f>IF(HR_Data[[#This Row],[Age]]&lt;=25,"18-25",IF(HR_Data[[#This Row],[Age]]&lt;=35,"26-35",IF(HR_Data[[#This Row],[Age]]&lt;=45,"36-45",IF(HR_Data[[#This Row],[Age]]&lt;=55,"46-55","56+"))))</f>
        <v>26-35</v>
      </c>
      <c r="AK425" s="11" t="str">
        <f>IF(HR_Data[[#This Row],[MonthlyIncome]]&lt;3000,"Low",IF(HR_Data[[#This Row],[MonthlyIncome]]&lt;6000,"Medium",IF(HR_Data[[#This Row],[MonthlyIncome]]&lt;10000,"High","Very High")))</f>
        <v>High</v>
      </c>
      <c r="AL42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25" t="str">
        <f>IF(HR_Data[[#This Row],[TotalWorkingYears]]&lt;=5,"Junior",IF(HR_Data[[#This Row],[TotalWorkingYears]]&lt;=15,"Mid-Level","Senior"))</f>
        <v>Mid-Level</v>
      </c>
      <c r="AN425" s="11" t="str">
        <f>IF(HR_Data[[#This Row],[PerformanceRating]]=3,"Standard","Excellent")</f>
        <v>Standard</v>
      </c>
      <c r="AO425" s="11" t="str">
        <f>IF(HR_Data[[#This Row],[JobSatisfaction]]&lt;=2,"Low","High")</f>
        <v>Low</v>
      </c>
      <c r="AP425" s="11" t="str">
        <f>IF(AND(HR_Data[[#This Row],[OverTime]]="Yes",HR_Data[[#This Row],[JobSatisfaction]]&lt;=2,HR_Data[[#This Row],[YearsAtCompany]]&lt;=2),"High Risk","Normal")</f>
        <v>Normal</v>
      </c>
    </row>
    <row r="426" spans="1:42" x14ac:dyDescent="0.25">
      <c r="A426" s="6">
        <v>57</v>
      </c>
      <c r="B426" s="4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s="11" t="str">
        <f>IF(HR_Data[[#This Row],[Age]]&lt;=25,"18-25",IF(HR_Data[[#This Row],[Age]]&lt;=35,"26-35",IF(HR_Data[[#This Row],[Age]]&lt;=45,"36-45",IF(HR_Data[[#This Row],[Age]]&lt;=55,"46-55","56+"))))</f>
        <v>56+</v>
      </c>
      <c r="AK426" s="11" t="str">
        <f>IF(HR_Data[[#This Row],[MonthlyIncome]]&lt;3000,"Low",IF(HR_Data[[#This Row],[MonthlyIncome]]&lt;6000,"Medium",IF(HR_Data[[#This Row],[MonthlyIncome]]&lt;10000,"High","Very High")))</f>
        <v>Very High</v>
      </c>
      <c r="AL42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26" t="str">
        <f>IF(HR_Data[[#This Row],[TotalWorkingYears]]&lt;=5,"Junior",IF(HR_Data[[#This Row],[TotalWorkingYears]]&lt;=15,"Mid-Level","Senior"))</f>
        <v>Senior</v>
      </c>
      <c r="AN426" s="11" t="str">
        <f>IF(HR_Data[[#This Row],[PerformanceRating]]=3,"Standard","Excellent")</f>
        <v>Standard</v>
      </c>
      <c r="AO426" s="11" t="str">
        <f>IF(HR_Data[[#This Row],[JobSatisfaction]]&lt;=2,"Low","High")</f>
        <v>High</v>
      </c>
      <c r="AP426" s="11" t="str">
        <f>IF(AND(HR_Data[[#This Row],[OverTime]]="Yes",HR_Data[[#This Row],[JobSatisfaction]]&lt;=2,HR_Data[[#This Row],[YearsAtCompany]]&lt;=2),"High Risk","Normal")</f>
        <v>Normal</v>
      </c>
    </row>
    <row r="427" spans="1:42" x14ac:dyDescent="0.25">
      <c r="A427" s="6">
        <v>50</v>
      </c>
      <c r="B427" s="4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s="11" t="str">
        <f>IF(HR_Data[[#This Row],[Age]]&lt;=25,"18-25",IF(HR_Data[[#This Row],[Age]]&lt;=35,"26-35",IF(HR_Data[[#This Row],[Age]]&lt;=45,"36-45",IF(HR_Data[[#This Row],[Age]]&lt;=55,"46-55","56+"))))</f>
        <v>46-55</v>
      </c>
      <c r="AK427" s="11" t="str">
        <f>IF(HR_Data[[#This Row],[MonthlyIncome]]&lt;3000,"Low",IF(HR_Data[[#This Row],[MonthlyIncome]]&lt;6000,"Medium",IF(HR_Data[[#This Row],[MonthlyIncome]]&lt;10000,"High","Very High")))</f>
        <v>Very High</v>
      </c>
      <c r="AL42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427" t="str">
        <f>IF(HR_Data[[#This Row],[TotalWorkingYears]]&lt;=5,"Junior",IF(HR_Data[[#This Row],[TotalWorkingYears]]&lt;=15,"Mid-Level","Senior"))</f>
        <v>Senior</v>
      </c>
      <c r="AN427" s="11" t="str">
        <f>IF(HR_Data[[#This Row],[PerformanceRating]]=3,"Standard","Excellent")</f>
        <v>Standard</v>
      </c>
      <c r="AO427" s="11" t="str">
        <f>IF(HR_Data[[#This Row],[JobSatisfaction]]&lt;=2,"Low","High")</f>
        <v>High</v>
      </c>
      <c r="AP427" s="11" t="str">
        <f>IF(AND(HR_Data[[#This Row],[OverTime]]="Yes",HR_Data[[#This Row],[JobSatisfaction]]&lt;=2,HR_Data[[#This Row],[YearsAtCompany]]&lt;=2),"High Risk","Normal")</f>
        <v>Normal</v>
      </c>
    </row>
    <row r="428" spans="1:42" x14ac:dyDescent="0.25">
      <c r="A428" s="6">
        <v>30</v>
      </c>
      <c r="B428" s="4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s="11" t="str">
        <f>IF(HR_Data[[#This Row],[Age]]&lt;=25,"18-25",IF(HR_Data[[#This Row],[Age]]&lt;=35,"26-35",IF(HR_Data[[#This Row],[Age]]&lt;=45,"36-45",IF(HR_Data[[#This Row],[Age]]&lt;=55,"46-55","56+"))))</f>
        <v>26-35</v>
      </c>
      <c r="AK428" s="11" t="str">
        <f>IF(HR_Data[[#This Row],[MonthlyIncome]]&lt;3000,"Low",IF(HR_Data[[#This Row],[MonthlyIncome]]&lt;6000,"Medium",IF(HR_Data[[#This Row],[MonthlyIncome]]&lt;10000,"High","Very High")))</f>
        <v>Low</v>
      </c>
      <c r="AL42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428" t="str">
        <f>IF(HR_Data[[#This Row],[TotalWorkingYears]]&lt;=5,"Junior",IF(HR_Data[[#This Row],[TotalWorkingYears]]&lt;=15,"Mid-Level","Senior"))</f>
        <v>Mid-Level</v>
      </c>
      <c r="AN428" s="11" t="str">
        <f>IF(HR_Data[[#This Row],[PerformanceRating]]=3,"Standard","Excellent")</f>
        <v>Standard</v>
      </c>
      <c r="AO428" s="11" t="str">
        <f>IF(HR_Data[[#This Row],[JobSatisfaction]]&lt;=2,"Low","High")</f>
        <v>High</v>
      </c>
      <c r="AP428" s="11" t="str">
        <f>IF(AND(HR_Data[[#This Row],[OverTime]]="Yes",HR_Data[[#This Row],[JobSatisfaction]]&lt;=2,HR_Data[[#This Row],[YearsAtCompany]]&lt;=2),"High Risk","Normal")</f>
        <v>Normal</v>
      </c>
    </row>
    <row r="429" spans="1:42" x14ac:dyDescent="0.25">
      <c r="A429" s="6">
        <v>60</v>
      </c>
      <c r="B429" s="4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s="11" t="str">
        <f>IF(HR_Data[[#This Row],[Age]]&lt;=25,"18-25",IF(HR_Data[[#This Row],[Age]]&lt;=35,"26-35",IF(HR_Data[[#This Row],[Age]]&lt;=45,"36-45",IF(HR_Data[[#This Row],[Age]]&lt;=55,"46-55","56+"))))</f>
        <v>56+</v>
      </c>
      <c r="AK429" s="11" t="str">
        <f>IF(HR_Data[[#This Row],[MonthlyIncome]]&lt;3000,"Low",IF(HR_Data[[#This Row],[MonthlyIncome]]&lt;6000,"Medium",IF(HR_Data[[#This Row],[MonthlyIncome]]&lt;10000,"High","Very High")))</f>
        <v>Very High</v>
      </c>
      <c r="AL42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429" t="str">
        <f>IF(HR_Data[[#This Row],[TotalWorkingYears]]&lt;=5,"Junior",IF(HR_Data[[#This Row],[TotalWorkingYears]]&lt;=15,"Mid-Level","Senior"))</f>
        <v>Senior</v>
      </c>
      <c r="AN429" s="11" t="str">
        <f>IF(HR_Data[[#This Row],[PerformanceRating]]=3,"Standard","Excellent")</f>
        <v>Standard</v>
      </c>
      <c r="AO429" s="11" t="str">
        <f>IF(HR_Data[[#This Row],[JobSatisfaction]]&lt;=2,"Low","High")</f>
        <v>Low</v>
      </c>
      <c r="AP429" s="11" t="str">
        <f>IF(AND(HR_Data[[#This Row],[OverTime]]="Yes",HR_Data[[#This Row],[JobSatisfaction]]&lt;=2,HR_Data[[#This Row],[YearsAtCompany]]&lt;=2),"High Risk","Normal")</f>
        <v>Normal</v>
      </c>
    </row>
    <row r="430" spans="1:42" x14ac:dyDescent="0.25">
      <c r="A430" s="6">
        <v>47</v>
      </c>
      <c r="B430" s="4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s="11" t="str">
        <f>IF(HR_Data[[#This Row],[Age]]&lt;=25,"18-25",IF(HR_Data[[#This Row],[Age]]&lt;=35,"26-35",IF(HR_Data[[#This Row],[Age]]&lt;=45,"36-45",IF(HR_Data[[#This Row],[Age]]&lt;=55,"46-55","56+"))))</f>
        <v>46-55</v>
      </c>
      <c r="AK430" s="11" t="str">
        <f>IF(HR_Data[[#This Row],[MonthlyIncome]]&lt;3000,"Low",IF(HR_Data[[#This Row],[MonthlyIncome]]&lt;6000,"Medium",IF(HR_Data[[#This Row],[MonthlyIncome]]&lt;10000,"High","Very High")))</f>
        <v>Medium</v>
      </c>
      <c r="AL43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30" t="str">
        <f>IF(HR_Data[[#This Row],[TotalWorkingYears]]&lt;=5,"Junior",IF(HR_Data[[#This Row],[TotalWorkingYears]]&lt;=15,"Mid-Level","Senior"))</f>
        <v>Senior</v>
      </c>
      <c r="AN430" s="11" t="str">
        <f>IF(HR_Data[[#This Row],[PerformanceRating]]=3,"Standard","Excellent")</f>
        <v>Standard</v>
      </c>
      <c r="AO430" s="11" t="str">
        <f>IF(HR_Data[[#This Row],[JobSatisfaction]]&lt;=2,"Low","High")</f>
        <v>High</v>
      </c>
      <c r="AP430" s="11" t="str">
        <f>IF(AND(HR_Data[[#This Row],[OverTime]]="Yes",HR_Data[[#This Row],[JobSatisfaction]]&lt;=2,HR_Data[[#This Row],[YearsAtCompany]]&lt;=2),"High Risk","Normal")</f>
        <v>Normal</v>
      </c>
    </row>
    <row r="431" spans="1:42" x14ac:dyDescent="0.25">
      <c r="A431" s="6">
        <v>46</v>
      </c>
      <c r="B431" s="4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s="11" t="str">
        <f>IF(HR_Data[[#This Row],[Age]]&lt;=25,"18-25",IF(HR_Data[[#This Row],[Age]]&lt;=35,"26-35",IF(HR_Data[[#This Row],[Age]]&lt;=45,"36-45",IF(HR_Data[[#This Row],[Age]]&lt;=55,"46-55","56+"))))</f>
        <v>46-55</v>
      </c>
      <c r="AK431" s="11" t="str">
        <f>IF(HR_Data[[#This Row],[MonthlyIncome]]&lt;3000,"Low",IF(HR_Data[[#This Row],[MonthlyIncome]]&lt;6000,"Medium",IF(HR_Data[[#This Row],[MonthlyIncome]]&lt;10000,"High","Very High")))</f>
        <v>Very High</v>
      </c>
      <c r="AL43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31" t="str">
        <f>IF(HR_Data[[#This Row],[TotalWorkingYears]]&lt;=5,"Junior",IF(HR_Data[[#This Row],[TotalWorkingYears]]&lt;=15,"Mid-Level","Senior"))</f>
        <v>Senior</v>
      </c>
      <c r="AN431" s="11" t="str">
        <f>IF(HR_Data[[#This Row],[PerformanceRating]]=3,"Standard","Excellent")</f>
        <v>Standard</v>
      </c>
      <c r="AO431" s="11" t="str">
        <f>IF(HR_Data[[#This Row],[JobSatisfaction]]&lt;=2,"Low","High")</f>
        <v>High</v>
      </c>
      <c r="AP431" s="11" t="str">
        <f>IF(AND(HR_Data[[#This Row],[OverTime]]="Yes",HR_Data[[#This Row],[JobSatisfaction]]&lt;=2,HR_Data[[#This Row],[YearsAtCompany]]&lt;=2),"High Risk","Normal")</f>
        <v>Normal</v>
      </c>
    </row>
    <row r="432" spans="1:42" x14ac:dyDescent="0.25">
      <c r="A432" s="6">
        <v>35</v>
      </c>
      <c r="B432" s="4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s="11" t="str">
        <f>IF(HR_Data[[#This Row],[Age]]&lt;=25,"18-25",IF(HR_Data[[#This Row],[Age]]&lt;=35,"26-35",IF(HR_Data[[#This Row],[Age]]&lt;=45,"36-45",IF(HR_Data[[#This Row],[Age]]&lt;=55,"46-55","56+"))))</f>
        <v>26-35</v>
      </c>
      <c r="AK432" s="11" t="str">
        <f>IF(HR_Data[[#This Row],[MonthlyIncome]]&lt;3000,"Low",IF(HR_Data[[#This Row],[MonthlyIncome]]&lt;6000,"Medium",IF(HR_Data[[#This Row],[MonthlyIncome]]&lt;10000,"High","Very High")))</f>
        <v>Medium</v>
      </c>
      <c r="AL43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32" t="str">
        <f>IF(HR_Data[[#This Row],[TotalWorkingYears]]&lt;=5,"Junior",IF(HR_Data[[#This Row],[TotalWorkingYears]]&lt;=15,"Mid-Level","Senior"))</f>
        <v>Mid-Level</v>
      </c>
      <c r="AN432" s="11" t="str">
        <f>IF(HR_Data[[#This Row],[PerformanceRating]]=3,"Standard","Excellent")</f>
        <v>Standard</v>
      </c>
      <c r="AO432" s="11" t="str">
        <f>IF(HR_Data[[#This Row],[JobSatisfaction]]&lt;=2,"Low","High")</f>
        <v>High</v>
      </c>
      <c r="AP432" s="11" t="str">
        <f>IF(AND(HR_Data[[#This Row],[OverTime]]="Yes",HR_Data[[#This Row],[JobSatisfaction]]&lt;=2,HR_Data[[#This Row],[YearsAtCompany]]&lt;=2),"High Risk","Normal")</f>
        <v>Normal</v>
      </c>
    </row>
    <row r="433" spans="1:42" x14ac:dyDescent="0.25">
      <c r="A433" s="6">
        <v>54</v>
      </c>
      <c r="B433" s="4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s="11" t="str">
        <f>IF(HR_Data[[#This Row],[Age]]&lt;=25,"18-25",IF(HR_Data[[#This Row],[Age]]&lt;=35,"26-35",IF(HR_Data[[#This Row],[Age]]&lt;=45,"36-45",IF(HR_Data[[#This Row],[Age]]&lt;=55,"46-55","56+"))))</f>
        <v>46-55</v>
      </c>
      <c r="AK433" s="11" t="str">
        <f>IF(HR_Data[[#This Row],[MonthlyIncome]]&lt;3000,"Low",IF(HR_Data[[#This Row],[MonthlyIncome]]&lt;6000,"Medium",IF(HR_Data[[#This Row],[MonthlyIncome]]&lt;10000,"High","Very High")))</f>
        <v>Medium</v>
      </c>
      <c r="AL43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33" t="str">
        <f>IF(HR_Data[[#This Row],[TotalWorkingYears]]&lt;=5,"Junior",IF(HR_Data[[#This Row],[TotalWorkingYears]]&lt;=15,"Mid-Level","Senior"))</f>
        <v>Senior</v>
      </c>
      <c r="AN433" s="11" t="str">
        <f>IF(HR_Data[[#This Row],[PerformanceRating]]=3,"Standard","Excellent")</f>
        <v>Standard</v>
      </c>
      <c r="AO433" s="11" t="str">
        <f>IF(HR_Data[[#This Row],[JobSatisfaction]]&lt;=2,"Low","High")</f>
        <v>High</v>
      </c>
      <c r="AP433" s="11" t="str">
        <f>IF(AND(HR_Data[[#This Row],[OverTime]]="Yes",HR_Data[[#This Row],[JobSatisfaction]]&lt;=2,HR_Data[[#This Row],[YearsAtCompany]]&lt;=2),"High Risk","Normal")</f>
        <v>Normal</v>
      </c>
    </row>
    <row r="434" spans="1:42" x14ac:dyDescent="0.25">
      <c r="A434" s="6">
        <v>34</v>
      </c>
      <c r="B434" s="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s="11" t="str">
        <f>IF(HR_Data[[#This Row],[Age]]&lt;=25,"18-25",IF(HR_Data[[#This Row],[Age]]&lt;=35,"26-35",IF(HR_Data[[#This Row],[Age]]&lt;=45,"36-45",IF(HR_Data[[#This Row],[Age]]&lt;=55,"46-55","56+"))))</f>
        <v>26-35</v>
      </c>
      <c r="AK434" s="11" t="str">
        <f>IF(HR_Data[[#This Row],[MonthlyIncome]]&lt;3000,"Low",IF(HR_Data[[#This Row],[MonthlyIncome]]&lt;6000,"Medium",IF(HR_Data[[#This Row],[MonthlyIncome]]&lt;10000,"High","Very High")))</f>
        <v>Low</v>
      </c>
      <c r="AL43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34" t="str">
        <f>IF(HR_Data[[#This Row],[TotalWorkingYears]]&lt;=5,"Junior",IF(HR_Data[[#This Row],[TotalWorkingYears]]&lt;=15,"Mid-Level","Senior"))</f>
        <v>Mid-Level</v>
      </c>
      <c r="AN434" s="11" t="str">
        <f>IF(HR_Data[[#This Row],[PerformanceRating]]=3,"Standard","Excellent")</f>
        <v>Standard</v>
      </c>
      <c r="AO434" s="11" t="str">
        <f>IF(HR_Data[[#This Row],[JobSatisfaction]]&lt;=2,"Low","High")</f>
        <v>High</v>
      </c>
      <c r="AP434" s="11" t="str">
        <f>IF(AND(HR_Data[[#This Row],[OverTime]]="Yes",HR_Data[[#This Row],[JobSatisfaction]]&lt;=2,HR_Data[[#This Row],[YearsAtCompany]]&lt;=2),"High Risk","Normal")</f>
        <v>Normal</v>
      </c>
    </row>
    <row r="435" spans="1:42" x14ac:dyDescent="0.25">
      <c r="A435" s="6">
        <v>46</v>
      </c>
      <c r="B435" s="4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s="11" t="str">
        <f>IF(HR_Data[[#This Row],[Age]]&lt;=25,"18-25",IF(HR_Data[[#This Row],[Age]]&lt;=35,"26-35",IF(HR_Data[[#This Row],[Age]]&lt;=45,"36-45",IF(HR_Data[[#This Row],[Age]]&lt;=55,"46-55","56+"))))</f>
        <v>46-55</v>
      </c>
      <c r="AK435" s="11" t="str">
        <f>IF(HR_Data[[#This Row],[MonthlyIncome]]&lt;3000,"Low",IF(HR_Data[[#This Row],[MonthlyIncome]]&lt;6000,"Medium",IF(HR_Data[[#This Row],[MonthlyIncome]]&lt;10000,"High","Very High")))</f>
        <v>High</v>
      </c>
      <c r="AL43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35" t="str">
        <f>IF(HR_Data[[#This Row],[TotalWorkingYears]]&lt;=5,"Junior",IF(HR_Data[[#This Row],[TotalWorkingYears]]&lt;=15,"Mid-Level","Senior"))</f>
        <v>Mid-Level</v>
      </c>
      <c r="AN435" s="11" t="str">
        <f>IF(HR_Data[[#This Row],[PerformanceRating]]=3,"Standard","Excellent")</f>
        <v>Standard</v>
      </c>
      <c r="AO435" s="11" t="str">
        <f>IF(HR_Data[[#This Row],[JobSatisfaction]]&lt;=2,"Low","High")</f>
        <v>High</v>
      </c>
      <c r="AP435" s="11" t="str">
        <f>IF(AND(HR_Data[[#This Row],[OverTime]]="Yes",HR_Data[[#This Row],[JobSatisfaction]]&lt;=2,HR_Data[[#This Row],[YearsAtCompany]]&lt;=2),"High Risk","Normal")</f>
        <v>Normal</v>
      </c>
    </row>
    <row r="436" spans="1:42" x14ac:dyDescent="0.25">
      <c r="A436" s="6">
        <v>31</v>
      </c>
      <c r="B436" s="4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s="11" t="str">
        <f>IF(HR_Data[[#This Row],[Age]]&lt;=25,"18-25",IF(HR_Data[[#This Row],[Age]]&lt;=35,"26-35",IF(HR_Data[[#This Row],[Age]]&lt;=45,"36-45",IF(HR_Data[[#This Row],[Age]]&lt;=55,"46-55","56+"))))</f>
        <v>26-35</v>
      </c>
      <c r="AK436" s="11" t="str">
        <f>IF(HR_Data[[#This Row],[MonthlyIncome]]&lt;3000,"Low",IF(HR_Data[[#This Row],[MonthlyIncome]]&lt;6000,"Medium",IF(HR_Data[[#This Row],[MonthlyIncome]]&lt;10000,"High","Very High")))</f>
        <v>Very High</v>
      </c>
      <c r="AL436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436" t="str">
        <f>IF(HR_Data[[#This Row],[TotalWorkingYears]]&lt;=5,"Junior",IF(HR_Data[[#This Row],[TotalWorkingYears]]&lt;=15,"Mid-Level","Senior"))</f>
        <v>Mid-Level</v>
      </c>
      <c r="AN436" s="11" t="str">
        <f>IF(HR_Data[[#This Row],[PerformanceRating]]=3,"Standard","Excellent")</f>
        <v>Excellent</v>
      </c>
      <c r="AO436" s="11" t="str">
        <f>IF(HR_Data[[#This Row],[JobSatisfaction]]&lt;=2,"Low","High")</f>
        <v>Low</v>
      </c>
      <c r="AP436" s="11" t="str">
        <f>IF(AND(HR_Data[[#This Row],[OverTime]]="Yes",HR_Data[[#This Row],[JobSatisfaction]]&lt;=2,HR_Data[[#This Row],[YearsAtCompany]]&lt;=2),"High Risk","Normal")</f>
        <v>Normal</v>
      </c>
    </row>
    <row r="437" spans="1:42" x14ac:dyDescent="0.25">
      <c r="A437" s="6">
        <v>33</v>
      </c>
      <c r="B437" s="4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s="11" t="str">
        <f>IF(HR_Data[[#This Row],[Age]]&lt;=25,"18-25",IF(HR_Data[[#This Row],[Age]]&lt;=35,"26-35",IF(HR_Data[[#This Row],[Age]]&lt;=45,"36-45",IF(HR_Data[[#This Row],[Age]]&lt;=55,"46-55","56+"))))</f>
        <v>26-35</v>
      </c>
      <c r="AK437" s="11" t="str">
        <f>IF(HR_Data[[#This Row],[MonthlyIncome]]&lt;3000,"Low",IF(HR_Data[[#This Row],[MonthlyIncome]]&lt;6000,"Medium",IF(HR_Data[[#This Row],[MonthlyIncome]]&lt;10000,"High","Very High")))</f>
        <v>Very High</v>
      </c>
      <c r="AL43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37" t="str">
        <f>IF(HR_Data[[#This Row],[TotalWorkingYears]]&lt;=5,"Junior",IF(HR_Data[[#This Row],[TotalWorkingYears]]&lt;=15,"Mid-Level","Senior"))</f>
        <v>Mid-Level</v>
      </c>
      <c r="AN437" s="11" t="str">
        <f>IF(HR_Data[[#This Row],[PerformanceRating]]=3,"Standard","Excellent")</f>
        <v>Standard</v>
      </c>
      <c r="AO437" s="11" t="str">
        <f>IF(HR_Data[[#This Row],[JobSatisfaction]]&lt;=2,"Low","High")</f>
        <v>High</v>
      </c>
      <c r="AP437" s="11" t="str">
        <f>IF(AND(HR_Data[[#This Row],[OverTime]]="Yes",HR_Data[[#This Row],[JobSatisfaction]]&lt;=2,HR_Data[[#This Row],[YearsAtCompany]]&lt;=2),"High Risk","Normal")</f>
        <v>Normal</v>
      </c>
    </row>
    <row r="438" spans="1:42" x14ac:dyDescent="0.25">
      <c r="A438" s="6">
        <v>33</v>
      </c>
      <c r="B438" s="4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s="11" t="str">
        <f>IF(HR_Data[[#This Row],[Age]]&lt;=25,"18-25",IF(HR_Data[[#This Row],[Age]]&lt;=35,"26-35",IF(HR_Data[[#This Row],[Age]]&lt;=45,"36-45",IF(HR_Data[[#This Row],[Age]]&lt;=55,"46-55","56+"))))</f>
        <v>26-35</v>
      </c>
      <c r="AK438" s="11" t="str">
        <f>IF(HR_Data[[#This Row],[MonthlyIncome]]&lt;3000,"Low",IF(HR_Data[[#This Row],[MonthlyIncome]]&lt;6000,"Medium",IF(HR_Data[[#This Row],[MonthlyIncome]]&lt;10000,"High","Very High")))</f>
        <v>Medium</v>
      </c>
      <c r="AL43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38" t="str">
        <f>IF(HR_Data[[#This Row],[TotalWorkingYears]]&lt;=5,"Junior",IF(HR_Data[[#This Row],[TotalWorkingYears]]&lt;=15,"Mid-Level","Senior"))</f>
        <v>Mid-Level</v>
      </c>
      <c r="AN438" s="11" t="str">
        <f>IF(HR_Data[[#This Row],[PerformanceRating]]=3,"Standard","Excellent")</f>
        <v>Standard</v>
      </c>
      <c r="AO438" s="11" t="str">
        <f>IF(HR_Data[[#This Row],[JobSatisfaction]]&lt;=2,"Low","High")</f>
        <v>High</v>
      </c>
      <c r="AP438" s="11" t="str">
        <f>IF(AND(HR_Data[[#This Row],[OverTime]]="Yes",HR_Data[[#This Row],[JobSatisfaction]]&lt;=2,HR_Data[[#This Row],[YearsAtCompany]]&lt;=2),"High Risk","Normal")</f>
        <v>Normal</v>
      </c>
    </row>
    <row r="439" spans="1:42" x14ac:dyDescent="0.25">
      <c r="A439" s="6">
        <v>30</v>
      </c>
      <c r="B439" s="4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s="11" t="str">
        <f>IF(HR_Data[[#This Row],[Age]]&lt;=25,"18-25",IF(HR_Data[[#This Row],[Age]]&lt;=35,"26-35",IF(HR_Data[[#This Row],[Age]]&lt;=45,"36-45",IF(HR_Data[[#This Row],[Age]]&lt;=55,"46-55","56+"))))</f>
        <v>26-35</v>
      </c>
      <c r="AK439" s="11" t="str">
        <f>IF(HR_Data[[#This Row],[MonthlyIncome]]&lt;3000,"Low",IF(HR_Data[[#This Row],[MonthlyIncome]]&lt;6000,"Medium",IF(HR_Data[[#This Row],[MonthlyIncome]]&lt;10000,"High","Very High")))</f>
        <v>Low</v>
      </c>
      <c r="AL43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39" t="str">
        <f>IF(HR_Data[[#This Row],[TotalWorkingYears]]&lt;=5,"Junior",IF(HR_Data[[#This Row],[TotalWorkingYears]]&lt;=15,"Mid-Level","Senior"))</f>
        <v>Junior</v>
      </c>
      <c r="AN439" s="11" t="str">
        <f>IF(HR_Data[[#This Row],[PerformanceRating]]=3,"Standard","Excellent")</f>
        <v>Standard</v>
      </c>
      <c r="AO439" s="11" t="str">
        <f>IF(HR_Data[[#This Row],[JobSatisfaction]]&lt;=2,"Low","High")</f>
        <v>Low</v>
      </c>
      <c r="AP439" s="11" t="str">
        <f>IF(AND(HR_Data[[#This Row],[OverTime]]="Yes",HR_Data[[#This Row],[JobSatisfaction]]&lt;=2,HR_Data[[#This Row],[YearsAtCompany]]&lt;=2),"High Risk","Normal")</f>
        <v>Normal</v>
      </c>
    </row>
    <row r="440" spans="1:42" x14ac:dyDescent="0.25">
      <c r="A440" s="6">
        <v>35</v>
      </c>
      <c r="B440" s="4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s="11" t="str">
        <f>IF(HR_Data[[#This Row],[Age]]&lt;=25,"18-25",IF(HR_Data[[#This Row],[Age]]&lt;=35,"26-35",IF(HR_Data[[#This Row],[Age]]&lt;=45,"36-45",IF(HR_Data[[#This Row],[Age]]&lt;=55,"46-55","56+"))))</f>
        <v>26-35</v>
      </c>
      <c r="AK440" s="11" t="str">
        <f>IF(HR_Data[[#This Row],[MonthlyIncome]]&lt;3000,"Low",IF(HR_Data[[#This Row],[MonthlyIncome]]&lt;6000,"Medium",IF(HR_Data[[#This Row],[MonthlyIncome]]&lt;10000,"High","Very High")))</f>
        <v>High</v>
      </c>
      <c r="AL44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40" t="str">
        <f>IF(HR_Data[[#This Row],[TotalWorkingYears]]&lt;=5,"Junior",IF(HR_Data[[#This Row],[TotalWorkingYears]]&lt;=15,"Mid-Level","Senior"))</f>
        <v>Mid-Level</v>
      </c>
      <c r="AN440" s="11" t="str">
        <f>IF(HR_Data[[#This Row],[PerformanceRating]]=3,"Standard","Excellent")</f>
        <v>Standard</v>
      </c>
      <c r="AO440" s="11" t="str">
        <f>IF(HR_Data[[#This Row],[JobSatisfaction]]&lt;=2,"Low","High")</f>
        <v>High</v>
      </c>
      <c r="AP440" s="11" t="str">
        <f>IF(AND(HR_Data[[#This Row],[OverTime]]="Yes",HR_Data[[#This Row],[JobSatisfaction]]&lt;=2,HR_Data[[#This Row],[YearsAtCompany]]&lt;=2),"High Risk","Normal")</f>
        <v>Normal</v>
      </c>
    </row>
    <row r="441" spans="1:42" x14ac:dyDescent="0.25">
      <c r="A441" s="6">
        <v>31</v>
      </c>
      <c r="B441" s="4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s="11" t="str">
        <f>IF(HR_Data[[#This Row],[Age]]&lt;=25,"18-25",IF(HR_Data[[#This Row],[Age]]&lt;=35,"26-35",IF(HR_Data[[#This Row],[Age]]&lt;=45,"36-45",IF(HR_Data[[#This Row],[Age]]&lt;=55,"46-55","56+"))))</f>
        <v>26-35</v>
      </c>
      <c r="AK441" s="11" t="str">
        <f>IF(HR_Data[[#This Row],[MonthlyIncome]]&lt;3000,"Low",IF(HR_Data[[#This Row],[MonthlyIncome]]&lt;6000,"Medium",IF(HR_Data[[#This Row],[MonthlyIncome]]&lt;10000,"High","Very High")))</f>
        <v>High</v>
      </c>
      <c r="AL44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41" t="str">
        <f>IF(HR_Data[[#This Row],[TotalWorkingYears]]&lt;=5,"Junior",IF(HR_Data[[#This Row],[TotalWorkingYears]]&lt;=15,"Mid-Level","Senior"))</f>
        <v>Mid-Level</v>
      </c>
      <c r="AN441" s="11" t="str">
        <f>IF(HR_Data[[#This Row],[PerformanceRating]]=3,"Standard","Excellent")</f>
        <v>Standard</v>
      </c>
      <c r="AO441" s="11" t="str">
        <f>IF(HR_Data[[#This Row],[JobSatisfaction]]&lt;=2,"Low","High")</f>
        <v>High</v>
      </c>
      <c r="AP441" s="11" t="str">
        <f>IF(AND(HR_Data[[#This Row],[OverTime]]="Yes",HR_Data[[#This Row],[JobSatisfaction]]&lt;=2,HR_Data[[#This Row],[YearsAtCompany]]&lt;=2),"High Risk","Normal")</f>
        <v>Normal</v>
      </c>
    </row>
    <row r="442" spans="1:42" x14ac:dyDescent="0.25">
      <c r="A442" s="6">
        <v>34</v>
      </c>
      <c r="B442" s="4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s="11" t="str">
        <f>IF(HR_Data[[#This Row],[Age]]&lt;=25,"18-25",IF(HR_Data[[#This Row],[Age]]&lt;=35,"26-35",IF(HR_Data[[#This Row],[Age]]&lt;=45,"36-45",IF(HR_Data[[#This Row],[Age]]&lt;=55,"46-55","56+"))))</f>
        <v>26-35</v>
      </c>
      <c r="AK442" s="11" t="str">
        <f>IF(HR_Data[[#This Row],[MonthlyIncome]]&lt;3000,"Low",IF(HR_Data[[#This Row],[MonthlyIncome]]&lt;6000,"Medium",IF(HR_Data[[#This Row],[MonthlyIncome]]&lt;10000,"High","Very High")))</f>
        <v>High</v>
      </c>
      <c r="AL44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42" t="str">
        <f>IF(HR_Data[[#This Row],[TotalWorkingYears]]&lt;=5,"Junior",IF(HR_Data[[#This Row],[TotalWorkingYears]]&lt;=15,"Mid-Level","Senior"))</f>
        <v>Mid-Level</v>
      </c>
      <c r="AN442" s="11" t="str">
        <f>IF(HR_Data[[#This Row],[PerformanceRating]]=3,"Standard","Excellent")</f>
        <v>Standard</v>
      </c>
      <c r="AO442" s="11" t="str">
        <f>IF(HR_Data[[#This Row],[JobSatisfaction]]&lt;=2,"Low","High")</f>
        <v>Low</v>
      </c>
      <c r="AP442" s="11" t="str">
        <f>IF(AND(HR_Data[[#This Row],[OverTime]]="Yes",HR_Data[[#This Row],[JobSatisfaction]]&lt;=2,HR_Data[[#This Row],[YearsAtCompany]]&lt;=2),"High Risk","Normal")</f>
        <v>Normal</v>
      </c>
    </row>
    <row r="443" spans="1:42" x14ac:dyDescent="0.25">
      <c r="A443" s="6">
        <v>42</v>
      </c>
      <c r="B443" s="4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s="11" t="str">
        <f>IF(HR_Data[[#This Row],[Age]]&lt;=25,"18-25",IF(HR_Data[[#This Row],[Age]]&lt;=35,"26-35",IF(HR_Data[[#This Row],[Age]]&lt;=45,"36-45",IF(HR_Data[[#This Row],[Age]]&lt;=55,"46-55","56+"))))</f>
        <v>36-45</v>
      </c>
      <c r="AK443" s="11" t="str">
        <f>IF(HR_Data[[#This Row],[MonthlyIncome]]&lt;3000,"Low",IF(HR_Data[[#This Row],[MonthlyIncome]]&lt;6000,"Medium",IF(HR_Data[[#This Row],[MonthlyIncome]]&lt;10000,"High","Very High")))</f>
        <v>Low</v>
      </c>
      <c r="AL44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43" t="str">
        <f>IF(HR_Data[[#This Row],[TotalWorkingYears]]&lt;=5,"Junior",IF(HR_Data[[#This Row],[TotalWorkingYears]]&lt;=15,"Mid-Level","Senior"))</f>
        <v>Mid-Level</v>
      </c>
      <c r="AN443" s="11" t="str">
        <f>IF(HR_Data[[#This Row],[PerformanceRating]]=3,"Standard","Excellent")</f>
        <v>Standard</v>
      </c>
      <c r="AO443" s="11" t="str">
        <f>IF(HR_Data[[#This Row],[JobSatisfaction]]&lt;=2,"Low","High")</f>
        <v>High</v>
      </c>
      <c r="AP443" s="11" t="str">
        <f>IF(AND(HR_Data[[#This Row],[OverTime]]="Yes",HR_Data[[#This Row],[JobSatisfaction]]&lt;=2,HR_Data[[#This Row],[YearsAtCompany]]&lt;=2),"High Risk","Normal")</f>
        <v>Normal</v>
      </c>
    </row>
    <row r="444" spans="1:42" x14ac:dyDescent="0.25">
      <c r="A444" s="6">
        <v>36</v>
      </c>
      <c r="B444" s="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s="11" t="str">
        <f>IF(HR_Data[[#This Row],[Age]]&lt;=25,"18-25",IF(HR_Data[[#This Row],[Age]]&lt;=35,"26-35",IF(HR_Data[[#This Row],[Age]]&lt;=45,"36-45",IF(HR_Data[[#This Row],[Age]]&lt;=55,"46-55","56+"))))</f>
        <v>36-45</v>
      </c>
      <c r="AK444" s="11" t="str">
        <f>IF(HR_Data[[#This Row],[MonthlyIncome]]&lt;3000,"Low",IF(HR_Data[[#This Row],[MonthlyIncome]]&lt;6000,"Medium",IF(HR_Data[[#This Row],[MonthlyIncome]]&lt;10000,"High","Very High")))</f>
        <v>High</v>
      </c>
      <c r="AL44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44" t="str">
        <f>IF(HR_Data[[#This Row],[TotalWorkingYears]]&lt;=5,"Junior",IF(HR_Data[[#This Row],[TotalWorkingYears]]&lt;=15,"Mid-Level","Senior"))</f>
        <v>Mid-Level</v>
      </c>
      <c r="AN444" s="11" t="str">
        <f>IF(HR_Data[[#This Row],[PerformanceRating]]=3,"Standard","Excellent")</f>
        <v>Standard</v>
      </c>
      <c r="AO444" s="11" t="str">
        <f>IF(HR_Data[[#This Row],[JobSatisfaction]]&lt;=2,"Low","High")</f>
        <v>High</v>
      </c>
      <c r="AP444" s="11" t="str">
        <f>IF(AND(HR_Data[[#This Row],[OverTime]]="Yes",HR_Data[[#This Row],[JobSatisfaction]]&lt;=2,HR_Data[[#This Row],[YearsAtCompany]]&lt;=2),"High Risk","Normal")</f>
        <v>Normal</v>
      </c>
    </row>
    <row r="445" spans="1:42" x14ac:dyDescent="0.25">
      <c r="A445" s="6">
        <v>22</v>
      </c>
      <c r="B445" s="4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s="11" t="str">
        <f>IF(HR_Data[[#This Row],[Age]]&lt;=25,"18-25",IF(HR_Data[[#This Row],[Age]]&lt;=35,"26-35",IF(HR_Data[[#This Row],[Age]]&lt;=45,"36-45",IF(HR_Data[[#This Row],[Age]]&lt;=55,"46-55","56+"))))</f>
        <v>18-25</v>
      </c>
      <c r="AK445" s="11" t="str">
        <f>IF(HR_Data[[#This Row],[MonthlyIncome]]&lt;3000,"Low",IF(HR_Data[[#This Row],[MonthlyIncome]]&lt;6000,"Medium",IF(HR_Data[[#This Row],[MonthlyIncome]]&lt;10000,"High","Very High")))</f>
        <v>Medium</v>
      </c>
      <c r="AL44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45" t="str">
        <f>IF(HR_Data[[#This Row],[TotalWorkingYears]]&lt;=5,"Junior",IF(HR_Data[[#This Row],[TotalWorkingYears]]&lt;=15,"Mid-Level","Senior"))</f>
        <v>Junior</v>
      </c>
      <c r="AN445" s="11" t="str">
        <f>IF(HR_Data[[#This Row],[PerformanceRating]]=3,"Standard","Excellent")</f>
        <v>Standard</v>
      </c>
      <c r="AO445" s="11" t="str">
        <f>IF(HR_Data[[#This Row],[JobSatisfaction]]&lt;=2,"Low","High")</f>
        <v>High</v>
      </c>
      <c r="AP445" s="11" t="str">
        <f>IF(AND(HR_Data[[#This Row],[OverTime]]="Yes",HR_Data[[#This Row],[JobSatisfaction]]&lt;=2,HR_Data[[#This Row],[YearsAtCompany]]&lt;=2),"High Risk","Normal")</f>
        <v>Normal</v>
      </c>
    </row>
    <row r="446" spans="1:42" x14ac:dyDescent="0.25">
      <c r="A446" s="6">
        <v>48</v>
      </c>
      <c r="B446" s="4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s="11" t="str">
        <f>IF(HR_Data[[#This Row],[Age]]&lt;=25,"18-25",IF(HR_Data[[#This Row],[Age]]&lt;=35,"26-35",IF(HR_Data[[#This Row],[Age]]&lt;=45,"36-45",IF(HR_Data[[#This Row],[Age]]&lt;=55,"46-55","56+"))))</f>
        <v>46-55</v>
      </c>
      <c r="AK446" s="11" t="str">
        <f>IF(HR_Data[[#This Row],[MonthlyIncome]]&lt;3000,"Low",IF(HR_Data[[#This Row],[MonthlyIncome]]&lt;6000,"Medium",IF(HR_Data[[#This Row],[MonthlyIncome]]&lt;10000,"High","Very High")))</f>
        <v>Medium</v>
      </c>
      <c r="AL44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46" t="str">
        <f>IF(HR_Data[[#This Row],[TotalWorkingYears]]&lt;=5,"Junior",IF(HR_Data[[#This Row],[TotalWorkingYears]]&lt;=15,"Mid-Level","Senior"))</f>
        <v>Mid-Level</v>
      </c>
      <c r="AN446" s="11" t="str">
        <f>IF(HR_Data[[#This Row],[PerformanceRating]]=3,"Standard","Excellent")</f>
        <v>Standard</v>
      </c>
      <c r="AO446" s="11" t="str">
        <f>IF(HR_Data[[#This Row],[JobSatisfaction]]&lt;=2,"Low","High")</f>
        <v>High</v>
      </c>
      <c r="AP446" s="11" t="str">
        <f>IF(AND(HR_Data[[#This Row],[OverTime]]="Yes",HR_Data[[#This Row],[JobSatisfaction]]&lt;=2,HR_Data[[#This Row],[YearsAtCompany]]&lt;=2),"High Risk","Normal")</f>
        <v>Normal</v>
      </c>
    </row>
    <row r="447" spans="1:42" x14ac:dyDescent="0.25">
      <c r="A447" s="6">
        <v>55</v>
      </c>
      <c r="B447" s="4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s="11" t="str">
        <f>IF(HR_Data[[#This Row],[Age]]&lt;=25,"18-25",IF(HR_Data[[#This Row],[Age]]&lt;=35,"26-35",IF(HR_Data[[#This Row],[Age]]&lt;=45,"36-45",IF(HR_Data[[#This Row],[Age]]&lt;=55,"46-55","56+"))))</f>
        <v>46-55</v>
      </c>
      <c r="AK447" s="11" t="str">
        <f>IF(HR_Data[[#This Row],[MonthlyIncome]]&lt;3000,"Low",IF(HR_Data[[#This Row],[MonthlyIncome]]&lt;6000,"Medium",IF(HR_Data[[#This Row],[MonthlyIncome]]&lt;10000,"High","Very High")))</f>
        <v>Very High</v>
      </c>
      <c r="AL44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47" t="str">
        <f>IF(HR_Data[[#This Row],[TotalWorkingYears]]&lt;=5,"Junior",IF(HR_Data[[#This Row],[TotalWorkingYears]]&lt;=15,"Mid-Level","Senior"))</f>
        <v>Senior</v>
      </c>
      <c r="AN447" s="11" t="str">
        <f>IF(HR_Data[[#This Row],[PerformanceRating]]=3,"Standard","Excellent")</f>
        <v>Excellent</v>
      </c>
      <c r="AO447" s="11" t="str">
        <f>IF(HR_Data[[#This Row],[JobSatisfaction]]&lt;=2,"Low","High")</f>
        <v>Low</v>
      </c>
      <c r="AP447" s="11" t="str">
        <f>IF(AND(HR_Data[[#This Row],[OverTime]]="Yes",HR_Data[[#This Row],[JobSatisfaction]]&lt;=2,HR_Data[[#This Row],[YearsAtCompany]]&lt;=2),"High Risk","Normal")</f>
        <v>Normal</v>
      </c>
    </row>
    <row r="448" spans="1:42" x14ac:dyDescent="0.25">
      <c r="A448" s="6">
        <v>41</v>
      </c>
      <c r="B448" s="4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s="11" t="str">
        <f>IF(HR_Data[[#This Row],[Age]]&lt;=25,"18-25",IF(HR_Data[[#This Row],[Age]]&lt;=35,"26-35",IF(HR_Data[[#This Row],[Age]]&lt;=45,"36-45",IF(HR_Data[[#This Row],[Age]]&lt;=55,"46-55","56+"))))</f>
        <v>36-45</v>
      </c>
      <c r="AK448" s="11" t="str">
        <f>IF(HR_Data[[#This Row],[MonthlyIncome]]&lt;3000,"Low",IF(HR_Data[[#This Row],[MonthlyIncome]]&lt;6000,"Medium",IF(HR_Data[[#This Row],[MonthlyIncome]]&lt;10000,"High","Very High")))</f>
        <v>High</v>
      </c>
      <c r="AL44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448" t="str">
        <f>IF(HR_Data[[#This Row],[TotalWorkingYears]]&lt;=5,"Junior",IF(HR_Data[[#This Row],[TotalWorkingYears]]&lt;=15,"Mid-Level","Senior"))</f>
        <v>Senior</v>
      </c>
      <c r="AN448" s="11" t="str">
        <f>IF(HR_Data[[#This Row],[PerformanceRating]]=3,"Standard","Excellent")</f>
        <v>Standard</v>
      </c>
      <c r="AO448" s="11" t="str">
        <f>IF(HR_Data[[#This Row],[JobSatisfaction]]&lt;=2,"Low","High")</f>
        <v>High</v>
      </c>
      <c r="AP448" s="11" t="str">
        <f>IF(AND(HR_Data[[#This Row],[OverTime]]="Yes",HR_Data[[#This Row],[JobSatisfaction]]&lt;=2,HR_Data[[#This Row],[YearsAtCompany]]&lt;=2),"High Risk","Normal")</f>
        <v>Normal</v>
      </c>
    </row>
    <row r="449" spans="1:42" x14ac:dyDescent="0.25">
      <c r="A449" s="6">
        <v>35</v>
      </c>
      <c r="B449" s="4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s="11" t="str">
        <f>IF(HR_Data[[#This Row],[Age]]&lt;=25,"18-25",IF(HR_Data[[#This Row],[Age]]&lt;=35,"26-35",IF(HR_Data[[#This Row],[Age]]&lt;=45,"36-45",IF(HR_Data[[#This Row],[Age]]&lt;=55,"46-55","56+"))))</f>
        <v>26-35</v>
      </c>
      <c r="AK449" s="11" t="str">
        <f>IF(HR_Data[[#This Row],[MonthlyIncome]]&lt;3000,"Low",IF(HR_Data[[#This Row],[MonthlyIncome]]&lt;6000,"Medium",IF(HR_Data[[#This Row],[MonthlyIncome]]&lt;10000,"High","Very High")))</f>
        <v>Medium</v>
      </c>
      <c r="AL44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449" t="str">
        <f>IF(HR_Data[[#This Row],[TotalWorkingYears]]&lt;=5,"Junior",IF(HR_Data[[#This Row],[TotalWorkingYears]]&lt;=15,"Mid-Level","Senior"))</f>
        <v>Mid-Level</v>
      </c>
      <c r="AN449" s="11" t="str">
        <f>IF(HR_Data[[#This Row],[PerformanceRating]]=3,"Standard","Excellent")</f>
        <v>Standard</v>
      </c>
      <c r="AO449" s="11" t="str">
        <f>IF(HR_Data[[#This Row],[JobSatisfaction]]&lt;=2,"Low","High")</f>
        <v>High</v>
      </c>
      <c r="AP449" s="11" t="str">
        <f>IF(AND(HR_Data[[#This Row],[OverTime]]="Yes",HR_Data[[#This Row],[JobSatisfaction]]&lt;=2,HR_Data[[#This Row],[YearsAtCompany]]&lt;=2),"High Risk","Normal")</f>
        <v>Normal</v>
      </c>
    </row>
    <row r="450" spans="1:42" x14ac:dyDescent="0.25">
      <c r="A450" s="6">
        <v>40</v>
      </c>
      <c r="B450" s="4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s="11" t="str">
        <f>IF(HR_Data[[#This Row],[Age]]&lt;=25,"18-25",IF(HR_Data[[#This Row],[Age]]&lt;=35,"26-35",IF(HR_Data[[#This Row],[Age]]&lt;=45,"36-45",IF(HR_Data[[#This Row],[Age]]&lt;=55,"46-55","56+"))))</f>
        <v>36-45</v>
      </c>
      <c r="AK450" s="11" t="str">
        <f>IF(HR_Data[[#This Row],[MonthlyIncome]]&lt;3000,"Low",IF(HR_Data[[#This Row],[MonthlyIncome]]&lt;6000,"Medium",IF(HR_Data[[#This Row],[MonthlyIncome]]&lt;10000,"High","Very High")))</f>
        <v>Very High</v>
      </c>
      <c r="AL45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450" t="str">
        <f>IF(HR_Data[[#This Row],[TotalWorkingYears]]&lt;=5,"Junior",IF(HR_Data[[#This Row],[TotalWorkingYears]]&lt;=15,"Mid-Level","Senior"))</f>
        <v>Senior</v>
      </c>
      <c r="AN450" s="11" t="str">
        <f>IF(HR_Data[[#This Row],[PerformanceRating]]=3,"Standard","Excellent")</f>
        <v>Standard</v>
      </c>
      <c r="AO450" s="11" t="str">
        <f>IF(HR_Data[[#This Row],[JobSatisfaction]]&lt;=2,"Low","High")</f>
        <v>High</v>
      </c>
      <c r="AP450" s="11" t="str">
        <f>IF(AND(HR_Data[[#This Row],[OverTime]]="Yes",HR_Data[[#This Row],[JobSatisfaction]]&lt;=2,HR_Data[[#This Row],[YearsAtCompany]]&lt;=2),"High Risk","Normal")</f>
        <v>Normal</v>
      </c>
    </row>
    <row r="451" spans="1:42" x14ac:dyDescent="0.25">
      <c r="A451" s="6">
        <v>39</v>
      </c>
      <c r="B451" s="4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s="11" t="str">
        <f>IF(HR_Data[[#This Row],[Age]]&lt;=25,"18-25",IF(HR_Data[[#This Row],[Age]]&lt;=35,"26-35",IF(HR_Data[[#This Row],[Age]]&lt;=45,"36-45",IF(HR_Data[[#This Row],[Age]]&lt;=55,"46-55","56+"))))</f>
        <v>36-45</v>
      </c>
      <c r="AK451" s="11" t="str">
        <f>IF(HR_Data[[#This Row],[MonthlyIncome]]&lt;3000,"Low",IF(HR_Data[[#This Row],[MonthlyIncome]]&lt;6000,"Medium",IF(HR_Data[[#This Row],[MonthlyIncome]]&lt;10000,"High","Very High")))</f>
        <v>Medium</v>
      </c>
      <c r="AL45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51" t="str">
        <f>IF(HR_Data[[#This Row],[TotalWorkingYears]]&lt;=5,"Junior",IF(HR_Data[[#This Row],[TotalWorkingYears]]&lt;=15,"Mid-Level","Senior"))</f>
        <v>Mid-Level</v>
      </c>
      <c r="AN451" s="11" t="str">
        <f>IF(HR_Data[[#This Row],[PerformanceRating]]=3,"Standard","Excellent")</f>
        <v>Standard</v>
      </c>
      <c r="AO451" s="11" t="str">
        <f>IF(HR_Data[[#This Row],[JobSatisfaction]]&lt;=2,"Low","High")</f>
        <v>High</v>
      </c>
      <c r="AP451" s="11" t="str">
        <f>IF(AND(HR_Data[[#This Row],[OverTime]]="Yes",HR_Data[[#This Row],[JobSatisfaction]]&lt;=2,HR_Data[[#This Row],[YearsAtCompany]]&lt;=2),"High Risk","Normal")</f>
        <v>Normal</v>
      </c>
    </row>
    <row r="452" spans="1:42" x14ac:dyDescent="0.25">
      <c r="A452" s="6">
        <v>31</v>
      </c>
      <c r="B452" s="4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s="11" t="str">
        <f>IF(HR_Data[[#This Row],[Age]]&lt;=25,"18-25",IF(HR_Data[[#This Row],[Age]]&lt;=35,"26-35",IF(HR_Data[[#This Row],[Age]]&lt;=45,"36-45",IF(HR_Data[[#This Row],[Age]]&lt;=55,"46-55","56+"))))</f>
        <v>26-35</v>
      </c>
      <c r="AK452" s="11" t="str">
        <f>IF(HR_Data[[#This Row],[MonthlyIncome]]&lt;3000,"Low",IF(HR_Data[[#This Row],[MonthlyIncome]]&lt;6000,"Medium",IF(HR_Data[[#This Row],[MonthlyIncome]]&lt;10000,"High","Very High")))</f>
        <v>High</v>
      </c>
      <c r="AL45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52" t="str">
        <f>IF(HR_Data[[#This Row],[TotalWorkingYears]]&lt;=5,"Junior",IF(HR_Data[[#This Row],[TotalWorkingYears]]&lt;=15,"Mid-Level","Senior"))</f>
        <v>Mid-Level</v>
      </c>
      <c r="AN452" s="11" t="str">
        <f>IF(HR_Data[[#This Row],[PerformanceRating]]=3,"Standard","Excellent")</f>
        <v>Standard</v>
      </c>
      <c r="AO452" s="11" t="str">
        <f>IF(HR_Data[[#This Row],[JobSatisfaction]]&lt;=2,"Low","High")</f>
        <v>High</v>
      </c>
      <c r="AP452" s="11" t="str">
        <f>IF(AND(HR_Data[[#This Row],[OverTime]]="Yes",HR_Data[[#This Row],[JobSatisfaction]]&lt;=2,HR_Data[[#This Row],[YearsAtCompany]]&lt;=2),"High Risk","Normal")</f>
        <v>Normal</v>
      </c>
    </row>
    <row r="453" spans="1:42" x14ac:dyDescent="0.25">
      <c r="A453" s="6">
        <v>42</v>
      </c>
      <c r="B453" s="4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s="11" t="str">
        <f>IF(HR_Data[[#This Row],[Age]]&lt;=25,"18-25",IF(HR_Data[[#This Row],[Age]]&lt;=35,"26-35",IF(HR_Data[[#This Row],[Age]]&lt;=45,"36-45",IF(HR_Data[[#This Row],[Age]]&lt;=55,"46-55","56+"))))</f>
        <v>36-45</v>
      </c>
      <c r="AK453" s="11" t="str">
        <f>IF(HR_Data[[#This Row],[MonthlyIncome]]&lt;3000,"Low",IF(HR_Data[[#This Row],[MonthlyIncome]]&lt;6000,"Medium",IF(HR_Data[[#This Row],[MonthlyIncome]]&lt;10000,"High","Very High")))</f>
        <v>High</v>
      </c>
      <c r="AL45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53" t="str">
        <f>IF(HR_Data[[#This Row],[TotalWorkingYears]]&lt;=5,"Junior",IF(HR_Data[[#This Row],[TotalWorkingYears]]&lt;=15,"Mid-Level","Senior"))</f>
        <v>Mid-Level</v>
      </c>
      <c r="AN453" s="11" t="str">
        <f>IF(HR_Data[[#This Row],[PerformanceRating]]=3,"Standard","Excellent")</f>
        <v>Excellent</v>
      </c>
      <c r="AO453" s="11" t="str">
        <f>IF(HR_Data[[#This Row],[JobSatisfaction]]&lt;=2,"Low","High")</f>
        <v>Low</v>
      </c>
      <c r="AP453" s="11" t="str">
        <f>IF(AND(HR_Data[[#This Row],[OverTime]]="Yes",HR_Data[[#This Row],[JobSatisfaction]]&lt;=2,HR_Data[[#This Row],[YearsAtCompany]]&lt;=2),"High Risk","Normal")</f>
        <v>Normal</v>
      </c>
    </row>
    <row r="454" spans="1:42" x14ac:dyDescent="0.25">
      <c r="A454" s="6">
        <v>45</v>
      </c>
      <c r="B454" s="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s="11" t="str">
        <f>IF(HR_Data[[#This Row],[Age]]&lt;=25,"18-25",IF(HR_Data[[#This Row],[Age]]&lt;=35,"26-35",IF(HR_Data[[#This Row],[Age]]&lt;=45,"36-45",IF(HR_Data[[#This Row],[Age]]&lt;=55,"46-55","56+"))))</f>
        <v>36-45</v>
      </c>
      <c r="AK454" s="11" t="str">
        <f>IF(HR_Data[[#This Row],[MonthlyIncome]]&lt;3000,"Low",IF(HR_Data[[#This Row],[MonthlyIncome]]&lt;6000,"Medium",IF(HR_Data[[#This Row],[MonthlyIncome]]&lt;10000,"High","Very High")))</f>
        <v>Medium</v>
      </c>
      <c r="AL45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54" t="str">
        <f>IF(HR_Data[[#This Row],[TotalWorkingYears]]&lt;=5,"Junior",IF(HR_Data[[#This Row],[TotalWorkingYears]]&lt;=15,"Mid-Level","Senior"))</f>
        <v>Mid-Level</v>
      </c>
      <c r="AN454" s="11" t="str">
        <f>IF(HR_Data[[#This Row],[PerformanceRating]]=3,"Standard","Excellent")</f>
        <v>Standard</v>
      </c>
      <c r="AO454" s="11" t="str">
        <f>IF(HR_Data[[#This Row],[JobSatisfaction]]&lt;=2,"Low","High")</f>
        <v>Low</v>
      </c>
      <c r="AP454" s="11" t="str">
        <f>IF(AND(HR_Data[[#This Row],[OverTime]]="Yes",HR_Data[[#This Row],[JobSatisfaction]]&lt;=2,HR_Data[[#This Row],[YearsAtCompany]]&lt;=2),"High Risk","Normal")</f>
        <v>Normal</v>
      </c>
    </row>
    <row r="455" spans="1:42" x14ac:dyDescent="0.25">
      <c r="A455" s="6">
        <v>26</v>
      </c>
      <c r="B455" s="4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s="11" t="str">
        <f>IF(HR_Data[[#This Row],[Age]]&lt;=25,"18-25",IF(HR_Data[[#This Row],[Age]]&lt;=35,"26-35",IF(HR_Data[[#This Row],[Age]]&lt;=45,"36-45",IF(HR_Data[[#This Row],[Age]]&lt;=55,"46-55","56+"))))</f>
        <v>26-35</v>
      </c>
      <c r="AK455" s="11" t="str">
        <f>IF(HR_Data[[#This Row],[MonthlyIncome]]&lt;3000,"Low",IF(HR_Data[[#This Row],[MonthlyIncome]]&lt;6000,"Medium",IF(HR_Data[[#This Row],[MonthlyIncome]]&lt;10000,"High","Very High")))</f>
        <v>Low</v>
      </c>
      <c r="AL45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55" t="str">
        <f>IF(HR_Data[[#This Row],[TotalWorkingYears]]&lt;=5,"Junior",IF(HR_Data[[#This Row],[TotalWorkingYears]]&lt;=15,"Mid-Level","Senior"))</f>
        <v>Mid-Level</v>
      </c>
      <c r="AN455" s="11" t="str">
        <f>IF(HR_Data[[#This Row],[PerformanceRating]]=3,"Standard","Excellent")</f>
        <v>Standard</v>
      </c>
      <c r="AO455" s="11" t="str">
        <f>IF(HR_Data[[#This Row],[JobSatisfaction]]&lt;=2,"Low","High")</f>
        <v>High</v>
      </c>
      <c r="AP455" s="11" t="str">
        <f>IF(AND(HR_Data[[#This Row],[OverTime]]="Yes",HR_Data[[#This Row],[JobSatisfaction]]&lt;=2,HR_Data[[#This Row],[YearsAtCompany]]&lt;=2),"High Risk","Normal")</f>
        <v>Normal</v>
      </c>
    </row>
    <row r="456" spans="1:42" x14ac:dyDescent="0.25">
      <c r="A456" s="6">
        <v>29</v>
      </c>
      <c r="B456" s="4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s="11" t="str">
        <f>IF(HR_Data[[#This Row],[Age]]&lt;=25,"18-25",IF(HR_Data[[#This Row],[Age]]&lt;=35,"26-35",IF(HR_Data[[#This Row],[Age]]&lt;=45,"36-45",IF(HR_Data[[#This Row],[Age]]&lt;=55,"46-55","56+"))))</f>
        <v>26-35</v>
      </c>
      <c r="AK456" s="11" t="str">
        <f>IF(HR_Data[[#This Row],[MonthlyIncome]]&lt;3000,"Low",IF(HR_Data[[#This Row],[MonthlyIncome]]&lt;6000,"Medium",IF(HR_Data[[#This Row],[MonthlyIncome]]&lt;10000,"High","Very High")))</f>
        <v>Medium</v>
      </c>
      <c r="AL45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56" t="str">
        <f>IF(HR_Data[[#This Row],[TotalWorkingYears]]&lt;=5,"Junior",IF(HR_Data[[#This Row],[TotalWorkingYears]]&lt;=15,"Mid-Level","Senior"))</f>
        <v>Mid-Level</v>
      </c>
      <c r="AN456" s="11" t="str">
        <f>IF(HR_Data[[#This Row],[PerformanceRating]]=3,"Standard","Excellent")</f>
        <v>Standard</v>
      </c>
      <c r="AO456" s="11" t="str">
        <f>IF(HR_Data[[#This Row],[JobSatisfaction]]&lt;=2,"Low","High")</f>
        <v>High</v>
      </c>
      <c r="AP456" s="11" t="str">
        <f>IF(AND(HR_Data[[#This Row],[OverTime]]="Yes",HR_Data[[#This Row],[JobSatisfaction]]&lt;=2,HR_Data[[#This Row],[YearsAtCompany]]&lt;=2),"High Risk","Normal")</f>
        <v>Normal</v>
      </c>
    </row>
    <row r="457" spans="1:42" x14ac:dyDescent="0.25">
      <c r="A457" s="6">
        <v>33</v>
      </c>
      <c r="B457" s="4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s="11" t="str">
        <f>IF(HR_Data[[#This Row],[Age]]&lt;=25,"18-25",IF(HR_Data[[#This Row],[Age]]&lt;=35,"26-35",IF(HR_Data[[#This Row],[Age]]&lt;=45,"36-45",IF(HR_Data[[#This Row],[Age]]&lt;=55,"46-55","56+"))))</f>
        <v>26-35</v>
      </c>
      <c r="AK457" s="11" t="str">
        <f>IF(HR_Data[[#This Row],[MonthlyIncome]]&lt;3000,"Low",IF(HR_Data[[#This Row],[MonthlyIncome]]&lt;6000,"Medium",IF(HR_Data[[#This Row],[MonthlyIncome]]&lt;10000,"High","Very High")))</f>
        <v>Very High</v>
      </c>
      <c r="AL45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57" t="str">
        <f>IF(HR_Data[[#This Row],[TotalWorkingYears]]&lt;=5,"Junior",IF(HR_Data[[#This Row],[TotalWorkingYears]]&lt;=15,"Mid-Level","Senior"))</f>
        <v>Mid-Level</v>
      </c>
      <c r="AN457" s="11" t="str">
        <f>IF(HR_Data[[#This Row],[PerformanceRating]]=3,"Standard","Excellent")</f>
        <v>Standard</v>
      </c>
      <c r="AO457" s="11" t="str">
        <f>IF(HR_Data[[#This Row],[JobSatisfaction]]&lt;=2,"Low","High")</f>
        <v>High</v>
      </c>
      <c r="AP457" s="11" t="str">
        <f>IF(AND(HR_Data[[#This Row],[OverTime]]="Yes",HR_Data[[#This Row],[JobSatisfaction]]&lt;=2,HR_Data[[#This Row],[YearsAtCompany]]&lt;=2),"High Risk","Normal")</f>
        <v>Normal</v>
      </c>
    </row>
    <row r="458" spans="1:42" x14ac:dyDescent="0.25">
      <c r="A458" s="6">
        <v>31</v>
      </c>
      <c r="B458" s="4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s="11" t="str">
        <f>IF(HR_Data[[#This Row],[Age]]&lt;=25,"18-25",IF(HR_Data[[#This Row],[Age]]&lt;=35,"26-35",IF(HR_Data[[#This Row],[Age]]&lt;=45,"36-45",IF(HR_Data[[#This Row],[Age]]&lt;=55,"46-55","56+"))))</f>
        <v>26-35</v>
      </c>
      <c r="AK458" s="11" t="str">
        <f>IF(HR_Data[[#This Row],[MonthlyIncome]]&lt;3000,"Low",IF(HR_Data[[#This Row],[MonthlyIncome]]&lt;6000,"Medium",IF(HR_Data[[#This Row],[MonthlyIncome]]&lt;10000,"High","Very High")))</f>
        <v>Very High</v>
      </c>
      <c r="AL45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58" t="str">
        <f>IF(HR_Data[[#This Row],[TotalWorkingYears]]&lt;=5,"Junior",IF(HR_Data[[#This Row],[TotalWorkingYears]]&lt;=15,"Mid-Level","Senior"))</f>
        <v>Mid-Level</v>
      </c>
      <c r="AN458" s="11" t="str">
        <f>IF(HR_Data[[#This Row],[PerformanceRating]]=3,"Standard","Excellent")</f>
        <v>Excellent</v>
      </c>
      <c r="AO458" s="11" t="str">
        <f>IF(HR_Data[[#This Row],[JobSatisfaction]]&lt;=2,"Low","High")</f>
        <v>High</v>
      </c>
      <c r="AP458" s="11" t="str">
        <f>IF(AND(HR_Data[[#This Row],[OverTime]]="Yes",HR_Data[[#This Row],[JobSatisfaction]]&lt;=2,HR_Data[[#This Row],[YearsAtCompany]]&lt;=2),"High Risk","Normal")</f>
        <v>Normal</v>
      </c>
    </row>
    <row r="459" spans="1:42" x14ac:dyDescent="0.25">
      <c r="A459" s="6">
        <v>18</v>
      </c>
      <c r="B459" s="4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s="11" t="str">
        <f>IF(HR_Data[[#This Row],[Age]]&lt;=25,"18-25",IF(HR_Data[[#This Row],[Age]]&lt;=35,"26-35",IF(HR_Data[[#This Row],[Age]]&lt;=45,"36-45",IF(HR_Data[[#This Row],[Age]]&lt;=55,"46-55","56+"))))</f>
        <v>18-25</v>
      </c>
      <c r="AK459" s="11" t="str">
        <f>IF(HR_Data[[#This Row],[MonthlyIncome]]&lt;3000,"Low",IF(HR_Data[[#This Row],[MonthlyIncome]]&lt;6000,"Medium",IF(HR_Data[[#This Row],[MonthlyIncome]]&lt;10000,"High","Very High")))</f>
        <v>Low</v>
      </c>
      <c r="AL45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59" t="str">
        <f>IF(HR_Data[[#This Row],[TotalWorkingYears]]&lt;=5,"Junior",IF(HR_Data[[#This Row],[TotalWorkingYears]]&lt;=15,"Mid-Level","Senior"))</f>
        <v>Junior</v>
      </c>
      <c r="AN459" s="11" t="str">
        <f>IF(HR_Data[[#This Row],[PerformanceRating]]=3,"Standard","Excellent")</f>
        <v>Standard</v>
      </c>
      <c r="AO459" s="11" t="str">
        <f>IF(HR_Data[[#This Row],[JobSatisfaction]]&lt;=2,"Low","High")</f>
        <v>Low</v>
      </c>
      <c r="AP459" s="11" t="str">
        <f>IF(AND(HR_Data[[#This Row],[OverTime]]="Yes",HR_Data[[#This Row],[JobSatisfaction]]&lt;=2,HR_Data[[#This Row],[YearsAtCompany]]&lt;=2),"High Risk","Normal")</f>
        <v>High Risk</v>
      </c>
    </row>
    <row r="460" spans="1:42" x14ac:dyDescent="0.25">
      <c r="A460" s="6">
        <v>40</v>
      </c>
      <c r="B460" s="4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s="11" t="str">
        <f>IF(HR_Data[[#This Row],[Age]]&lt;=25,"18-25",IF(HR_Data[[#This Row],[Age]]&lt;=35,"26-35",IF(HR_Data[[#This Row],[Age]]&lt;=45,"36-45",IF(HR_Data[[#This Row],[Age]]&lt;=55,"46-55","56+"))))</f>
        <v>36-45</v>
      </c>
      <c r="AK460" s="11" t="str">
        <f>IF(HR_Data[[#This Row],[MonthlyIncome]]&lt;3000,"Low",IF(HR_Data[[#This Row],[MonthlyIncome]]&lt;6000,"Medium",IF(HR_Data[[#This Row],[MonthlyIncome]]&lt;10000,"High","Very High")))</f>
        <v>Very High</v>
      </c>
      <c r="AL46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60" t="str">
        <f>IF(HR_Data[[#This Row],[TotalWorkingYears]]&lt;=5,"Junior",IF(HR_Data[[#This Row],[TotalWorkingYears]]&lt;=15,"Mid-Level","Senior"))</f>
        <v>Senior</v>
      </c>
      <c r="AN460" s="11" t="str">
        <f>IF(HR_Data[[#This Row],[PerformanceRating]]=3,"Standard","Excellent")</f>
        <v>Standard</v>
      </c>
      <c r="AO460" s="11" t="str">
        <f>IF(HR_Data[[#This Row],[JobSatisfaction]]&lt;=2,"Low","High")</f>
        <v>Low</v>
      </c>
      <c r="AP460" s="11" t="str">
        <f>IF(AND(HR_Data[[#This Row],[OverTime]]="Yes",HR_Data[[#This Row],[JobSatisfaction]]&lt;=2,HR_Data[[#This Row],[YearsAtCompany]]&lt;=2),"High Risk","Normal")</f>
        <v>Normal</v>
      </c>
    </row>
    <row r="461" spans="1:42" x14ac:dyDescent="0.25">
      <c r="A461" s="6">
        <v>41</v>
      </c>
      <c r="B461" s="4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s="11" t="str">
        <f>IF(HR_Data[[#This Row],[Age]]&lt;=25,"18-25",IF(HR_Data[[#This Row],[Age]]&lt;=35,"26-35",IF(HR_Data[[#This Row],[Age]]&lt;=45,"36-45",IF(HR_Data[[#This Row],[Age]]&lt;=55,"46-55","56+"))))</f>
        <v>36-45</v>
      </c>
      <c r="AK461" s="11" t="str">
        <f>IF(HR_Data[[#This Row],[MonthlyIncome]]&lt;3000,"Low",IF(HR_Data[[#This Row],[MonthlyIncome]]&lt;6000,"Medium",IF(HR_Data[[#This Row],[MonthlyIncome]]&lt;10000,"High","Very High")))</f>
        <v>High</v>
      </c>
      <c r="AL46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61" t="str">
        <f>IF(HR_Data[[#This Row],[TotalWorkingYears]]&lt;=5,"Junior",IF(HR_Data[[#This Row],[TotalWorkingYears]]&lt;=15,"Mid-Level","Senior"))</f>
        <v>Mid-Level</v>
      </c>
      <c r="AN461" s="11" t="str">
        <f>IF(HR_Data[[#This Row],[PerformanceRating]]=3,"Standard","Excellent")</f>
        <v>Standard</v>
      </c>
      <c r="AO461" s="11" t="str">
        <f>IF(HR_Data[[#This Row],[JobSatisfaction]]&lt;=2,"Low","High")</f>
        <v>High</v>
      </c>
      <c r="AP461" s="11" t="str">
        <f>IF(AND(HR_Data[[#This Row],[OverTime]]="Yes",HR_Data[[#This Row],[JobSatisfaction]]&lt;=2,HR_Data[[#This Row],[YearsAtCompany]]&lt;=2),"High Risk","Normal")</f>
        <v>Normal</v>
      </c>
    </row>
    <row r="462" spans="1:42" x14ac:dyDescent="0.25">
      <c r="A462" s="6">
        <v>26</v>
      </c>
      <c r="B462" s="4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s="11" t="str">
        <f>IF(HR_Data[[#This Row],[Age]]&lt;=25,"18-25",IF(HR_Data[[#This Row],[Age]]&lt;=35,"26-35",IF(HR_Data[[#This Row],[Age]]&lt;=45,"36-45",IF(HR_Data[[#This Row],[Age]]&lt;=55,"46-55","56+"))))</f>
        <v>26-35</v>
      </c>
      <c r="AK462" s="11" t="str">
        <f>IF(HR_Data[[#This Row],[MonthlyIncome]]&lt;3000,"Low",IF(HR_Data[[#This Row],[MonthlyIncome]]&lt;6000,"Medium",IF(HR_Data[[#This Row],[MonthlyIncome]]&lt;10000,"High","Very High")))</f>
        <v>Medium</v>
      </c>
      <c r="AL46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62" t="str">
        <f>IF(HR_Data[[#This Row],[TotalWorkingYears]]&lt;=5,"Junior",IF(HR_Data[[#This Row],[TotalWorkingYears]]&lt;=15,"Mid-Level","Senior"))</f>
        <v>Mid-Level</v>
      </c>
      <c r="AN462" s="11" t="str">
        <f>IF(HR_Data[[#This Row],[PerformanceRating]]=3,"Standard","Excellent")</f>
        <v>Standard</v>
      </c>
      <c r="AO462" s="11" t="str">
        <f>IF(HR_Data[[#This Row],[JobSatisfaction]]&lt;=2,"Low","High")</f>
        <v>High</v>
      </c>
      <c r="AP462" s="11" t="str">
        <f>IF(AND(HR_Data[[#This Row],[OverTime]]="Yes",HR_Data[[#This Row],[JobSatisfaction]]&lt;=2,HR_Data[[#This Row],[YearsAtCompany]]&lt;=2),"High Risk","Normal")</f>
        <v>Normal</v>
      </c>
    </row>
    <row r="463" spans="1:42" x14ac:dyDescent="0.25">
      <c r="A463" s="6">
        <v>35</v>
      </c>
      <c r="B463" s="4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s="11" t="str">
        <f>IF(HR_Data[[#This Row],[Age]]&lt;=25,"18-25",IF(HR_Data[[#This Row],[Age]]&lt;=35,"26-35",IF(HR_Data[[#This Row],[Age]]&lt;=45,"36-45",IF(HR_Data[[#This Row],[Age]]&lt;=55,"46-55","56+"))))</f>
        <v>26-35</v>
      </c>
      <c r="AK463" s="11" t="str">
        <f>IF(HR_Data[[#This Row],[MonthlyIncome]]&lt;3000,"Low",IF(HR_Data[[#This Row],[MonthlyIncome]]&lt;6000,"Medium",IF(HR_Data[[#This Row],[MonthlyIncome]]&lt;10000,"High","Very High")))</f>
        <v>Medium</v>
      </c>
      <c r="AL46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63" t="str">
        <f>IF(HR_Data[[#This Row],[TotalWorkingYears]]&lt;=5,"Junior",IF(HR_Data[[#This Row],[TotalWorkingYears]]&lt;=15,"Mid-Level","Senior"))</f>
        <v>Junior</v>
      </c>
      <c r="AN463" s="11" t="str">
        <f>IF(HR_Data[[#This Row],[PerformanceRating]]=3,"Standard","Excellent")</f>
        <v>Standard</v>
      </c>
      <c r="AO463" s="11" t="str">
        <f>IF(HR_Data[[#This Row],[JobSatisfaction]]&lt;=2,"Low","High")</f>
        <v>High</v>
      </c>
      <c r="AP463" s="11" t="str">
        <f>IF(AND(HR_Data[[#This Row],[OverTime]]="Yes",HR_Data[[#This Row],[JobSatisfaction]]&lt;=2,HR_Data[[#This Row],[YearsAtCompany]]&lt;=2),"High Risk","Normal")</f>
        <v>Normal</v>
      </c>
    </row>
    <row r="464" spans="1:42" x14ac:dyDescent="0.25">
      <c r="A464" s="6">
        <v>34</v>
      </c>
      <c r="B464" s="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s="11" t="str">
        <f>IF(HR_Data[[#This Row],[Age]]&lt;=25,"18-25",IF(HR_Data[[#This Row],[Age]]&lt;=35,"26-35",IF(HR_Data[[#This Row],[Age]]&lt;=45,"36-45",IF(HR_Data[[#This Row],[Age]]&lt;=55,"46-55","56+"))))</f>
        <v>26-35</v>
      </c>
      <c r="AK464" s="11" t="str">
        <f>IF(HR_Data[[#This Row],[MonthlyIncome]]&lt;3000,"Low",IF(HR_Data[[#This Row],[MonthlyIncome]]&lt;6000,"Medium",IF(HR_Data[[#This Row],[MonthlyIncome]]&lt;10000,"High","Very High")))</f>
        <v>Medium</v>
      </c>
      <c r="AL46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64" t="str">
        <f>IF(HR_Data[[#This Row],[TotalWorkingYears]]&lt;=5,"Junior",IF(HR_Data[[#This Row],[TotalWorkingYears]]&lt;=15,"Mid-Level","Senior"))</f>
        <v>Mid-Level</v>
      </c>
      <c r="AN464" s="11" t="str">
        <f>IF(HR_Data[[#This Row],[PerformanceRating]]=3,"Standard","Excellent")</f>
        <v>Standard</v>
      </c>
      <c r="AO464" s="11" t="str">
        <f>IF(HR_Data[[#This Row],[JobSatisfaction]]&lt;=2,"Low","High")</f>
        <v>High</v>
      </c>
      <c r="AP464" s="11" t="str">
        <f>IF(AND(HR_Data[[#This Row],[OverTime]]="Yes",HR_Data[[#This Row],[JobSatisfaction]]&lt;=2,HR_Data[[#This Row],[YearsAtCompany]]&lt;=2),"High Risk","Normal")</f>
        <v>Normal</v>
      </c>
    </row>
    <row r="465" spans="1:42" x14ac:dyDescent="0.25">
      <c r="A465" s="6">
        <v>26</v>
      </c>
      <c r="B465" s="4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s="11" t="str">
        <f>IF(HR_Data[[#This Row],[Age]]&lt;=25,"18-25",IF(HR_Data[[#This Row],[Age]]&lt;=35,"26-35",IF(HR_Data[[#This Row],[Age]]&lt;=45,"36-45",IF(HR_Data[[#This Row],[Age]]&lt;=55,"46-55","56+"))))</f>
        <v>26-35</v>
      </c>
      <c r="AK465" s="11" t="str">
        <f>IF(HR_Data[[#This Row],[MonthlyIncome]]&lt;3000,"Low",IF(HR_Data[[#This Row],[MonthlyIncome]]&lt;6000,"Medium",IF(HR_Data[[#This Row],[MonthlyIncome]]&lt;10000,"High","Very High")))</f>
        <v>Low</v>
      </c>
      <c r="AL46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65" t="str">
        <f>IF(HR_Data[[#This Row],[TotalWorkingYears]]&lt;=5,"Junior",IF(HR_Data[[#This Row],[TotalWorkingYears]]&lt;=15,"Mid-Level","Senior"))</f>
        <v>Junior</v>
      </c>
      <c r="AN465" s="11" t="str">
        <f>IF(HR_Data[[#This Row],[PerformanceRating]]=3,"Standard","Excellent")</f>
        <v>Standard</v>
      </c>
      <c r="AO465" s="11" t="str">
        <f>IF(HR_Data[[#This Row],[JobSatisfaction]]&lt;=2,"Low","High")</f>
        <v>High</v>
      </c>
      <c r="AP465" s="11" t="str">
        <f>IF(AND(HR_Data[[#This Row],[OverTime]]="Yes",HR_Data[[#This Row],[JobSatisfaction]]&lt;=2,HR_Data[[#This Row],[YearsAtCompany]]&lt;=2),"High Risk","Normal")</f>
        <v>Normal</v>
      </c>
    </row>
    <row r="466" spans="1:42" x14ac:dyDescent="0.25">
      <c r="A466" s="6">
        <v>37</v>
      </c>
      <c r="B466" s="4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s="11" t="str">
        <f>IF(HR_Data[[#This Row],[Age]]&lt;=25,"18-25",IF(HR_Data[[#This Row],[Age]]&lt;=35,"26-35",IF(HR_Data[[#This Row],[Age]]&lt;=45,"36-45",IF(HR_Data[[#This Row],[Age]]&lt;=55,"46-55","56+"))))</f>
        <v>36-45</v>
      </c>
      <c r="AK466" s="11" t="str">
        <f>IF(HR_Data[[#This Row],[MonthlyIncome]]&lt;3000,"Low",IF(HR_Data[[#This Row],[MonthlyIncome]]&lt;6000,"Medium",IF(HR_Data[[#This Row],[MonthlyIncome]]&lt;10000,"High","Very High")))</f>
        <v>High</v>
      </c>
      <c r="AL46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66" t="str">
        <f>IF(HR_Data[[#This Row],[TotalWorkingYears]]&lt;=5,"Junior",IF(HR_Data[[#This Row],[TotalWorkingYears]]&lt;=15,"Mid-Level","Senior"))</f>
        <v>Mid-Level</v>
      </c>
      <c r="AN466" s="11" t="str">
        <f>IF(HR_Data[[#This Row],[PerformanceRating]]=3,"Standard","Excellent")</f>
        <v>Standard</v>
      </c>
      <c r="AO466" s="11" t="str">
        <f>IF(HR_Data[[#This Row],[JobSatisfaction]]&lt;=2,"Low","High")</f>
        <v>High</v>
      </c>
      <c r="AP466" s="11" t="str">
        <f>IF(AND(HR_Data[[#This Row],[OverTime]]="Yes",HR_Data[[#This Row],[JobSatisfaction]]&lt;=2,HR_Data[[#This Row],[YearsAtCompany]]&lt;=2),"High Risk","Normal")</f>
        <v>Normal</v>
      </c>
    </row>
    <row r="467" spans="1:42" x14ac:dyDescent="0.25">
      <c r="A467" s="6">
        <v>46</v>
      </c>
      <c r="B467" s="4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s="11" t="str">
        <f>IF(HR_Data[[#This Row],[Age]]&lt;=25,"18-25",IF(HR_Data[[#This Row],[Age]]&lt;=35,"26-35",IF(HR_Data[[#This Row],[Age]]&lt;=45,"36-45",IF(HR_Data[[#This Row],[Age]]&lt;=55,"46-55","56+"))))</f>
        <v>46-55</v>
      </c>
      <c r="AK467" s="11" t="str">
        <f>IF(HR_Data[[#This Row],[MonthlyIncome]]&lt;3000,"Low",IF(HR_Data[[#This Row],[MonthlyIncome]]&lt;6000,"Medium",IF(HR_Data[[#This Row],[MonthlyIncome]]&lt;10000,"High","Very High")))</f>
        <v>Very High</v>
      </c>
      <c r="AL46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67" t="str">
        <f>IF(HR_Data[[#This Row],[TotalWorkingYears]]&lt;=5,"Junior",IF(HR_Data[[#This Row],[TotalWorkingYears]]&lt;=15,"Mid-Level","Senior"))</f>
        <v>Senior</v>
      </c>
      <c r="AN467" s="11" t="str">
        <f>IF(HR_Data[[#This Row],[PerformanceRating]]=3,"Standard","Excellent")</f>
        <v>Standard</v>
      </c>
      <c r="AO467" s="11" t="str">
        <f>IF(HR_Data[[#This Row],[JobSatisfaction]]&lt;=2,"Low","High")</f>
        <v>High</v>
      </c>
      <c r="AP467" s="11" t="str">
        <f>IF(AND(HR_Data[[#This Row],[OverTime]]="Yes",HR_Data[[#This Row],[JobSatisfaction]]&lt;=2,HR_Data[[#This Row],[YearsAtCompany]]&lt;=2),"High Risk","Normal")</f>
        <v>Normal</v>
      </c>
    </row>
    <row r="468" spans="1:42" x14ac:dyDescent="0.25">
      <c r="A468" s="6">
        <v>41</v>
      </c>
      <c r="B468" s="4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s="11" t="str">
        <f>IF(HR_Data[[#This Row],[Age]]&lt;=25,"18-25",IF(HR_Data[[#This Row],[Age]]&lt;=35,"26-35",IF(HR_Data[[#This Row],[Age]]&lt;=45,"36-45",IF(HR_Data[[#This Row],[Age]]&lt;=55,"46-55","56+"))))</f>
        <v>36-45</v>
      </c>
      <c r="AK468" s="11" t="str">
        <f>IF(HR_Data[[#This Row],[MonthlyIncome]]&lt;3000,"Low",IF(HR_Data[[#This Row],[MonthlyIncome]]&lt;6000,"Medium",IF(HR_Data[[#This Row],[MonthlyIncome]]&lt;10000,"High","Very High")))</f>
        <v>Very High</v>
      </c>
      <c r="AL46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468" t="str">
        <f>IF(HR_Data[[#This Row],[TotalWorkingYears]]&lt;=5,"Junior",IF(HR_Data[[#This Row],[TotalWorkingYears]]&lt;=15,"Mid-Level","Senior"))</f>
        <v>Senior</v>
      </c>
      <c r="AN468" s="11" t="str">
        <f>IF(HR_Data[[#This Row],[PerformanceRating]]=3,"Standard","Excellent")</f>
        <v>Standard</v>
      </c>
      <c r="AO468" s="11" t="str">
        <f>IF(HR_Data[[#This Row],[JobSatisfaction]]&lt;=2,"Low","High")</f>
        <v>Low</v>
      </c>
      <c r="AP468" s="11" t="str">
        <f>IF(AND(HR_Data[[#This Row],[OverTime]]="Yes",HR_Data[[#This Row],[JobSatisfaction]]&lt;=2,HR_Data[[#This Row],[YearsAtCompany]]&lt;=2),"High Risk","Normal")</f>
        <v>Normal</v>
      </c>
    </row>
    <row r="469" spans="1:42" x14ac:dyDescent="0.25">
      <c r="A469" s="6">
        <v>37</v>
      </c>
      <c r="B469" s="4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s="11" t="str">
        <f>IF(HR_Data[[#This Row],[Age]]&lt;=25,"18-25",IF(HR_Data[[#This Row],[Age]]&lt;=35,"26-35",IF(HR_Data[[#This Row],[Age]]&lt;=45,"36-45",IF(HR_Data[[#This Row],[Age]]&lt;=55,"46-55","56+"))))</f>
        <v>36-45</v>
      </c>
      <c r="AK469" s="11" t="str">
        <f>IF(HR_Data[[#This Row],[MonthlyIncome]]&lt;3000,"Low",IF(HR_Data[[#This Row],[MonthlyIncome]]&lt;6000,"Medium",IF(HR_Data[[#This Row],[MonthlyIncome]]&lt;10000,"High","Very High")))</f>
        <v>High</v>
      </c>
      <c r="AL46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69" t="str">
        <f>IF(HR_Data[[#This Row],[TotalWorkingYears]]&lt;=5,"Junior",IF(HR_Data[[#This Row],[TotalWorkingYears]]&lt;=15,"Mid-Level","Senior"))</f>
        <v>Mid-Level</v>
      </c>
      <c r="AN469" s="11" t="str">
        <f>IF(HR_Data[[#This Row],[PerformanceRating]]=3,"Standard","Excellent")</f>
        <v>Standard</v>
      </c>
      <c r="AO469" s="11" t="str">
        <f>IF(HR_Data[[#This Row],[JobSatisfaction]]&lt;=2,"Low","High")</f>
        <v>Low</v>
      </c>
      <c r="AP469" s="11" t="str">
        <f>IF(AND(HR_Data[[#This Row],[OverTime]]="Yes",HR_Data[[#This Row],[JobSatisfaction]]&lt;=2,HR_Data[[#This Row],[YearsAtCompany]]&lt;=2),"High Risk","Normal")</f>
        <v>Normal</v>
      </c>
    </row>
    <row r="470" spans="1:42" x14ac:dyDescent="0.25">
      <c r="A470" s="6">
        <v>52</v>
      </c>
      <c r="B470" s="4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s="11" t="str">
        <f>IF(HR_Data[[#This Row],[Age]]&lt;=25,"18-25",IF(HR_Data[[#This Row],[Age]]&lt;=35,"26-35",IF(HR_Data[[#This Row],[Age]]&lt;=45,"36-45",IF(HR_Data[[#This Row],[Age]]&lt;=55,"46-55","56+"))))</f>
        <v>46-55</v>
      </c>
      <c r="AK470" s="11" t="str">
        <f>IF(HR_Data[[#This Row],[MonthlyIncome]]&lt;3000,"Low",IF(HR_Data[[#This Row],[MonthlyIncome]]&lt;6000,"Medium",IF(HR_Data[[#This Row],[MonthlyIncome]]&lt;10000,"High","Very High")))</f>
        <v>Medium</v>
      </c>
      <c r="AL47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70" t="str">
        <f>IF(HR_Data[[#This Row],[TotalWorkingYears]]&lt;=5,"Junior",IF(HR_Data[[#This Row],[TotalWorkingYears]]&lt;=15,"Mid-Level","Senior"))</f>
        <v>Senior</v>
      </c>
      <c r="AN470" s="11" t="str">
        <f>IF(HR_Data[[#This Row],[PerformanceRating]]=3,"Standard","Excellent")</f>
        <v>Standard</v>
      </c>
      <c r="AO470" s="11" t="str">
        <f>IF(HR_Data[[#This Row],[JobSatisfaction]]&lt;=2,"Low","High")</f>
        <v>Low</v>
      </c>
      <c r="AP470" s="11" t="str">
        <f>IF(AND(HR_Data[[#This Row],[OverTime]]="Yes",HR_Data[[#This Row],[JobSatisfaction]]&lt;=2,HR_Data[[#This Row],[YearsAtCompany]]&lt;=2),"High Risk","Normal")</f>
        <v>Normal</v>
      </c>
    </row>
    <row r="471" spans="1:42" x14ac:dyDescent="0.25">
      <c r="A471" s="6">
        <v>32</v>
      </c>
      <c r="B471" s="4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s="11" t="str">
        <f>IF(HR_Data[[#This Row],[Age]]&lt;=25,"18-25",IF(HR_Data[[#This Row],[Age]]&lt;=35,"26-35",IF(HR_Data[[#This Row],[Age]]&lt;=45,"36-45",IF(HR_Data[[#This Row],[Age]]&lt;=55,"46-55","56+"))))</f>
        <v>26-35</v>
      </c>
      <c r="AK471" s="11" t="str">
        <f>IF(HR_Data[[#This Row],[MonthlyIncome]]&lt;3000,"Low",IF(HR_Data[[#This Row],[MonthlyIncome]]&lt;6000,"Medium",IF(HR_Data[[#This Row],[MonthlyIncome]]&lt;10000,"High","Very High")))</f>
        <v>Medium</v>
      </c>
      <c r="AL47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71" t="str">
        <f>IF(HR_Data[[#This Row],[TotalWorkingYears]]&lt;=5,"Junior",IF(HR_Data[[#This Row],[TotalWorkingYears]]&lt;=15,"Mid-Level","Senior"))</f>
        <v>Mid-Level</v>
      </c>
      <c r="AN471" s="11" t="str">
        <f>IF(HR_Data[[#This Row],[PerformanceRating]]=3,"Standard","Excellent")</f>
        <v>Standard</v>
      </c>
      <c r="AO471" s="11" t="str">
        <f>IF(HR_Data[[#This Row],[JobSatisfaction]]&lt;=2,"Low","High")</f>
        <v>High</v>
      </c>
      <c r="AP471" s="11" t="str">
        <f>IF(AND(HR_Data[[#This Row],[OverTime]]="Yes",HR_Data[[#This Row],[JobSatisfaction]]&lt;=2,HR_Data[[#This Row],[YearsAtCompany]]&lt;=2),"High Risk","Normal")</f>
        <v>Normal</v>
      </c>
    </row>
    <row r="472" spans="1:42" x14ac:dyDescent="0.25">
      <c r="A472" s="6">
        <v>24</v>
      </c>
      <c r="B472" s="4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s="11" t="str">
        <f>IF(HR_Data[[#This Row],[Age]]&lt;=25,"18-25",IF(HR_Data[[#This Row],[Age]]&lt;=35,"26-35",IF(HR_Data[[#This Row],[Age]]&lt;=45,"36-45",IF(HR_Data[[#This Row],[Age]]&lt;=55,"46-55","56+"))))</f>
        <v>18-25</v>
      </c>
      <c r="AK472" s="11" t="str">
        <f>IF(HR_Data[[#This Row],[MonthlyIncome]]&lt;3000,"Low",IF(HR_Data[[#This Row],[MonthlyIncome]]&lt;6000,"Medium",IF(HR_Data[[#This Row],[MonthlyIncome]]&lt;10000,"High","Very High")))</f>
        <v>Low</v>
      </c>
      <c r="AL47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72" t="str">
        <f>IF(HR_Data[[#This Row],[TotalWorkingYears]]&lt;=5,"Junior",IF(HR_Data[[#This Row],[TotalWorkingYears]]&lt;=15,"Mid-Level","Senior"))</f>
        <v>Junior</v>
      </c>
      <c r="AN472" s="11" t="str">
        <f>IF(HR_Data[[#This Row],[PerformanceRating]]=3,"Standard","Excellent")</f>
        <v>Standard</v>
      </c>
      <c r="AO472" s="11" t="str">
        <f>IF(HR_Data[[#This Row],[JobSatisfaction]]&lt;=2,"Low","High")</f>
        <v>High</v>
      </c>
      <c r="AP472" s="11" t="str">
        <f>IF(AND(HR_Data[[#This Row],[OverTime]]="Yes",HR_Data[[#This Row],[JobSatisfaction]]&lt;=2,HR_Data[[#This Row],[YearsAtCompany]]&lt;=2),"High Risk","Normal")</f>
        <v>Normal</v>
      </c>
    </row>
    <row r="473" spans="1:42" x14ac:dyDescent="0.25">
      <c r="A473" s="6">
        <v>38</v>
      </c>
      <c r="B473" s="4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s="11" t="str">
        <f>IF(HR_Data[[#This Row],[Age]]&lt;=25,"18-25",IF(HR_Data[[#This Row],[Age]]&lt;=35,"26-35",IF(HR_Data[[#This Row],[Age]]&lt;=45,"36-45",IF(HR_Data[[#This Row],[Age]]&lt;=55,"46-55","56+"))))</f>
        <v>36-45</v>
      </c>
      <c r="AK473" s="11" t="str">
        <f>IF(HR_Data[[#This Row],[MonthlyIncome]]&lt;3000,"Low",IF(HR_Data[[#This Row],[MonthlyIncome]]&lt;6000,"Medium",IF(HR_Data[[#This Row],[MonthlyIncome]]&lt;10000,"High","Very High")))</f>
        <v>High</v>
      </c>
      <c r="AL47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73" t="str">
        <f>IF(HR_Data[[#This Row],[TotalWorkingYears]]&lt;=5,"Junior",IF(HR_Data[[#This Row],[TotalWorkingYears]]&lt;=15,"Mid-Level","Senior"))</f>
        <v>Senior</v>
      </c>
      <c r="AN473" s="11" t="str">
        <f>IF(HR_Data[[#This Row],[PerformanceRating]]=3,"Standard","Excellent")</f>
        <v>Standard</v>
      </c>
      <c r="AO473" s="11" t="str">
        <f>IF(HR_Data[[#This Row],[JobSatisfaction]]&lt;=2,"Low","High")</f>
        <v>High</v>
      </c>
      <c r="AP473" s="11" t="str">
        <f>IF(AND(HR_Data[[#This Row],[OverTime]]="Yes",HR_Data[[#This Row],[JobSatisfaction]]&lt;=2,HR_Data[[#This Row],[YearsAtCompany]]&lt;=2),"High Risk","Normal")</f>
        <v>Normal</v>
      </c>
    </row>
    <row r="474" spans="1:42" x14ac:dyDescent="0.25">
      <c r="A474" s="6">
        <v>37</v>
      </c>
      <c r="B474" s="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s="11" t="str">
        <f>IF(HR_Data[[#This Row],[Age]]&lt;=25,"18-25",IF(HR_Data[[#This Row],[Age]]&lt;=35,"26-35",IF(HR_Data[[#This Row],[Age]]&lt;=45,"36-45",IF(HR_Data[[#This Row],[Age]]&lt;=55,"46-55","56+"))))</f>
        <v>36-45</v>
      </c>
      <c r="AK474" s="11" t="str">
        <f>IF(HR_Data[[#This Row],[MonthlyIncome]]&lt;3000,"Low",IF(HR_Data[[#This Row],[MonthlyIncome]]&lt;6000,"Medium",IF(HR_Data[[#This Row],[MonthlyIncome]]&lt;10000,"High","Very High")))</f>
        <v>High</v>
      </c>
      <c r="AL47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74" t="str">
        <f>IF(HR_Data[[#This Row],[TotalWorkingYears]]&lt;=5,"Junior",IF(HR_Data[[#This Row],[TotalWorkingYears]]&lt;=15,"Mid-Level","Senior"))</f>
        <v>Mid-Level</v>
      </c>
      <c r="AN474" s="11" t="str">
        <f>IF(HR_Data[[#This Row],[PerformanceRating]]=3,"Standard","Excellent")</f>
        <v>Standard</v>
      </c>
      <c r="AO474" s="11" t="str">
        <f>IF(HR_Data[[#This Row],[JobSatisfaction]]&lt;=2,"Low","High")</f>
        <v>Low</v>
      </c>
      <c r="AP474" s="11" t="str">
        <f>IF(AND(HR_Data[[#This Row],[OverTime]]="Yes",HR_Data[[#This Row],[JobSatisfaction]]&lt;=2,HR_Data[[#This Row],[YearsAtCompany]]&lt;=2),"High Risk","Normal")</f>
        <v>Normal</v>
      </c>
    </row>
    <row r="475" spans="1:42" x14ac:dyDescent="0.25">
      <c r="A475" s="6">
        <v>49</v>
      </c>
      <c r="B475" s="4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s="11" t="str">
        <f>IF(HR_Data[[#This Row],[Age]]&lt;=25,"18-25",IF(HR_Data[[#This Row],[Age]]&lt;=35,"26-35",IF(HR_Data[[#This Row],[Age]]&lt;=45,"36-45",IF(HR_Data[[#This Row],[Age]]&lt;=55,"46-55","56+"))))</f>
        <v>46-55</v>
      </c>
      <c r="AK475" s="11" t="str">
        <f>IF(HR_Data[[#This Row],[MonthlyIncome]]&lt;3000,"Low",IF(HR_Data[[#This Row],[MonthlyIncome]]&lt;6000,"Medium",IF(HR_Data[[#This Row],[MonthlyIncome]]&lt;10000,"High","Very High")))</f>
        <v>Very High</v>
      </c>
      <c r="AL47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475" t="str">
        <f>IF(HR_Data[[#This Row],[TotalWorkingYears]]&lt;=5,"Junior",IF(HR_Data[[#This Row],[TotalWorkingYears]]&lt;=15,"Mid-Level","Senior"))</f>
        <v>Senior</v>
      </c>
      <c r="AN475" s="11" t="str">
        <f>IF(HR_Data[[#This Row],[PerformanceRating]]=3,"Standard","Excellent")</f>
        <v>Standard</v>
      </c>
      <c r="AO475" s="11" t="str">
        <f>IF(HR_Data[[#This Row],[JobSatisfaction]]&lt;=2,"Low","High")</f>
        <v>High</v>
      </c>
      <c r="AP475" s="11" t="str">
        <f>IF(AND(HR_Data[[#This Row],[OverTime]]="Yes",HR_Data[[#This Row],[JobSatisfaction]]&lt;=2,HR_Data[[#This Row],[YearsAtCompany]]&lt;=2),"High Risk","Normal")</f>
        <v>Normal</v>
      </c>
    </row>
    <row r="476" spans="1:42" x14ac:dyDescent="0.25">
      <c r="A476" s="6">
        <v>24</v>
      </c>
      <c r="B476" s="4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s="11" t="str">
        <f>IF(HR_Data[[#This Row],[Age]]&lt;=25,"18-25",IF(HR_Data[[#This Row],[Age]]&lt;=35,"26-35",IF(HR_Data[[#This Row],[Age]]&lt;=45,"36-45",IF(HR_Data[[#This Row],[Age]]&lt;=55,"46-55","56+"))))</f>
        <v>18-25</v>
      </c>
      <c r="AK476" s="11" t="str">
        <f>IF(HR_Data[[#This Row],[MonthlyIncome]]&lt;3000,"Low",IF(HR_Data[[#This Row],[MonthlyIncome]]&lt;6000,"Medium",IF(HR_Data[[#This Row],[MonthlyIncome]]&lt;10000,"High","Very High")))</f>
        <v>Low</v>
      </c>
      <c r="AL47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76" t="str">
        <f>IF(HR_Data[[#This Row],[TotalWorkingYears]]&lt;=5,"Junior",IF(HR_Data[[#This Row],[TotalWorkingYears]]&lt;=15,"Mid-Level","Senior"))</f>
        <v>Mid-Level</v>
      </c>
      <c r="AN476" s="11" t="str">
        <f>IF(HR_Data[[#This Row],[PerformanceRating]]=3,"Standard","Excellent")</f>
        <v>Standard</v>
      </c>
      <c r="AO476" s="11" t="str">
        <f>IF(HR_Data[[#This Row],[JobSatisfaction]]&lt;=2,"Low","High")</f>
        <v>High</v>
      </c>
      <c r="AP476" s="11" t="str">
        <f>IF(AND(HR_Data[[#This Row],[OverTime]]="Yes",HR_Data[[#This Row],[JobSatisfaction]]&lt;=2,HR_Data[[#This Row],[YearsAtCompany]]&lt;=2),"High Risk","Normal")</f>
        <v>Normal</v>
      </c>
    </row>
    <row r="477" spans="1:42" x14ac:dyDescent="0.25">
      <c r="A477" s="6">
        <v>26</v>
      </c>
      <c r="B477" s="4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s="11" t="str">
        <f>IF(HR_Data[[#This Row],[Age]]&lt;=25,"18-25",IF(HR_Data[[#This Row],[Age]]&lt;=35,"26-35",IF(HR_Data[[#This Row],[Age]]&lt;=45,"36-45",IF(HR_Data[[#This Row],[Age]]&lt;=55,"46-55","56+"))))</f>
        <v>26-35</v>
      </c>
      <c r="AK477" s="11" t="str">
        <f>IF(HR_Data[[#This Row],[MonthlyIncome]]&lt;3000,"Low",IF(HR_Data[[#This Row],[MonthlyIncome]]&lt;6000,"Medium",IF(HR_Data[[#This Row],[MonthlyIncome]]&lt;10000,"High","Very High")))</f>
        <v>High</v>
      </c>
      <c r="AL47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77" t="str">
        <f>IF(HR_Data[[#This Row],[TotalWorkingYears]]&lt;=5,"Junior",IF(HR_Data[[#This Row],[TotalWorkingYears]]&lt;=15,"Mid-Level","Senior"))</f>
        <v>Mid-Level</v>
      </c>
      <c r="AN477" s="11" t="str">
        <f>IF(HR_Data[[#This Row],[PerformanceRating]]=3,"Standard","Excellent")</f>
        <v>Excellent</v>
      </c>
      <c r="AO477" s="11" t="str">
        <f>IF(HR_Data[[#This Row],[JobSatisfaction]]&lt;=2,"Low","High")</f>
        <v>Low</v>
      </c>
      <c r="AP477" s="11" t="str">
        <f>IF(AND(HR_Data[[#This Row],[OverTime]]="Yes",HR_Data[[#This Row],[JobSatisfaction]]&lt;=2,HR_Data[[#This Row],[YearsAtCompany]]&lt;=2),"High Risk","Normal")</f>
        <v>Normal</v>
      </c>
    </row>
    <row r="478" spans="1:42" x14ac:dyDescent="0.25">
      <c r="A478" s="6">
        <v>24</v>
      </c>
      <c r="B478" s="4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s="11" t="str">
        <f>IF(HR_Data[[#This Row],[Age]]&lt;=25,"18-25",IF(HR_Data[[#This Row],[Age]]&lt;=35,"26-35",IF(HR_Data[[#This Row],[Age]]&lt;=45,"36-45",IF(HR_Data[[#This Row],[Age]]&lt;=55,"46-55","56+"))))</f>
        <v>18-25</v>
      </c>
      <c r="AK478" s="11" t="str">
        <f>IF(HR_Data[[#This Row],[MonthlyIncome]]&lt;3000,"Low",IF(HR_Data[[#This Row],[MonthlyIncome]]&lt;6000,"Medium",IF(HR_Data[[#This Row],[MonthlyIncome]]&lt;10000,"High","Very High")))</f>
        <v>Low</v>
      </c>
      <c r="AL47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78" t="str">
        <f>IF(HR_Data[[#This Row],[TotalWorkingYears]]&lt;=5,"Junior",IF(HR_Data[[#This Row],[TotalWorkingYears]]&lt;=15,"Mid-Level","Senior"))</f>
        <v>Junior</v>
      </c>
      <c r="AN478" s="11" t="str">
        <f>IF(HR_Data[[#This Row],[PerformanceRating]]=3,"Standard","Excellent")</f>
        <v>Excellent</v>
      </c>
      <c r="AO478" s="11" t="str">
        <f>IF(HR_Data[[#This Row],[JobSatisfaction]]&lt;=2,"Low","High")</f>
        <v>Low</v>
      </c>
      <c r="AP478" s="11" t="str">
        <f>IF(AND(HR_Data[[#This Row],[OverTime]]="Yes",HR_Data[[#This Row],[JobSatisfaction]]&lt;=2,HR_Data[[#This Row],[YearsAtCompany]]&lt;=2),"High Risk","Normal")</f>
        <v>Normal</v>
      </c>
    </row>
    <row r="479" spans="1:42" x14ac:dyDescent="0.25">
      <c r="A479" s="6">
        <v>50</v>
      </c>
      <c r="B479" s="4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s="11" t="str">
        <f>IF(HR_Data[[#This Row],[Age]]&lt;=25,"18-25",IF(HR_Data[[#This Row],[Age]]&lt;=35,"26-35",IF(HR_Data[[#This Row],[Age]]&lt;=45,"36-45",IF(HR_Data[[#This Row],[Age]]&lt;=55,"46-55","56+"))))</f>
        <v>46-55</v>
      </c>
      <c r="AK479" s="11" t="str">
        <f>IF(HR_Data[[#This Row],[MonthlyIncome]]&lt;3000,"Low",IF(HR_Data[[#This Row],[MonthlyIncome]]&lt;6000,"Medium",IF(HR_Data[[#This Row],[MonthlyIncome]]&lt;10000,"High","Very High")))</f>
        <v>Very High</v>
      </c>
      <c r="AL47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479" t="str">
        <f>IF(HR_Data[[#This Row],[TotalWorkingYears]]&lt;=5,"Junior",IF(HR_Data[[#This Row],[TotalWorkingYears]]&lt;=15,"Mid-Level","Senior"))</f>
        <v>Senior</v>
      </c>
      <c r="AN479" s="11" t="str">
        <f>IF(HR_Data[[#This Row],[PerformanceRating]]=3,"Standard","Excellent")</f>
        <v>Standard</v>
      </c>
      <c r="AO479" s="11" t="str">
        <f>IF(HR_Data[[#This Row],[JobSatisfaction]]&lt;=2,"Low","High")</f>
        <v>Low</v>
      </c>
      <c r="AP479" s="11" t="str">
        <f>IF(AND(HR_Data[[#This Row],[OverTime]]="Yes",HR_Data[[#This Row],[JobSatisfaction]]&lt;=2,HR_Data[[#This Row],[YearsAtCompany]]&lt;=2),"High Risk","Normal")</f>
        <v>Normal</v>
      </c>
    </row>
    <row r="480" spans="1:42" x14ac:dyDescent="0.25">
      <c r="A480" s="6">
        <v>25</v>
      </c>
      <c r="B480" s="4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s="11" t="str">
        <f>IF(HR_Data[[#This Row],[Age]]&lt;=25,"18-25",IF(HR_Data[[#This Row],[Age]]&lt;=35,"26-35",IF(HR_Data[[#This Row],[Age]]&lt;=45,"36-45",IF(HR_Data[[#This Row],[Age]]&lt;=55,"46-55","56+"))))</f>
        <v>18-25</v>
      </c>
      <c r="AK480" s="11" t="str">
        <f>IF(HR_Data[[#This Row],[MonthlyIncome]]&lt;3000,"Low",IF(HR_Data[[#This Row],[MonthlyIncome]]&lt;6000,"Medium",IF(HR_Data[[#This Row],[MonthlyIncome]]&lt;10000,"High","Very High")))</f>
        <v>Low</v>
      </c>
      <c r="AL48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80" t="str">
        <f>IF(HR_Data[[#This Row],[TotalWorkingYears]]&lt;=5,"Junior",IF(HR_Data[[#This Row],[TotalWorkingYears]]&lt;=15,"Mid-Level","Senior"))</f>
        <v>Mid-Level</v>
      </c>
      <c r="AN480" s="11" t="str">
        <f>IF(HR_Data[[#This Row],[PerformanceRating]]=3,"Standard","Excellent")</f>
        <v>Standard</v>
      </c>
      <c r="AO480" s="11" t="str">
        <f>IF(HR_Data[[#This Row],[JobSatisfaction]]&lt;=2,"Low","High")</f>
        <v>High</v>
      </c>
      <c r="AP480" s="11" t="str">
        <f>IF(AND(HR_Data[[#This Row],[OverTime]]="Yes",HR_Data[[#This Row],[JobSatisfaction]]&lt;=2,HR_Data[[#This Row],[YearsAtCompany]]&lt;=2),"High Risk","Normal")</f>
        <v>Normal</v>
      </c>
    </row>
    <row r="481" spans="1:42" x14ac:dyDescent="0.25">
      <c r="A481" s="6">
        <v>24</v>
      </c>
      <c r="B481" s="4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s="11" t="str">
        <f>IF(HR_Data[[#This Row],[Age]]&lt;=25,"18-25",IF(HR_Data[[#This Row],[Age]]&lt;=35,"26-35",IF(HR_Data[[#This Row],[Age]]&lt;=45,"36-45",IF(HR_Data[[#This Row],[Age]]&lt;=55,"46-55","56+"))))</f>
        <v>18-25</v>
      </c>
      <c r="AK481" s="11" t="str">
        <f>IF(HR_Data[[#This Row],[MonthlyIncome]]&lt;3000,"Low",IF(HR_Data[[#This Row],[MonthlyIncome]]&lt;6000,"Medium",IF(HR_Data[[#This Row],[MonthlyIncome]]&lt;10000,"High","Very High")))</f>
        <v>Low</v>
      </c>
      <c r="AL48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81" t="str">
        <f>IF(HR_Data[[#This Row],[TotalWorkingYears]]&lt;=5,"Junior",IF(HR_Data[[#This Row],[TotalWorkingYears]]&lt;=15,"Mid-Level","Senior"))</f>
        <v>Mid-Level</v>
      </c>
      <c r="AN481" s="11" t="str">
        <f>IF(HR_Data[[#This Row],[PerformanceRating]]=3,"Standard","Excellent")</f>
        <v>Standard</v>
      </c>
      <c r="AO481" s="11" t="str">
        <f>IF(HR_Data[[#This Row],[JobSatisfaction]]&lt;=2,"Low","High")</f>
        <v>High</v>
      </c>
      <c r="AP481" s="11" t="str">
        <f>IF(AND(HR_Data[[#This Row],[OverTime]]="Yes",HR_Data[[#This Row],[JobSatisfaction]]&lt;=2,HR_Data[[#This Row],[YearsAtCompany]]&lt;=2),"High Risk","Normal")</f>
        <v>Normal</v>
      </c>
    </row>
    <row r="482" spans="1:42" x14ac:dyDescent="0.25">
      <c r="A482" s="6">
        <v>30</v>
      </c>
      <c r="B482" s="4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s="11" t="str">
        <f>IF(HR_Data[[#This Row],[Age]]&lt;=25,"18-25",IF(HR_Data[[#This Row],[Age]]&lt;=35,"26-35",IF(HR_Data[[#This Row],[Age]]&lt;=45,"36-45",IF(HR_Data[[#This Row],[Age]]&lt;=55,"46-55","56+"))))</f>
        <v>26-35</v>
      </c>
      <c r="AK482" s="11" t="str">
        <f>IF(HR_Data[[#This Row],[MonthlyIncome]]&lt;3000,"Low",IF(HR_Data[[#This Row],[MonthlyIncome]]&lt;6000,"Medium",IF(HR_Data[[#This Row],[MonthlyIncome]]&lt;10000,"High","Very High")))</f>
        <v>Low</v>
      </c>
      <c r="AL48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82" t="str">
        <f>IF(HR_Data[[#This Row],[TotalWorkingYears]]&lt;=5,"Junior",IF(HR_Data[[#This Row],[TotalWorkingYears]]&lt;=15,"Mid-Level","Senior"))</f>
        <v>Junior</v>
      </c>
      <c r="AN482" s="11" t="str">
        <f>IF(HR_Data[[#This Row],[PerformanceRating]]=3,"Standard","Excellent")</f>
        <v>Standard</v>
      </c>
      <c r="AO482" s="11" t="str">
        <f>IF(HR_Data[[#This Row],[JobSatisfaction]]&lt;=2,"Low","High")</f>
        <v>Low</v>
      </c>
      <c r="AP482" s="11" t="str">
        <f>IF(AND(HR_Data[[#This Row],[OverTime]]="Yes",HR_Data[[#This Row],[JobSatisfaction]]&lt;=2,HR_Data[[#This Row],[YearsAtCompany]]&lt;=2),"High Risk","Normal")</f>
        <v>Normal</v>
      </c>
    </row>
    <row r="483" spans="1:42" x14ac:dyDescent="0.25">
      <c r="A483" s="6">
        <v>34</v>
      </c>
      <c r="B483" s="4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s="11" t="str">
        <f>IF(HR_Data[[#This Row],[Age]]&lt;=25,"18-25",IF(HR_Data[[#This Row],[Age]]&lt;=35,"26-35",IF(HR_Data[[#This Row],[Age]]&lt;=45,"36-45",IF(HR_Data[[#This Row],[Age]]&lt;=55,"46-55","56+"))))</f>
        <v>26-35</v>
      </c>
      <c r="AK483" s="11" t="str">
        <f>IF(HR_Data[[#This Row],[MonthlyIncome]]&lt;3000,"Low",IF(HR_Data[[#This Row],[MonthlyIncome]]&lt;6000,"Medium",IF(HR_Data[[#This Row],[MonthlyIncome]]&lt;10000,"High","Very High")))</f>
        <v>Medium</v>
      </c>
      <c r="AL48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83" t="str">
        <f>IF(HR_Data[[#This Row],[TotalWorkingYears]]&lt;=5,"Junior",IF(HR_Data[[#This Row],[TotalWorkingYears]]&lt;=15,"Mid-Level","Senior"))</f>
        <v>Mid-Level</v>
      </c>
      <c r="AN483" s="11" t="str">
        <f>IF(HR_Data[[#This Row],[PerformanceRating]]=3,"Standard","Excellent")</f>
        <v>Standard</v>
      </c>
      <c r="AO483" s="11" t="str">
        <f>IF(HR_Data[[#This Row],[JobSatisfaction]]&lt;=2,"Low","High")</f>
        <v>High</v>
      </c>
      <c r="AP483" s="11" t="str">
        <f>IF(AND(HR_Data[[#This Row],[OverTime]]="Yes",HR_Data[[#This Row],[JobSatisfaction]]&lt;=2,HR_Data[[#This Row],[YearsAtCompany]]&lt;=2),"High Risk","Normal")</f>
        <v>Normal</v>
      </c>
    </row>
    <row r="484" spans="1:42" x14ac:dyDescent="0.25">
      <c r="A484" s="6">
        <v>31</v>
      </c>
      <c r="B484" s="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s="11" t="str">
        <f>IF(HR_Data[[#This Row],[Age]]&lt;=25,"18-25",IF(HR_Data[[#This Row],[Age]]&lt;=35,"26-35",IF(HR_Data[[#This Row],[Age]]&lt;=45,"36-45",IF(HR_Data[[#This Row],[Age]]&lt;=55,"46-55","56+"))))</f>
        <v>26-35</v>
      </c>
      <c r="AK484" s="11" t="str">
        <f>IF(HR_Data[[#This Row],[MonthlyIncome]]&lt;3000,"Low",IF(HR_Data[[#This Row],[MonthlyIncome]]&lt;6000,"Medium",IF(HR_Data[[#This Row],[MonthlyIncome]]&lt;10000,"High","Very High")))</f>
        <v>Medium</v>
      </c>
      <c r="AL48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84" t="str">
        <f>IF(HR_Data[[#This Row],[TotalWorkingYears]]&lt;=5,"Junior",IF(HR_Data[[#This Row],[TotalWorkingYears]]&lt;=15,"Mid-Level","Senior"))</f>
        <v>Mid-Level</v>
      </c>
      <c r="AN484" s="11" t="str">
        <f>IF(HR_Data[[#This Row],[PerformanceRating]]=3,"Standard","Excellent")</f>
        <v>Standard</v>
      </c>
      <c r="AO484" s="11" t="str">
        <f>IF(HR_Data[[#This Row],[JobSatisfaction]]&lt;=2,"Low","High")</f>
        <v>Low</v>
      </c>
      <c r="AP484" s="11" t="str">
        <f>IF(AND(HR_Data[[#This Row],[OverTime]]="Yes",HR_Data[[#This Row],[JobSatisfaction]]&lt;=2,HR_Data[[#This Row],[YearsAtCompany]]&lt;=2),"High Risk","Normal")</f>
        <v>Normal</v>
      </c>
    </row>
    <row r="485" spans="1:42" x14ac:dyDescent="0.25">
      <c r="A485" s="6">
        <v>35</v>
      </c>
      <c r="B485" s="4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s="11" t="str">
        <f>IF(HR_Data[[#This Row],[Age]]&lt;=25,"18-25",IF(HR_Data[[#This Row],[Age]]&lt;=35,"26-35",IF(HR_Data[[#This Row],[Age]]&lt;=45,"36-45",IF(HR_Data[[#This Row],[Age]]&lt;=55,"46-55","56+"))))</f>
        <v>26-35</v>
      </c>
      <c r="AK485" s="11" t="str">
        <f>IF(HR_Data[[#This Row],[MonthlyIncome]]&lt;3000,"Low",IF(HR_Data[[#This Row],[MonthlyIncome]]&lt;6000,"Medium",IF(HR_Data[[#This Row],[MonthlyIncome]]&lt;10000,"High","Very High")))</f>
        <v>Medium</v>
      </c>
      <c r="AL48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85" t="str">
        <f>IF(HR_Data[[#This Row],[TotalWorkingYears]]&lt;=5,"Junior",IF(HR_Data[[#This Row],[TotalWorkingYears]]&lt;=15,"Mid-Level","Senior"))</f>
        <v>Mid-Level</v>
      </c>
      <c r="AN485" s="11" t="str">
        <f>IF(HR_Data[[#This Row],[PerformanceRating]]=3,"Standard","Excellent")</f>
        <v>Standard</v>
      </c>
      <c r="AO485" s="11" t="str">
        <f>IF(HR_Data[[#This Row],[JobSatisfaction]]&lt;=2,"Low","High")</f>
        <v>High</v>
      </c>
      <c r="AP485" s="11" t="str">
        <f>IF(AND(HR_Data[[#This Row],[OverTime]]="Yes",HR_Data[[#This Row],[JobSatisfaction]]&lt;=2,HR_Data[[#This Row],[YearsAtCompany]]&lt;=2),"High Risk","Normal")</f>
        <v>Normal</v>
      </c>
    </row>
    <row r="486" spans="1:42" x14ac:dyDescent="0.25">
      <c r="A486" s="6">
        <v>31</v>
      </c>
      <c r="B486" s="4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s="11" t="str">
        <f>IF(HR_Data[[#This Row],[Age]]&lt;=25,"18-25",IF(HR_Data[[#This Row],[Age]]&lt;=35,"26-35",IF(HR_Data[[#This Row],[Age]]&lt;=45,"36-45",IF(HR_Data[[#This Row],[Age]]&lt;=55,"46-55","56+"))))</f>
        <v>26-35</v>
      </c>
      <c r="AK486" s="11" t="str">
        <f>IF(HR_Data[[#This Row],[MonthlyIncome]]&lt;3000,"Low",IF(HR_Data[[#This Row],[MonthlyIncome]]&lt;6000,"Medium",IF(HR_Data[[#This Row],[MonthlyIncome]]&lt;10000,"High","Very High")))</f>
        <v>Medium</v>
      </c>
      <c r="AL48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86" t="str">
        <f>IF(HR_Data[[#This Row],[TotalWorkingYears]]&lt;=5,"Junior",IF(HR_Data[[#This Row],[TotalWorkingYears]]&lt;=15,"Mid-Level","Senior"))</f>
        <v>Mid-Level</v>
      </c>
      <c r="AN486" s="11" t="str">
        <f>IF(HR_Data[[#This Row],[PerformanceRating]]=3,"Standard","Excellent")</f>
        <v>Excellent</v>
      </c>
      <c r="AO486" s="11" t="str">
        <f>IF(HR_Data[[#This Row],[JobSatisfaction]]&lt;=2,"Low","High")</f>
        <v>High</v>
      </c>
      <c r="AP486" s="11" t="str">
        <f>IF(AND(HR_Data[[#This Row],[OverTime]]="Yes",HR_Data[[#This Row],[JobSatisfaction]]&lt;=2,HR_Data[[#This Row],[YearsAtCompany]]&lt;=2),"High Risk","Normal")</f>
        <v>Normal</v>
      </c>
    </row>
    <row r="487" spans="1:42" x14ac:dyDescent="0.25">
      <c r="A487" s="6">
        <v>27</v>
      </c>
      <c r="B487" s="4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s="11" t="str">
        <f>IF(HR_Data[[#This Row],[Age]]&lt;=25,"18-25",IF(HR_Data[[#This Row],[Age]]&lt;=35,"26-35",IF(HR_Data[[#This Row],[Age]]&lt;=45,"36-45",IF(HR_Data[[#This Row],[Age]]&lt;=55,"46-55","56+"))))</f>
        <v>26-35</v>
      </c>
      <c r="AK487" s="11" t="str">
        <f>IF(HR_Data[[#This Row],[MonthlyIncome]]&lt;3000,"Low",IF(HR_Data[[#This Row],[MonthlyIncome]]&lt;6000,"Medium",IF(HR_Data[[#This Row],[MonthlyIncome]]&lt;10000,"High","Very High")))</f>
        <v>Low</v>
      </c>
      <c r="AL48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87" t="str">
        <f>IF(HR_Data[[#This Row],[TotalWorkingYears]]&lt;=5,"Junior",IF(HR_Data[[#This Row],[TotalWorkingYears]]&lt;=15,"Mid-Level","Senior"))</f>
        <v>Mid-Level</v>
      </c>
      <c r="AN487" s="11" t="str">
        <f>IF(HR_Data[[#This Row],[PerformanceRating]]=3,"Standard","Excellent")</f>
        <v>Standard</v>
      </c>
      <c r="AO487" s="11" t="str">
        <f>IF(HR_Data[[#This Row],[JobSatisfaction]]&lt;=2,"Low","High")</f>
        <v>High</v>
      </c>
      <c r="AP487" s="11" t="str">
        <f>IF(AND(HR_Data[[#This Row],[OverTime]]="Yes",HR_Data[[#This Row],[JobSatisfaction]]&lt;=2,HR_Data[[#This Row],[YearsAtCompany]]&lt;=2),"High Risk","Normal")</f>
        <v>Normal</v>
      </c>
    </row>
    <row r="488" spans="1:42" x14ac:dyDescent="0.25">
      <c r="A488" s="6">
        <v>37</v>
      </c>
      <c r="B488" s="4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s="11" t="str">
        <f>IF(HR_Data[[#This Row],[Age]]&lt;=25,"18-25",IF(HR_Data[[#This Row],[Age]]&lt;=35,"26-35",IF(HR_Data[[#This Row],[Age]]&lt;=45,"36-45",IF(HR_Data[[#This Row],[Age]]&lt;=55,"46-55","56+"))))</f>
        <v>36-45</v>
      </c>
      <c r="AK488" s="11" t="str">
        <f>IF(HR_Data[[#This Row],[MonthlyIncome]]&lt;3000,"Low",IF(HR_Data[[#This Row],[MonthlyIncome]]&lt;6000,"Medium",IF(HR_Data[[#This Row],[MonthlyIncome]]&lt;10000,"High","Very High")))</f>
        <v>High</v>
      </c>
      <c r="AL48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88" t="str">
        <f>IF(HR_Data[[#This Row],[TotalWorkingYears]]&lt;=5,"Junior",IF(HR_Data[[#This Row],[TotalWorkingYears]]&lt;=15,"Mid-Level","Senior"))</f>
        <v>Senior</v>
      </c>
      <c r="AN488" s="11" t="str">
        <f>IF(HR_Data[[#This Row],[PerformanceRating]]=3,"Standard","Excellent")</f>
        <v>Standard</v>
      </c>
      <c r="AO488" s="11" t="str">
        <f>IF(HR_Data[[#This Row],[JobSatisfaction]]&lt;=2,"Low","High")</f>
        <v>High</v>
      </c>
      <c r="AP488" s="11" t="str">
        <f>IF(AND(HR_Data[[#This Row],[OverTime]]="Yes",HR_Data[[#This Row],[JobSatisfaction]]&lt;=2,HR_Data[[#This Row],[YearsAtCompany]]&lt;=2),"High Risk","Normal")</f>
        <v>Normal</v>
      </c>
    </row>
    <row r="489" spans="1:42" x14ac:dyDescent="0.25">
      <c r="A489" s="6">
        <v>20</v>
      </c>
      <c r="B489" s="4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s="11" t="str">
        <f>IF(HR_Data[[#This Row],[Age]]&lt;=25,"18-25",IF(HR_Data[[#This Row],[Age]]&lt;=35,"26-35",IF(HR_Data[[#This Row],[Age]]&lt;=45,"36-45",IF(HR_Data[[#This Row],[Age]]&lt;=55,"46-55","56+"))))</f>
        <v>18-25</v>
      </c>
      <c r="AK489" s="11" t="str">
        <f>IF(HR_Data[[#This Row],[MonthlyIncome]]&lt;3000,"Low",IF(HR_Data[[#This Row],[MonthlyIncome]]&lt;6000,"Medium",IF(HR_Data[[#This Row],[MonthlyIncome]]&lt;10000,"High","Very High")))</f>
        <v>Low</v>
      </c>
      <c r="AL48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89" t="str">
        <f>IF(HR_Data[[#This Row],[TotalWorkingYears]]&lt;=5,"Junior",IF(HR_Data[[#This Row],[TotalWorkingYears]]&lt;=15,"Mid-Level","Senior"))</f>
        <v>Junior</v>
      </c>
      <c r="AN489" s="11" t="str">
        <f>IF(HR_Data[[#This Row],[PerformanceRating]]=3,"Standard","Excellent")</f>
        <v>Standard</v>
      </c>
      <c r="AO489" s="11" t="str">
        <f>IF(HR_Data[[#This Row],[JobSatisfaction]]&lt;=2,"Low","High")</f>
        <v>Low</v>
      </c>
      <c r="AP489" s="11" t="str">
        <f>IF(AND(HR_Data[[#This Row],[OverTime]]="Yes",HR_Data[[#This Row],[JobSatisfaction]]&lt;=2,HR_Data[[#This Row],[YearsAtCompany]]&lt;=2),"High Risk","Normal")</f>
        <v>Normal</v>
      </c>
    </row>
    <row r="490" spans="1:42" x14ac:dyDescent="0.25">
      <c r="A490" s="6">
        <v>42</v>
      </c>
      <c r="B490" s="4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s="11" t="str">
        <f>IF(HR_Data[[#This Row],[Age]]&lt;=25,"18-25",IF(HR_Data[[#This Row],[Age]]&lt;=35,"26-35",IF(HR_Data[[#This Row],[Age]]&lt;=45,"36-45",IF(HR_Data[[#This Row],[Age]]&lt;=55,"46-55","56+"))))</f>
        <v>36-45</v>
      </c>
      <c r="AK490" s="11" t="str">
        <f>IF(HR_Data[[#This Row],[MonthlyIncome]]&lt;3000,"Low",IF(HR_Data[[#This Row],[MonthlyIncome]]&lt;6000,"Medium",IF(HR_Data[[#This Row],[MonthlyIncome]]&lt;10000,"High","Very High")))</f>
        <v>Medium</v>
      </c>
      <c r="AL49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90" t="str">
        <f>IF(HR_Data[[#This Row],[TotalWorkingYears]]&lt;=5,"Junior",IF(HR_Data[[#This Row],[TotalWorkingYears]]&lt;=15,"Mid-Level","Senior"))</f>
        <v>Mid-Level</v>
      </c>
      <c r="AN490" s="11" t="str">
        <f>IF(HR_Data[[#This Row],[PerformanceRating]]=3,"Standard","Excellent")</f>
        <v>Standard</v>
      </c>
      <c r="AO490" s="11" t="str">
        <f>IF(HR_Data[[#This Row],[JobSatisfaction]]&lt;=2,"Low","High")</f>
        <v>High</v>
      </c>
      <c r="AP490" s="11" t="str">
        <f>IF(AND(HR_Data[[#This Row],[OverTime]]="Yes",HR_Data[[#This Row],[JobSatisfaction]]&lt;=2,HR_Data[[#This Row],[YearsAtCompany]]&lt;=2),"High Risk","Normal")</f>
        <v>Normal</v>
      </c>
    </row>
    <row r="491" spans="1:42" x14ac:dyDescent="0.25">
      <c r="A491" s="6">
        <v>43</v>
      </c>
      <c r="B491" s="4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s="11" t="str">
        <f>IF(HR_Data[[#This Row],[Age]]&lt;=25,"18-25",IF(HR_Data[[#This Row],[Age]]&lt;=35,"26-35",IF(HR_Data[[#This Row],[Age]]&lt;=45,"36-45",IF(HR_Data[[#This Row],[Age]]&lt;=55,"46-55","56+"))))</f>
        <v>36-45</v>
      </c>
      <c r="AK491" s="11" t="str">
        <f>IF(HR_Data[[#This Row],[MonthlyIncome]]&lt;3000,"Low",IF(HR_Data[[#This Row],[MonthlyIncome]]&lt;6000,"Medium",IF(HR_Data[[#This Row],[MonthlyIncome]]&lt;10000,"High","Very High")))</f>
        <v>Very High</v>
      </c>
      <c r="AL49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91" t="str">
        <f>IF(HR_Data[[#This Row],[TotalWorkingYears]]&lt;=5,"Junior",IF(HR_Data[[#This Row],[TotalWorkingYears]]&lt;=15,"Mid-Level","Senior"))</f>
        <v>Senior</v>
      </c>
      <c r="AN491" s="11" t="str">
        <f>IF(HR_Data[[#This Row],[PerformanceRating]]=3,"Standard","Excellent")</f>
        <v>Standard</v>
      </c>
      <c r="AO491" s="11" t="str">
        <f>IF(HR_Data[[#This Row],[JobSatisfaction]]&lt;=2,"Low","High")</f>
        <v>High</v>
      </c>
      <c r="AP491" s="11" t="str">
        <f>IF(AND(HR_Data[[#This Row],[OverTime]]="Yes",HR_Data[[#This Row],[JobSatisfaction]]&lt;=2,HR_Data[[#This Row],[YearsAtCompany]]&lt;=2),"High Risk","Normal")</f>
        <v>Normal</v>
      </c>
    </row>
    <row r="492" spans="1:42" x14ac:dyDescent="0.25">
      <c r="A492" s="6">
        <v>38</v>
      </c>
      <c r="B492" s="4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s="11" t="str">
        <f>IF(HR_Data[[#This Row],[Age]]&lt;=25,"18-25",IF(HR_Data[[#This Row],[Age]]&lt;=35,"26-35",IF(HR_Data[[#This Row],[Age]]&lt;=45,"36-45",IF(HR_Data[[#This Row],[Age]]&lt;=55,"46-55","56+"))))</f>
        <v>36-45</v>
      </c>
      <c r="AK492" s="11" t="str">
        <f>IF(HR_Data[[#This Row],[MonthlyIncome]]&lt;3000,"Low",IF(HR_Data[[#This Row],[MonthlyIncome]]&lt;6000,"Medium",IF(HR_Data[[#This Row],[MonthlyIncome]]&lt;10000,"High","Very High")))</f>
        <v>Low</v>
      </c>
      <c r="AL49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92" t="str">
        <f>IF(HR_Data[[#This Row],[TotalWorkingYears]]&lt;=5,"Junior",IF(HR_Data[[#This Row],[TotalWorkingYears]]&lt;=15,"Mid-Level","Senior"))</f>
        <v>Mid-Level</v>
      </c>
      <c r="AN492" s="11" t="str">
        <f>IF(HR_Data[[#This Row],[PerformanceRating]]=3,"Standard","Excellent")</f>
        <v>Standard</v>
      </c>
      <c r="AO492" s="11" t="str">
        <f>IF(HR_Data[[#This Row],[JobSatisfaction]]&lt;=2,"Low","High")</f>
        <v>Low</v>
      </c>
      <c r="AP492" s="11" t="str">
        <f>IF(AND(HR_Data[[#This Row],[OverTime]]="Yes",HR_Data[[#This Row],[JobSatisfaction]]&lt;=2,HR_Data[[#This Row],[YearsAtCompany]]&lt;=2),"High Risk","Normal")</f>
        <v>Normal</v>
      </c>
    </row>
    <row r="493" spans="1:42" x14ac:dyDescent="0.25">
      <c r="A493" s="6">
        <v>43</v>
      </c>
      <c r="B493" s="4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s="11" t="str">
        <f>IF(HR_Data[[#This Row],[Age]]&lt;=25,"18-25",IF(HR_Data[[#This Row],[Age]]&lt;=35,"26-35",IF(HR_Data[[#This Row],[Age]]&lt;=45,"36-45",IF(HR_Data[[#This Row],[Age]]&lt;=55,"46-55","56+"))))</f>
        <v>36-45</v>
      </c>
      <c r="AK493" s="11" t="str">
        <f>IF(HR_Data[[#This Row],[MonthlyIncome]]&lt;3000,"Low",IF(HR_Data[[#This Row],[MonthlyIncome]]&lt;6000,"Medium",IF(HR_Data[[#This Row],[MonthlyIncome]]&lt;10000,"High","Very High")))</f>
        <v>Medium</v>
      </c>
      <c r="AL49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93" t="str">
        <f>IF(HR_Data[[#This Row],[TotalWorkingYears]]&lt;=5,"Junior",IF(HR_Data[[#This Row],[TotalWorkingYears]]&lt;=15,"Mid-Level","Senior"))</f>
        <v>Mid-Level</v>
      </c>
      <c r="AN493" s="11" t="str">
        <f>IF(HR_Data[[#This Row],[PerformanceRating]]=3,"Standard","Excellent")</f>
        <v>Standard</v>
      </c>
      <c r="AO493" s="11" t="str">
        <f>IF(HR_Data[[#This Row],[JobSatisfaction]]&lt;=2,"Low","High")</f>
        <v>High</v>
      </c>
      <c r="AP493" s="11" t="str">
        <f>IF(AND(HR_Data[[#This Row],[OverTime]]="Yes",HR_Data[[#This Row],[JobSatisfaction]]&lt;=2,HR_Data[[#This Row],[YearsAtCompany]]&lt;=2),"High Risk","Normal")</f>
        <v>Normal</v>
      </c>
    </row>
    <row r="494" spans="1:42" x14ac:dyDescent="0.25">
      <c r="A494" s="6">
        <v>48</v>
      </c>
      <c r="B494" s="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s="11" t="str">
        <f>IF(HR_Data[[#This Row],[Age]]&lt;=25,"18-25",IF(HR_Data[[#This Row],[Age]]&lt;=35,"26-35",IF(HR_Data[[#This Row],[Age]]&lt;=45,"36-45",IF(HR_Data[[#This Row],[Age]]&lt;=55,"46-55","56+"))))</f>
        <v>46-55</v>
      </c>
      <c r="AK494" s="11" t="str">
        <f>IF(HR_Data[[#This Row],[MonthlyIncome]]&lt;3000,"Low",IF(HR_Data[[#This Row],[MonthlyIncome]]&lt;6000,"Medium",IF(HR_Data[[#This Row],[MonthlyIncome]]&lt;10000,"High","Very High")))</f>
        <v>Very High</v>
      </c>
      <c r="AL49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94" t="str">
        <f>IF(HR_Data[[#This Row],[TotalWorkingYears]]&lt;=5,"Junior",IF(HR_Data[[#This Row],[TotalWorkingYears]]&lt;=15,"Mid-Level","Senior"))</f>
        <v>Senior</v>
      </c>
      <c r="AN494" s="11" t="str">
        <f>IF(HR_Data[[#This Row],[PerformanceRating]]=3,"Standard","Excellent")</f>
        <v>Standard</v>
      </c>
      <c r="AO494" s="11" t="str">
        <f>IF(HR_Data[[#This Row],[JobSatisfaction]]&lt;=2,"Low","High")</f>
        <v>Low</v>
      </c>
      <c r="AP494" s="11" t="str">
        <f>IF(AND(HR_Data[[#This Row],[OverTime]]="Yes",HR_Data[[#This Row],[JobSatisfaction]]&lt;=2,HR_Data[[#This Row],[YearsAtCompany]]&lt;=2),"High Risk","Normal")</f>
        <v>Normal</v>
      </c>
    </row>
    <row r="495" spans="1:42" x14ac:dyDescent="0.25">
      <c r="A495" s="6">
        <v>44</v>
      </c>
      <c r="B495" s="4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s="11" t="str">
        <f>IF(HR_Data[[#This Row],[Age]]&lt;=25,"18-25",IF(HR_Data[[#This Row],[Age]]&lt;=35,"26-35",IF(HR_Data[[#This Row],[Age]]&lt;=45,"36-45",IF(HR_Data[[#This Row],[Age]]&lt;=55,"46-55","56+"))))</f>
        <v>36-45</v>
      </c>
      <c r="AK495" s="11" t="str">
        <f>IF(HR_Data[[#This Row],[MonthlyIncome]]&lt;3000,"Low",IF(HR_Data[[#This Row],[MonthlyIncome]]&lt;6000,"Medium",IF(HR_Data[[#This Row],[MonthlyIncome]]&lt;10000,"High","Very High")))</f>
        <v>Medium</v>
      </c>
      <c r="AL49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95" t="str">
        <f>IF(HR_Data[[#This Row],[TotalWorkingYears]]&lt;=5,"Junior",IF(HR_Data[[#This Row],[TotalWorkingYears]]&lt;=15,"Mid-Level","Senior"))</f>
        <v>Mid-Level</v>
      </c>
      <c r="AN495" s="11" t="str">
        <f>IF(HR_Data[[#This Row],[PerformanceRating]]=3,"Standard","Excellent")</f>
        <v>Standard</v>
      </c>
      <c r="AO495" s="11" t="str">
        <f>IF(HR_Data[[#This Row],[JobSatisfaction]]&lt;=2,"Low","High")</f>
        <v>High</v>
      </c>
      <c r="AP495" s="11" t="str">
        <f>IF(AND(HR_Data[[#This Row],[OverTime]]="Yes",HR_Data[[#This Row],[JobSatisfaction]]&lt;=2,HR_Data[[#This Row],[YearsAtCompany]]&lt;=2),"High Risk","Normal")</f>
        <v>Normal</v>
      </c>
    </row>
    <row r="496" spans="1:42" x14ac:dyDescent="0.25">
      <c r="A496" s="6">
        <v>34</v>
      </c>
      <c r="B496" s="4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s="11" t="str">
        <f>IF(HR_Data[[#This Row],[Age]]&lt;=25,"18-25",IF(HR_Data[[#This Row],[Age]]&lt;=35,"26-35",IF(HR_Data[[#This Row],[Age]]&lt;=45,"36-45",IF(HR_Data[[#This Row],[Age]]&lt;=55,"46-55","56+"))))</f>
        <v>26-35</v>
      </c>
      <c r="AK496" s="11" t="str">
        <f>IF(HR_Data[[#This Row],[MonthlyIncome]]&lt;3000,"Low",IF(HR_Data[[#This Row],[MonthlyIncome]]&lt;6000,"Medium",IF(HR_Data[[#This Row],[MonthlyIncome]]&lt;10000,"High","Very High")))</f>
        <v>Low</v>
      </c>
      <c r="AL49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496" t="str">
        <f>IF(HR_Data[[#This Row],[TotalWorkingYears]]&lt;=5,"Junior",IF(HR_Data[[#This Row],[TotalWorkingYears]]&lt;=15,"Mid-Level","Senior"))</f>
        <v>Mid-Level</v>
      </c>
      <c r="AN496" s="11" t="str">
        <f>IF(HR_Data[[#This Row],[PerformanceRating]]=3,"Standard","Excellent")</f>
        <v>Standard</v>
      </c>
      <c r="AO496" s="11" t="str">
        <f>IF(HR_Data[[#This Row],[JobSatisfaction]]&lt;=2,"Low","High")</f>
        <v>High</v>
      </c>
      <c r="AP496" s="11" t="str">
        <f>IF(AND(HR_Data[[#This Row],[OverTime]]="Yes",HR_Data[[#This Row],[JobSatisfaction]]&lt;=2,HR_Data[[#This Row],[YearsAtCompany]]&lt;=2),"High Risk","Normal")</f>
        <v>Normal</v>
      </c>
    </row>
    <row r="497" spans="1:42" x14ac:dyDescent="0.25">
      <c r="A497" s="6">
        <v>27</v>
      </c>
      <c r="B497" s="4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s="11" t="str">
        <f>IF(HR_Data[[#This Row],[Age]]&lt;=25,"18-25",IF(HR_Data[[#This Row],[Age]]&lt;=35,"26-35",IF(HR_Data[[#This Row],[Age]]&lt;=45,"36-45",IF(HR_Data[[#This Row],[Age]]&lt;=55,"46-55","56+"))))</f>
        <v>26-35</v>
      </c>
      <c r="AK497" s="11" t="str">
        <f>IF(HR_Data[[#This Row],[MonthlyIncome]]&lt;3000,"Low",IF(HR_Data[[#This Row],[MonthlyIncome]]&lt;6000,"Medium",IF(HR_Data[[#This Row],[MonthlyIncome]]&lt;10000,"High","Very High")))</f>
        <v>Medium</v>
      </c>
      <c r="AL49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97" t="str">
        <f>IF(HR_Data[[#This Row],[TotalWorkingYears]]&lt;=5,"Junior",IF(HR_Data[[#This Row],[TotalWorkingYears]]&lt;=15,"Mid-Level","Senior"))</f>
        <v>Junior</v>
      </c>
      <c r="AN497" s="11" t="str">
        <f>IF(HR_Data[[#This Row],[PerformanceRating]]=3,"Standard","Excellent")</f>
        <v>Standard</v>
      </c>
      <c r="AO497" s="11" t="str">
        <f>IF(HR_Data[[#This Row],[JobSatisfaction]]&lt;=2,"Low","High")</f>
        <v>Low</v>
      </c>
      <c r="AP497" s="11" t="str">
        <f>IF(AND(HR_Data[[#This Row],[OverTime]]="Yes",HR_Data[[#This Row],[JobSatisfaction]]&lt;=2,HR_Data[[#This Row],[YearsAtCompany]]&lt;=2),"High Risk","Normal")</f>
        <v>Normal</v>
      </c>
    </row>
    <row r="498" spans="1:42" x14ac:dyDescent="0.25">
      <c r="A498" s="6">
        <v>21</v>
      </c>
      <c r="B498" s="4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s="11" t="str">
        <f>IF(HR_Data[[#This Row],[Age]]&lt;=25,"18-25",IF(HR_Data[[#This Row],[Age]]&lt;=35,"26-35",IF(HR_Data[[#This Row],[Age]]&lt;=45,"36-45",IF(HR_Data[[#This Row],[Age]]&lt;=55,"46-55","56+"))))</f>
        <v>18-25</v>
      </c>
      <c r="AK498" s="11" t="str">
        <f>IF(HR_Data[[#This Row],[MonthlyIncome]]&lt;3000,"Low",IF(HR_Data[[#This Row],[MonthlyIncome]]&lt;6000,"Medium",IF(HR_Data[[#This Row],[MonthlyIncome]]&lt;10000,"High","Very High")))</f>
        <v>Medium</v>
      </c>
      <c r="AL49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498" t="str">
        <f>IF(HR_Data[[#This Row],[TotalWorkingYears]]&lt;=5,"Junior",IF(HR_Data[[#This Row],[TotalWorkingYears]]&lt;=15,"Mid-Level","Senior"))</f>
        <v>Junior</v>
      </c>
      <c r="AN498" s="11" t="str">
        <f>IF(HR_Data[[#This Row],[PerformanceRating]]=3,"Standard","Excellent")</f>
        <v>Standard</v>
      </c>
      <c r="AO498" s="11" t="str">
        <f>IF(HR_Data[[#This Row],[JobSatisfaction]]&lt;=2,"Low","High")</f>
        <v>High</v>
      </c>
      <c r="AP498" s="11" t="str">
        <f>IF(AND(HR_Data[[#This Row],[OverTime]]="Yes",HR_Data[[#This Row],[JobSatisfaction]]&lt;=2,HR_Data[[#This Row],[YearsAtCompany]]&lt;=2),"High Risk","Normal")</f>
        <v>Normal</v>
      </c>
    </row>
    <row r="499" spans="1:42" x14ac:dyDescent="0.25">
      <c r="A499" s="6">
        <v>44</v>
      </c>
      <c r="B499" s="4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s="11" t="str">
        <f>IF(HR_Data[[#This Row],[Age]]&lt;=25,"18-25",IF(HR_Data[[#This Row],[Age]]&lt;=35,"26-35",IF(HR_Data[[#This Row],[Age]]&lt;=45,"36-45",IF(HR_Data[[#This Row],[Age]]&lt;=55,"46-55","56+"))))</f>
        <v>36-45</v>
      </c>
      <c r="AK499" s="11" t="str">
        <f>IF(HR_Data[[#This Row],[MonthlyIncome]]&lt;3000,"Low",IF(HR_Data[[#This Row],[MonthlyIncome]]&lt;6000,"Medium",IF(HR_Data[[#This Row],[MonthlyIncome]]&lt;10000,"High","Very High")))</f>
        <v>Very High</v>
      </c>
      <c r="AL49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499" t="str">
        <f>IF(HR_Data[[#This Row],[TotalWorkingYears]]&lt;=5,"Junior",IF(HR_Data[[#This Row],[TotalWorkingYears]]&lt;=15,"Mid-Level","Senior"))</f>
        <v>Senior</v>
      </c>
      <c r="AN499" s="11" t="str">
        <f>IF(HR_Data[[#This Row],[PerformanceRating]]=3,"Standard","Excellent")</f>
        <v>Standard</v>
      </c>
      <c r="AO499" s="11" t="str">
        <f>IF(HR_Data[[#This Row],[JobSatisfaction]]&lt;=2,"Low","High")</f>
        <v>High</v>
      </c>
      <c r="AP499" s="11" t="str">
        <f>IF(AND(HR_Data[[#This Row],[OverTime]]="Yes",HR_Data[[#This Row],[JobSatisfaction]]&lt;=2,HR_Data[[#This Row],[YearsAtCompany]]&lt;=2),"High Risk","Normal")</f>
        <v>Normal</v>
      </c>
    </row>
    <row r="500" spans="1:42" x14ac:dyDescent="0.25">
      <c r="A500" s="6">
        <v>22</v>
      </c>
      <c r="B500" s="4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s="11" t="str">
        <f>IF(HR_Data[[#This Row],[Age]]&lt;=25,"18-25",IF(HR_Data[[#This Row],[Age]]&lt;=35,"26-35",IF(HR_Data[[#This Row],[Age]]&lt;=45,"36-45",IF(HR_Data[[#This Row],[Age]]&lt;=55,"46-55","56+"))))</f>
        <v>18-25</v>
      </c>
      <c r="AK500" s="11" t="str">
        <f>IF(HR_Data[[#This Row],[MonthlyIncome]]&lt;3000,"Low",IF(HR_Data[[#This Row],[MonthlyIncome]]&lt;6000,"Medium",IF(HR_Data[[#This Row],[MonthlyIncome]]&lt;10000,"High","Very High")))</f>
        <v>Low</v>
      </c>
      <c r="AL50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00" t="str">
        <f>IF(HR_Data[[#This Row],[TotalWorkingYears]]&lt;=5,"Junior",IF(HR_Data[[#This Row],[TotalWorkingYears]]&lt;=15,"Mid-Level","Senior"))</f>
        <v>Junior</v>
      </c>
      <c r="AN500" s="11" t="str">
        <f>IF(HR_Data[[#This Row],[PerformanceRating]]=3,"Standard","Excellent")</f>
        <v>Excellent</v>
      </c>
      <c r="AO500" s="11" t="str">
        <f>IF(HR_Data[[#This Row],[JobSatisfaction]]&lt;=2,"Low","High")</f>
        <v>High</v>
      </c>
      <c r="AP500" s="11" t="str">
        <f>IF(AND(HR_Data[[#This Row],[OverTime]]="Yes",HR_Data[[#This Row],[JobSatisfaction]]&lt;=2,HR_Data[[#This Row],[YearsAtCompany]]&lt;=2),"High Risk","Normal")</f>
        <v>Normal</v>
      </c>
    </row>
    <row r="501" spans="1:42" x14ac:dyDescent="0.25">
      <c r="A501" s="6">
        <v>33</v>
      </c>
      <c r="B501" s="4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s="11" t="str">
        <f>IF(HR_Data[[#This Row],[Age]]&lt;=25,"18-25",IF(HR_Data[[#This Row],[Age]]&lt;=35,"26-35",IF(HR_Data[[#This Row],[Age]]&lt;=45,"36-45",IF(HR_Data[[#This Row],[Age]]&lt;=55,"46-55","56+"))))</f>
        <v>26-35</v>
      </c>
      <c r="AK501" s="11" t="str">
        <f>IF(HR_Data[[#This Row],[MonthlyIncome]]&lt;3000,"Low",IF(HR_Data[[#This Row],[MonthlyIncome]]&lt;6000,"Medium",IF(HR_Data[[#This Row],[MonthlyIncome]]&lt;10000,"High","Very High")))</f>
        <v>High</v>
      </c>
      <c r="AL50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01" t="str">
        <f>IF(HR_Data[[#This Row],[TotalWorkingYears]]&lt;=5,"Junior",IF(HR_Data[[#This Row],[TotalWorkingYears]]&lt;=15,"Mid-Level","Senior"))</f>
        <v>Mid-Level</v>
      </c>
      <c r="AN501" s="11" t="str">
        <f>IF(HR_Data[[#This Row],[PerformanceRating]]=3,"Standard","Excellent")</f>
        <v>Standard</v>
      </c>
      <c r="AO501" s="11" t="str">
        <f>IF(HR_Data[[#This Row],[JobSatisfaction]]&lt;=2,"Low","High")</f>
        <v>High</v>
      </c>
      <c r="AP501" s="11" t="str">
        <f>IF(AND(HR_Data[[#This Row],[OverTime]]="Yes",HR_Data[[#This Row],[JobSatisfaction]]&lt;=2,HR_Data[[#This Row],[YearsAtCompany]]&lt;=2),"High Risk","Normal")</f>
        <v>Normal</v>
      </c>
    </row>
    <row r="502" spans="1:42" x14ac:dyDescent="0.25">
      <c r="A502" s="6">
        <v>32</v>
      </c>
      <c r="B502" s="4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s="11" t="str">
        <f>IF(HR_Data[[#This Row],[Age]]&lt;=25,"18-25",IF(HR_Data[[#This Row],[Age]]&lt;=35,"26-35",IF(HR_Data[[#This Row],[Age]]&lt;=45,"36-45",IF(HR_Data[[#This Row],[Age]]&lt;=55,"46-55","56+"))))</f>
        <v>26-35</v>
      </c>
      <c r="AK502" s="11" t="str">
        <f>IF(HR_Data[[#This Row],[MonthlyIncome]]&lt;3000,"Low",IF(HR_Data[[#This Row],[MonthlyIncome]]&lt;6000,"Medium",IF(HR_Data[[#This Row],[MonthlyIncome]]&lt;10000,"High","Very High")))</f>
        <v>High</v>
      </c>
      <c r="AL50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02" t="str">
        <f>IF(HR_Data[[#This Row],[TotalWorkingYears]]&lt;=5,"Junior",IF(HR_Data[[#This Row],[TotalWorkingYears]]&lt;=15,"Mid-Level","Senior"))</f>
        <v>Mid-Level</v>
      </c>
      <c r="AN502" s="11" t="str">
        <f>IF(HR_Data[[#This Row],[PerformanceRating]]=3,"Standard","Excellent")</f>
        <v>Standard</v>
      </c>
      <c r="AO502" s="11" t="str">
        <f>IF(HR_Data[[#This Row],[JobSatisfaction]]&lt;=2,"Low","High")</f>
        <v>High</v>
      </c>
      <c r="AP502" s="11" t="str">
        <f>IF(AND(HR_Data[[#This Row],[OverTime]]="Yes",HR_Data[[#This Row],[JobSatisfaction]]&lt;=2,HR_Data[[#This Row],[YearsAtCompany]]&lt;=2),"High Risk","Normal")</f>
        <v>Normal</v>
      </c>
    </row>
    <row r="503" spans="1:42" x14ac:dyDescent="0.25">
      <c r="A503" s="6">
        <v>30</v>
      </c>
      <c r="B503" s="4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s="11" t="str">
        <f>IF(HR_Data[[#This Row],[Age]]&lt;=25,"18-25",IF(HR_Data[[#This Row],[Age]]&lt;=35,"26-35",IF(HR_Data[[#This Row],[Age]]&lt;=45,"36-45",IF(HR_Data[[#This Row],[Age]]&lt;=55,"46-55","56+"))))</f>
        <v>26-35</v>
      </c>
      <c r="AK503" s="11" t="str">
        <f>IF(HR_Data[[#This Row],[MonthlyIncome]]&lt;3000,"Low",IF(HR_Data[[#This Row],[MonthlyIncome]]&lt;6000,"Medium",IF(HR_Data[[#This Row],[MonthlyIncome]]&lt;10000,"High","Very High")))</f>
        <v>Low</v>
      </c>
      <c r="AL50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03" t="str">
        <f>IF(HR_Data[[#This Row],[TotalWorkingYears]]&lt;=5,"Junior",IF(HR_Data[[#This Row],[TotalWorkingYears]]&lt;=15,"Mid-Level","Senior"))</f>
        <v>Junior</v>
      </c>
      <c r="AN503" s="11" t="str">
        <f>IF(HR_Data[[#This Row],[PerformanceRating]]=3,"Standard","Excellent")</f>
        <v>Excellent</v>
      </c>
      <c r="AO503" s="11" t="str">
        <f>IF(HR_Data[[#This Row],[JobSatisfaction]]&lt;=2,"Low","High")</f>
        <v>High</v>
      </c>
      <c r="AP503" s="11" t="str">
        <f>IF(AND(HR_Data[[#This Row],[OverTime]]="Yes",HR_Data[[#This Row],[JobSatisfaction]]&lt;=2,HR_Data[[#This Row],[YearsAtCompany]]&lt;=2),"High Risk","Normal")</f>
        <v>Normal</v>
      </c>
    </row>
    <row r="504" spans="1:42" x14ac:dyDescent="0.25">
      <c r="A504" s="6">
        <v>53</v>
      </c>
      <c r="B504" s="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s="11" t="str">
        <f>IF(HR_Data[[#This Row],[Age]]&lt;=25,"18-25",IF(HR_Data[[#This Row],[Age]]&lt;=35,"26-35",IF(HR_Data[[#This Row],[Age]]&lt;=45,"36-45",IF(HR_Data[[#This Row],[Age]]&lt;=55,"46-55","56+"))))</f>
        <v>46-55</v>
      </c>
      <c r="AK504" s="11" t="str">
        <f>IF(HR_Data[[#This Row],[MonthlyIncome]]&lt;3000,"Low",IF(HR_Data[[#This Row],[MonthlyIncome]]&lt;6000,"Medium",IF(HR_Data[[#This Row],[MonthlyIncome]]&lt;10000,"High","Very High")))</f>
        <v>High</v>
      </c>
      <c r="AL504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504" t="str">
        <f>IF(HR_Data[[#This Row],[TotalWorkingYears]]&lt;=5,"Junior",IF(HR_Data[[#This Row],[TotalWorkingYears]]&lt;=15,"Mid-Level","Senior"))</f>
        <v>Senior</v>
      </c>
      <c r="AN504" s="11" t="str">
        <f>IF(HR_Data[[#This Row],[PerformanceRating]]=3,"Standard","Excellent")</f>
        <v>Excellent</v>
      </c>
      <c r="AO504" s="11" t="str">
        <f>IF(HR_Data[[#This Row],[JobSatisfaction]]&lt;=2,"Low","High")</f>
        <v>Low</v>
      </c>
      <c r="AP504" s="11" t="str">
        <f>IF(AND(HR_Data[[#This Row],[OverTime]]="Yes",HR_Data[[#This Row],[JobSatisfaction]]&lt;=2,HR_Data[[#This Row],[YearsAtCompany]]&lt;=2),"High Risk","Normal")</f>
        <v>Normal</v>
      </c>
    </row>
    <row r="505" spans="1:42" x14ac:dyDescent="0.25">
      <c r="A505" s="6">
        <v>34</v>
      </c>
      <c r="B505" s="4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s="11" t="str">
        <f>IF(HR_Data[[#This Row],[Age]]&lt;=25,"18-25",IF(HR_Data[[#This Row],[Age]]&lt;=35,"26-35",IF(HR_Data[[#This Row],[Age]]&lt;=45,"36-45",IF(HR_Data[[#This Row],[Age]]&lt;=55,"46-55","56+"))))</f>
        <v>26-35</v>
      </c>
      <c r="AK505" s="11" t="str">
        <f>IF(HR_Data[[#This Row],[MonthlyIncome]]&lt;3000,"Low",IF(HR_Data[[#This Row],[MonthlyIncome]]&lt;6000,"Medium",IF(HR_Data[[#This Row],[MonthlyIncome]]&lt;10000,"High","Very High")))</f>
        <v>Low</v>
      </c>
      <c r="AL50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05" t="str">
        <f>IF(HR_Data[[#This Row],[TotalWorkingYears]]&lt;=5,"Junior",IF(HR_Data[[#This Row],[TotalWorkingYears]]&lt;=15,"Mid-Level","Senior"))</f>
        <v>Mid-Level</v>
      </c>
      <c r="AN505" s="11" t="str">
        <f>IF(HR_Data[[#This Row],[PerformanceRating]]=3,"Standard","Excellent")</f>
        <v>Standard</v>
      </c>
      <c r="AO505" s="11" t="str">
        <f>IF(HR_Data[[#This Row],[JobSatisfaction]]&lt;=2,"Low","High")</f>
        <v>High</v>
      </c>
      <c r="AP505" s="11" t="str">
        <f>IF(AND(HR_Data[[#This Row],[OverTime]]="Yes",HR_Data[[#This Row],[JobSatisfaction]]&lt;=2,HR_Data[[#This Row],[YearsAtCompany]]&lt;=2),"High Risk","Normal")</f>
        <v>Normal</v>
      </c>
    </row>
    <row r="506" spans="1:42" x14ac:dyDescent="0.25">
      <c r="A506" s="6">
        <v>45</v>
      </c>
      <c r="B506" s="4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s="11" t="str">
        <f>IF(HR_Data[[#This Row],[Age]]&lt;=25,"18-25",IF(HR_Data[[#This Row],[Age]]&lt;=35,"26-35",IF(HR_Data[[#This Row],[Age]]&lt;=45,"36-45",IF(HR_Data[[#This Row],[Age]]&lt;=55,"46-55","56+"))))</f>
        <v>36-45</v>
      </c>
      <c r="AK506" s="11" t="str">
        <f>IF(HR_Data[[#This Row],[MonthlyIncome]]&lt;3000,"Low",IF(HR_Data[[#This Row],[MonthlyIncome]]&lt;6000,"Medium",IF(HR_Data[[#This Row],[MonthlyIncome]]&lt;10000,"High","Very High")))</f>
        <v>Medium</v>
      </c>
      <c r="AL50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06" t="str">
        <f>IF(HR_Data[[#This Row],[TotalWorkingYears]]&lt;=5,"Junior",IF(HR_Data[[#This Row],[TotalWorkingYears]]&lt;=15,"Mid-Level","Senior"))</f>
        <v>Junior</v>
      </c>
      <c r="AN506" s="11" t="str">
        <f>IF(HR_Data[[#This Row],[PerformanceRating]]=3,"Standard","Excellent")</f>
        <v>Standard</v>
      </c>
      <c r="AO506" s="11" t="str">
        <f>IF(HR_Data[[#This Row],[JobSatisfaction]]&lt;=2,"Low","High")</f>
        <v>Low</v>
      </c>
      <c r="AP506" s="11" t="str">
        <f>IF(AND(HR_Data[[#This Row],[OverTime]]="Yes",HR_Data[[#This Row],[JobSatisfaction]]&lt;=2,HR_Data[[#This Row],[YearsAtCompany]]&lt;=2),"High Risk","Normal")</f>
        <v>Normal</v>
      </c>
    </row>
    <row r="507" spans="1:42" x14ac:dyDescent="0.25">
      <c r="A507" s="6">
        <v>26</v>
      </c>
      <c r="B507" s="4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s="11" t="str">
        <f>IF(HR_Data[[#This Row],[Age]]&lt;=25,"18-25",IF(HR_Data[[#This Row],[Age]]&lt;=35,"26-35",IF(HR_Data[[#This Row],[Age]]&lt;=45,"36-45",IF(HR_Data[[#This Row],[Age]]&lt;=55,"46-55","56+"))))</f>
        <v>26-35</v>
      </c>
      <c r="AK507" s="11" t="str">
        <f>IF(HR_Data[[#This Row],[MonthlyIncome]]&lt;3000,"Low",IF(HR_Data[[#This Row],[MonthlyIncome]]&lt;6000,"Medium",IF(HR_Data[[#This Row],[MonthlyIncome]]&lt;10000,"High","Very High")))</f>
        <v>Low</v>
      </c>
      <c r="AL50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07" t="str">
        <f>IF(HR_Data[[#This Row],[TotalWorkingYears]]&lt;=5,"Junior",IF(HR_Data[[#This Row],[TotalWorkingYears]]&lt;=15,"Mid-Level","Senior"))</f>
        <v>Junior</v>
      </c>
      <c r="AN507" s="11" t="str">
        <f>IF(HR_Data[[#This Row],[PerformanceRating]]=3,"Standard","Excellent")</f>
        <v>Standard</v>
      </c>
      <c r="AO507" s="11" t="str">
        <f>IF(HR_Data[[#This Row],[JobSatisfaction]]&lt;=2,"Low","High")</f>
        <v>High</v>
      </c>
      <c r="AP507" s="11" t="str">
        <f>IF(AND(HR_Data[[#This Row],[OverTime]]="Yes",HR_Data[[#This Row],[JobSatisfaction]]&lt;=2,HR_Data[[#This Row],[YearsAtCompany]]&lt;=2),"High Risk","Normal")</f>
        <v>Normal</v>
      </c>
    </row>
    <row r="508" spans="1:42" x14ac:dyDescent="0.25">
      <c r="A508" s="6">
        <v>37</v>
      </c>
      <c r="B508" s="4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s="11" t="str">
        <f>IF(HR_Data[[#This Row],[Age]]&lt;=25,"18-25",IF(HR_Data[[#This Row],[Age]]&lt;=35,"26-35",IF(HR_Data[[#This Row],[Age]]&lt;=45,"36-45",IF(HR_Data[[#This Row],[Age]]&lt;=55,"46-55","56+"))))</f>
        <v>36-45</v>
      </c>
      <c r="AK508" s="11" t="str">
        <f>IF(HR_Data[[#This Row],[MonthlyIncome]]&lt;3000,"Low",IF(HR_Data[[#This Row],[MonthlyIncome]]&lt;6000,"Medium",IF(HR_Data[[#This Row],[MonthlyIncome]]&lt;10000,"High","Very High")))</f>
        <v>High</v>
      </c>
      <c r="AL50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08" t="str">
        <f>IF(HR_Data[[#This Row],[TotalWorkingYears]]&lt;=5,"Junior",IF(HR_Data[[#This Row],[TotalWorkingYears]]&lt;=15,"Mid-Level","Senior"))</f>
        <v>Mid-Level</v>
      </c>
      <c r="AN508" s="11" t="str">
        <f>IF(HR_Data[[#This Row],[PerformanceRating]]=3,"Standard","Excellent")</f>
        <v>Standard</v>
      </c>
      <c r="AO508" s="11" t="str">
        <f>IF(HR_Data[[#This Row],[JobSatisfaction]]&lt;=2,"Low","High")</f>
        <v>High</v>
      </c>
      <c r="AP508" s="11" t="str">
        <f>IF(AND(HR_Data[[#This Row],[OverTime]]="Yes",HR_Data[[#This Row],[JobSatisfaction]]&lt;=2,HR_Data[[#This Row],[YearsAtCompany]]&lt;=2),"High Risk","Normal")</f>
        <v>Normal</v>
      </c>
    </row>
    <row r="509" spans="1:42" x14ac:dyDescent="0.25">
      <c r="A509" s="6">
        <v>29</v>
      </c>
      <c r="B509" s="4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s="11" t="str">
        <f>IF(HR_Data[[#This Row],[Age]]&lt;=25,"18-25",IF(HR_Data[[#This Row],[Age]]&lt;=35,"26-35",IF(HR_Data[[#This Row],[Age]]&lt;=45,"36-45",IF(HR_Data[[#This Row],[Age]]&lt;=55,"46-55","56+"))))</f>
        <v>26-35</v>
      </c>
      <c r="AK509" s="11" t="str">
        <f>IF(HR_Data[[#This Row],[MonthlyIncome]]&lt;3000,"Low",IF(HR_Data[[#This Row],[MonthlyIncome]]&lt;6000,"Medium",IF(HR_Data[[#This Row],[MonthlyIncome]]&lt;10000,"High","Very High")))</f>
        <v>Medium</v>
      </c>
      <c r="AL50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09" t="str">
        <f>IF(HR_Data[[#This Row],[TotalWorkingYears]]&lt;=5,"Junior",IF(HR_Data[[#This Row],[TotalWorkingYears]]&lt;=15,"Mid-Level","Senior"))</f>
        <v>Mid-Level</v>
      </c>
      <c r="AN509" s="11" t="str">
        <f>IF(HR_Data[[#This Row],[PerformanceRating]]=3,"Standard","Excellent")</f>
        <v>Standard</v>
      </c>
      <c r="AO509" s="11" t="str">
        <f>IF(HR_Data[[#This Row],[JobSatisfaction]]&lt;=2,"Low","High")</f>
        <v>High</v>
      </c>
      <c r="AP509" s="11" t="str">
        <f>IF(AND(HR_Data[[#This Row],[OverTime]]="Yes",HR_Data[[#This Row],[JobSatisfaction]]&lt;=2,HR_Data[[#This Row],[YearsAtCompany]]&lt;=2),"High Risk","Normal")</f>
        <v>Normal</v>
      </c>
    </row>
    <row r="510" spans="1:42" x14ac:dyDescent="0.25">
      <c r="A510" s="6">
        <v>35</v>
      </c>
      <c r="B510" s="4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s="11" t="str">
        <f>IF(HR_Data[[#This Row],[Age]]&lt;=25,"18-25",IF(HR_Data[[#This Row],[Age]]&lt;=35,"26-35",IF(HR_Data[[#This Row],[Age]]&lt;=45,"36-45",IF(HR_Data[[#This Row],[Age]]&lt;=55,"46-55","56+"))))</f>
        <v>26-35</v>
      </c>
      <c r="AK510" s="11" t="str">
        <f>IF(HR_Data[[#This Row],[MonthlyIncome]]&lt;3000,"Low",IF(HR_Data[[#This Row],[MonthlyIncome]]&lt;6000,"Medium",IF(HR_Data[[#This Row],[MonthlyIncome]]&lt;10000,"High","Very High")))</f>
        <v>High</v>
      </c>
      <c r="AL51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510" t="str">
        <f>IF(HR_Data[[#This Row],[TotalWorkingYears]]&lt;=5,"Junior",IF(HR_Data[[#This Row],[TotalWorkingYears]]&lt;=15,"Mid-Level","Senior"))</f>
        <v>Senior</v>
      </c>
      <c r="AN510" s="11" t="str">
        <f>IF(HR_Data[[#This Row],[PerformanceRating]]=3,"Standard","Excellent")</f>
        <v>Standard</v>
      </c>
      <c r="AO510" s="11" t="str">
        <f>IF(HR_Data[[#This Row],[JobSatisfaction]]&lt;=2,"Low","High")</f>
        <v>High</v>
      </c>
      <c r="AP510" s="11" t="str">
        <f>IF(AND(HR_Data[[#This Row],[OverTime]]="Yes",HR_Data[[#This Row],[JobSatisfaction]]&lt;=2,HR_Data[[#This Row],[YearsAtCompany]]&lt;=2),"High Risk","Normal")</f>
        <v>Normal</v>
      </c>
    </row>
    <row r="511" spans="1:42" x14ac:dyDescent="0.25">
      <c r="A511" s="6">
        <v>33</v>
      </c>
      <c r="B511" s="4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s="11" t="str">
        <f>IF(HR_Data[[#This Row],[Age]]&lt;=25,"18-25",IF(HR_Data[[#This Row],[Age]]&lt;=35,"26-35",IF(HR_Data[[#This Row],[Age]]&lt;=45,"36-45",IF(HR_Data[[#This Row],[Age]]&lt;=55,"46-55","56+"))))</f>
        <v>26-35</v>
      </c>
      <c r="AK511" s="11" t="str">
        <f>IF(HR_Data[[#This Row],[MonthlyIncome]]&lt;3000,"Low",IF(HR_Data[[#This Row],[MonthlyIncome]]&lt;6000,"Medium",IF(HR_Data[[#This Row],[MonthlyIncome]]&lt;10000,"High","Very High")))</f>
        <v>High</v>
      </c>
      <c r="AL511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511" t="str">
        <f>IF(HR_Data[[#This Row],[TotalWorkingYears]]&lt;=5,"Junior",IF(HR_Data[[#This Row],[TotalWorkingYears]]&lt;=15,"Mid-Level","Senior"))</f>
        <v>Mid-Level</v>
      </c>
      <c r="AN511" s="11" t="str">
        <f>IF(HR_Data[[#This Row],[PerformanceRating]]=3,"Standard","Excellent")</f>
        <v>Excellent</v>
      </c>
      <c r="AO511" s="11" t="str">
        <f>IF(HR_Data[[#This Row],[JobSatisfaction]]&lt;=2,"Low","High")</f>
        <v>High</v>
      </c>
      <c r="AP511" s="11" t="str">
        <f>IF(AND(HR_Data[[#This Row],[OverTime]]="Yes",HR_Data[[#This Row],[JobSatisfaction]]&lt;=2,HR_Data[[#This Row],[YearsAtCompany]]&lt;=2),"High Risk","Normal")</f>
        <v>Normal</v>
      </c>
    </row>
    <row r="512" spans="1:42" x14ac:dyDescent="0.25">
      <c r="A512" s="6">
        <v>54</v>
      </c>
      <c r="B512" s="4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s="11" t="str">
        <f>IF(HR_Data[[#This Row],[Age]]&lt;=25,"18-25",IF(HR_Data[[#This Row],[Age]]&lt;=35,"26-35",IF(HR_Data[[#This Row],[Age]]&lt;=45,"36-45",IF(HR_Data[[#This Row],[Age]]&lt;=55,"46-55","56+"))))</f>
        <v>46-55</v>
      </c>
      <c r="AK512" s="11" t="str">
        <f>IF(HR_Data[[#This Row],[MonthlyIncome]]&lt;3000,"Low",IF(HR_Data[[#This Row],[MonthlyIncome]]&lt;6000,"Medium",IF(HR_Data[[#This Row],[MonthlyIncome]]&lt;10000,"High","Very High")))</f>
        <v>Very High</v>
      </c>
      <c r="AL51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12" t="str">
        <f>IF(HR_Data[[#This Row],[TotalWorkingYears]]&lt;=5,"Junior",IF(HR_Data[[#This Row],[TotalWorkingYears]]&lt;=15,"Mid-Level","Senior"))</f>
        <v>Senior</v>
      </c>
      <c r="AN512" s="11" t="str">
        <f>IF(HR_Data[[#This Row],[PerformanceRating]]=3,"Standard","Excellent")</f>
        <v>Standard</v>
      </c>
      <c r="AO512" s="11" t="str">
        <f>IF(HR_Data[[#This Row],[JobSatisfaction]]&lt;=2,"Low","High")</f>
        <v>Low</v>
      </c>
      <c r="AP512" s="11" t="str">
        <f>IF(AND(HR_Data[[#This Row],[OverTime]]="Yes",HR_Data[[#This Row],[JobSatisfaction]]&lt;=2,HR_Data[[#This Row],[YearsAtCompany]]&lt;=2),"High Risk","Normal")</f>
        <v>Normal</v>
      </c>
    </row>
    <row r="513" spans="1:42" x14ac:dyDescent="0.25">
      <c r="A513" s="6">
        <v>36</v>
      </c>
      <c r="B513" s="4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s="11" t="str">
        <f>IF(HR_Data[[#This Row],[Age]]&lt;=25,"18-25",IF(HR_Data[[#This Row],[Age]]&lt;=35,"26-35",IF(HR_Data[[#This Row],[Age]]&lt;=45,"36-45",IF(HR_Data[[#This Row],[Age]]&lt;=55,"46-55","56+"))))</f>
        <v>36-45</v>
      </c>
      <c r="AK513" s="11" t="str">
        <f>IF(HR_Data[[#This Row],[MonthlyIncome]]&lt;3000,"Low",IF(HR_Data[[#This Row],[MonthlyIncome]]&lt;6000,"Medium",IF(HR_Data[[#This Row],[MonthlyIncome]]&lt;10000,"High","Very High")))</f>
        <v>High</v>
      </c>
      <c r="AL51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13" t="str">
        <f>IF(HR_Data[[#This Row],[TotalWorkingYears]]&lt;=5,"Junior",IF(HR_Data[[#This Row],[TotalWorkingYears]]&lt;=15,"Mid-Level","Senior"))</f>
        <v>Mid-Level</v>
      </c>
      <c r="AN513" s="11" t="str">
        <f>IF(HR_Data[[#This Row],[PerformanceRating]]=3,"Standard","Excellent")</f>
        <v>Standard</v>
      </c>
      <c r="AO513" s="11" t="str">
        <f>IF(HR_Data[[#This Row],[JobSatisfaction]]&lt;=2,"Low","High")</f>
        <v>Low</v>
      </c>
      <c r="AP513" s="11" t="str">
        <f>IF(AND(HR_Data[[#This Row],[OverTime]]="Yes",HR_Data[[#This Row],[JobSatisfaction]]&lt;=2,HR_Data[[#This Row],[YearsAtCompany]]&lt;=2),"High Risk","Normal")</f>
        <v>Normal</v>
      </c>
    </row>
    <row r="514" spans="1:42" x14ac:dyDescent="0.25">
      <c r="A514" s="6">
        <v>27</v>
      </c>
      <c r="B514" s="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s="11" t="str">
        <f>IF(HR_Data[[#This Row],[Age]]&lt;=25,"18-25",IF(HR_Data[[#This Row],[Age]]&lt;=35,"26-35",IF(HR_Data[[#This Row],[Age]]&lt;=45,"36-45",IF(HR_Data[[#This Row],[Age]]&lt;=55,"46-55","56+"))))</f>
        <v>26-35</v>
      </c>
      <c r="AK514" s="11" t="str">
        <f>IF(HR_Data[[#This Row],[MonthlyIncome]]&lt;3000,"Low",IF(HR_Data[[#This Row],[MonthlyIncome]]&lt;6000,"Medium",IF(HR_Data[[#This Row],[MonthlyIncome]]&lt;10000,"High","Very High")))</f>
        <v>Low</v>
      </c>
      <c r="AL51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14" t="str">
        <f>IF(HR_Data[[#This Row],[TotalWorkingYears]]&lt;=5,"Junior",IF(HR_Data[[#This Row],[TotalWorkingYears]]&lt;=15,"Mid-Level","Senior"))</f>
        <v>Junior</v>
      </c>
      <c r="AN514" s="11" t="str">
        <f>IF(HR_Data[[#This Row],[PerformanceRating]]=3,"Standard","Excellent")</f>
        <v>Standard</v>
      </c>
      <c r="AO514" s="11" t="str">
        <f>IF(HR_Data[[#This Row],[JobSatisfaction]]&lt;=2,"Low","High")</f>
        <v>High</v>
      </c>
      <c r="AP514" s="11" t="str">
        <f>IF(AND(HR_Data[[#This Row],[OverTime]]="Yes",HR_Data[[#This Row],[JobSatisfaction]]&lt;=2,HR_Data[[#This Row],[YearsAtCompany]]&lt;=2),"High Risk","Normal")</f>
        <v>Normal</v>
      </c>
    </row>
    <row r="515" spans="1:42" x14ac:dyDescent="0.25">
      <c r="A515" s="6">
        <v>20</v>
      </c>
      <c r="B515" s="4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s="11" t="str">
        <f>IF(HR_Data[[#This Row],[Age]]&lt;=25,"18-25",IF(HR_Data[[#This Row],[Age]]&lt;=35,"26-35",IF(HR_Data[[#This Row],[Age]]&lt;=45,"36-45",IF(HR_Data[[#This Row],[Age]]&lt;=55,"46-55","56+"))))</f>
        <v>18-25</v>
      </c>
      <c r="AK515" s="11" t="str">
        <f>IF(HR_Data[[#This Row],[MonthlyIncome]]&lt;3000,"Low",IF(HR_Data[[#This Row],[MonthlyIncome]]&lt;6000,"Medium",IF(HR_Data[[#This Row],[MonthlyIncome]]&lt;10000,"High","Very High")))</f>
        <v>Low</v>
      </c>
      <c r="AL51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15" t="str">
        <f>IF(HR_Data[[#This Row],[TotalWorkingYears]]&lt;=5,"Junior",IF(HR_Data[[#This Row],[TotalWorkingYears]]&lt;=15,"Mid-Level","Senior"))</f>
        <v>Junior</v>
      </c>
      <c r="AN515" s="11" t="str">
        <f>IF(HR_Data[[#This Row],[PerformanceRating]]=3,"Standard","Excellent")</f>
        <v>Standard</v>
      </c>
      <c r="AO515" s="11" t="str">
        <f>IF(HR_Data[[#This Row],[JobSatisfaction]]&lt;=2,"Low","High")</f>
        <v>High</v>
      </c>
      <c r="AP515" s="11" t="str">
        <f>IF(AND(HR_Data[[#This Row],[OverTime]]="Yes",HR_Data[[#This Row],[JobSatisfaction]]&lt;=2,HR_Data[[#This Row],[YearsAtCompany]]&lt;=2),"High Risk","Normal")</f>
        <v>Normal</v>
      </c>
    </row>
    <row r="516" spans="1:42" x14ac:dyDescent="0.25">
      <c r="A516" s="6">
        <v>33</v>
      </c>
      <c r="B516" s="4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s="11" t="str">
        <f>IF(HR_Data[[#This Row],[Age]]&lt;=25,"18-25",IF(HR_Data[[#This Row],[Age]]&lt;=35,"26-35",IF(HR_Data[[#This Row],[Age]]&lt;=45,"36-45",IF(HR_Data[[#This Row],[Age]]&lt;=55,"46-55","56+"))))</f>
        <v>26-35</v>
      </c>
      <c r="AK516" s="11" t="str">
        <f>IF(HR_Data[[#This Row],[MonthlyIncome]]&lt;3000,"Low",IF(HR_Data[[#This Row],[MonthlyIncome]]&lt;6000,"Medium",IF(HR_Data[[#This Row],[MonthlyIncome]]&lt;10000,"High","Very High")))</f>
        <v>Medium</v>
      </c>
      <c r="AL51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16" t="str">
        <f>IF(HR_Data[[#This Row],[TotalWorkingYears]]&lt;=5,"Junior",IF(HR_Data[[#This Row],[TotalWorkingYears]]&lt;=15,"Mid-Level","Senior"))</f>
        <v>Mid-Level</v>
      </c>
      <c r="AN516" s="11" t="str">
        <f>IF(HR_Data[[#This Row],[PerformanceRating]]=3,"Standard","Excellent")</f>
        <v>Standard</v>
      </c>
      <c r="AO516" s="11" t="str">
        <f>IF(HR_Data[[#This Row],[JobSatisfaction]]&lt;=2,"Low","High")</f>
        <v>Low</v>
      </c>
      <c r="AP516" s="11" t="str">
        <f>IF(AND(HR_Data[[#This Row],[OverTime]]="Yes",HR_Data[[#This Row],[JobSatisfaction]]&lt;=2,HR_Data[[#This Row],[YearsAtCompany]]&lt;=2),"High Risk","Normal")</f>
        <v>Normal</v>
      </c>
    </row>
    <row r="517" spans="1:42" x14ac:dyDescent="0.25">
      <c r="A517" s="6">
        <v>35</v>
      </c>
      <c r="B517" s="4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s="11" t="str">
        <f>IF(HR_Data[[#This Row],[Age]]&lt;=25,"18-25",IF(HR_Data[[#This Row],[Age]]&lt;=35,"26-35",IF(HR_Data[[#This Row],[Age]]&lt;=45,"36-45",IF(HR_Data[[#This Row],[Age]]&lt;=55,"46-55","56+"))))</f>
        <v>26-35</v>
      </c>
      <c r="AK517" s="11" t="str">
        <f>IF(HR_Data[[#This Row],[MonthlyIncome]]&lt;3000,"Low",IF(HR_Data[[#This Row],[MonthlyIncome]]&lt;6000,"Medium",IF(HR_Data[[#This Row],[MonthlyIncome]]&lt;10000,"High","Very High")))</f>
        <v>Low</v>
      </c>
      <c r="AL51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17" t="str">
        <f>IF(HR_Data[[#This Row],[TotalWorkingYears]]&lt;=5,"Junior",IF(HR_Data[[#This Row],[TotalWorkingYears]]&lt;=15,"Mid-Level","Senior"))</f>
        <v>Junior</v>
      </c>
      <c r="AN517" s="11" t="str">
        <f>IF(HR_Data[[#This Row],[PerformanceRating]]=3,"Standard","Excellent")</f>
        <v>Standard</v>
      </c>
      <c r="AO517" s="11" t="str">
        <f>IF(HR_Data[[#This Row],[JobSatisfaction]]&lt;=2,"Low","High")</f>
        <v>High</v>
      </c>
      <c r="AP517" s="11" t="str">
        <f>IF(AND(HR_Data[[#This Row],[OverTime]]="Yes",HR_Data[[#This Row],[JobSatisfaction]]&lt;=2,HR_Data[[#This Row],[YearsAtCompany]]&lt;=2),"High Risk","Normal")</f>
        <v>Normal</v>
      </c>
    </row>
    <row r="518" spans="1:42" x14ac:dyDescent="0.25">
      <c r="A518" s="6">
        <v>23</v>
      </c>
      <c r="B518" s="4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s="11" t="str">
        <f>IF(HR_Data[[#This Row],[Age]]&lt;=25,"18-25",IF(HR_Data[[#This Row],[Age]]&lt;=35,"26-35",IF(HR_Data[[#This Row],[Age]]&lt;=45,"36-45",IF(HR_Data[[#This Row],[Age]]&lt;=55,"46-55","56+"))))</f>
        <v>18-25</v>
      </c>
      <c r="AK518" s="11" t="str">
        <f>IF(HR_Data[[#This Row],[MonthlyIncome]]&lt;3000,"Low",IF(HR_Data[[#This Row],[MonthlyIncome]]&lt;6000,"Medium",IF(HR_Data[[#This Row],[MonthlyIncome]]&lt;10000,"High","Very High")))</f>
        <v>Low</v>
      </c>
      <c r="AL51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18" t="str">
        <f>IF(HR_Data[[#This Row],[TotalWorkingYears]]&lt;=5,"Junior",IF(HR_Data[[#This Row],[TotalWorkingYears]]&lt;=15,"Mid-Level","Senior"))</f>
        <v>Junior</v>
      </c>
      <c r="AN518" s="11" t="str">
        <f>IF(HR_Data[[#This Row],[PerformanceRating]]=3,"Standard","Excellent")</f>
        <v>Standard</v>
      </c>
      <c r="AO518" s="11" t="str">
        <f>IF(HR_Data[[#This Row],[JobSatisfaction]]&lt;=2,"Low","High")</f>
        <v>Low</v>
      </c>
      <c r="AP518" s="11" t="str">
        <f>IF(AND(HR_Data[[#This Row],[OverTime]]="Yes",HR_Data[[#This Row],[JobSatisfaction]]&lt;=2,HR_Data[[#This Row],[YearsAtCompany]]&lt;=2),"High Risk","Normal")</f>
        <v>Normal</v>
      </c>
    </row>
    <row r="519" spans="1:42" x14ac:dyDescent="0.25">
      <c r="A519" s="6">
        <v>25</v>
      </c>
      <c r="B519" s="4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s="11" t="str">
        <f>IF(HR_Data[[#This Row],[Age]]&lt;=25,"18-25",IF(HR_Data[[#This Row],[Age]]&lt;=35,"26-35",IF(HR_Data[[#This Row],[Age]]&lt;=45,"36-45",IF(HR_Data[[#This Row],[Age]]&lt;=55,"46-55","56+"))))</f>
        <v>18-25</v>
      </c>
      <c r="AK519" s="11" t="str">
        <f>IF(HR_Data[[#This Row],[MonthlyIncome]]&lt;3000,"Low",IF(HR_Data[[#This Row],[MonthlyIncome]]&lt;6000,"Medium",IF(HR_Data[[#This Row],[MonthlyIncome]]&lt;10000,"High","Very High")))</f>
        <v>Medium</v>
      </c>
      <c r="AL51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19" t="str">
        <f>IF(HR_Data[[#This Row],[TotalWorkingYears]]&lt;=5,"Junior",IF(HR_Data[[#This Row],[TotalWorkingYears]]&lt;=15,"Mid-Level","Senior"))</f>
        <v>Junior</v>
      </c>
      <c r="AN519" s="11" t="str">
        <f>IF(HR_Data[[#This Row],[PerformanceRating]]=3,"Standard","Excellent")</f>
        <v>Excellent</v>
      </c>
      <c r="AO519" s="11" t="str">
        <f>IF(HR_Data[[#This Row],[JobSatisfaction]]&lt;=2,"Low","High")</f>
        <v>Low</v>
      </c>
      <c r="AP519" s="11" t="str">
        <f>IF(AND(HR_Data[[#This Row],[OverTime]]="Yes",HR_Data[[#This Row],[JobSatisfaction]]&lt;=2,HR_Data[[#This Row],[YearsAtCompany]]&lt;=2),"High Risk","Normal")</f>
        <v>Normal</v>
      </c>
    </row>
    <row r="520" spans="1:42" x14ac:dyDescent="0.25">
      <c r="A520" s="6">
        <v>38</v>
      </c>
      <c r="B520" s="4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s="11" t="str">
        <f>IF(HR_Data[[#This Row],[Age]]&lt;=25,"18-25",IF(HR_Data[[#This Row],[Age]]&lt;=35,"26-35",IF(HR_Data[[#This Row],[Age]]&lt;=45,"36-45",IF(HR_Data[[#This Row],[Age]]&lt;=55,"46-55","56+"))))</f>
        <v>36-45</v>
      </c>
      <c r="AK520" s="11" t="str">
        <f>IF(HR_Data[[#This Row],[MonthlyIncome]]&lt;3000,"Low",IF(HR_Data[[#This Row],[MonthlyIncome]]&lt;6000,"Medium",IF(HR_Data[[#This Row],[MonthlyIncome]]&lt;10000,"High","Very High")))</f>
        <v>Medium</v>
      </c>
      <c r="AL52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20" t="str">
        <f>IF(HR_Data[[#This Row],[TotalWorkingYears]]&lt;=5,"Junior",IF(HR_Data[[#This Row],[TotalWorkingYears]]&lt;=15,"Mid-Level","Senior"))</f>
        <v>Mid-Level</v>
      </c>
      <c r="AN520" s="11" t="str">
        <f>IF(HR_Data[[#This Row],[PerformanceRating]]=3,"Standard","Excellent")</f>
        <v>Excellent</v>
      </c>
      <c r="AO520" s="11" t="str">
        <f>IF(HR_Data[[#This Row],[JobSatisfaction]]&lt;=2,"Low","High")</f>
        <v>High</v>
      </c>
      <c r="AP520" s="11" t="str">
        <f>IF(AND(HR_Data[[#This Row],[OverTime]]="Yes",HR_Data[[#This Row],[JobSatisfaction]]&lt;=2,HR_Data[[#This Row],[YearsAtCompany]]&lt;=2),"High Risk","Normal")</f>
        <v>Normal</v>
      </c>
    </row>
    <row r="521" spans="1:42" x14ac:dyDescent="0.25">
      <c r="A521" s="6">
        <v>29</v>
      </c>
      <c r="B521" s="4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s="11" t="str">
        <f>IF(HR_Data[[#This Row],[Age]]&lt;=25,"18-25",IF(HR_Data[[#This Row],[Age]]&lt;=35,"26-35",IF(HR_Data[[#This Row],[Age]]&lt;=45,"36-45",IF(HR_Data[[#This Row],[Age]]&lt;=55,"46-55","56+"))))</f>
        <v>26-35</v>
      </c>
      <c r="AK521" s="11" t="str">
        <f>IF(HR_Data[[#This Row],[MonthlyIncome]]&lt;3000,"Low",IF(HR_Data[[#This Row],[MonthlyIncome]]&lt;6000,"Medium",IF(HR_Data[[#This Row],[MonthlyIncome]]&lt;10000,"High","Very High")))</f>
        <v>Low</v>
      </c>
      <c r="AL52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21" t="str">
        <f>IF(HR_Data[[#This Row],[TotalWorkingYears]]&lt;=5,"Junior",IF(HR_Data[[#This Row],[TotalWorkingYears]]&lt;=15,"Mid-Level","Senior"))</f>
        <v>Mid-Level</v>
      </c>
      <c r="AN521" s="11" t="str">
        <f>IF(HR_Data[[#This Row],[PerformanceRating]]=3,"Standard","Excellent")</f>
        <v>Standard</v>
      </c>
      <c r="AO521" s="11" t="str">
        <f>IF(HR_Data[[#This Row],[JobSatisfaction]]&lt;=2,"Low","High")</f>
        <v>High</v>
      </c>
      <c r="AP521" s="11" t="str">
        <f>IF(AND(HR_Data[[#This Row],[OverTime]]="Yes",HR_Data[[#This Row],[JobSatisfaction]]&lt;=2,HR_Data[[#This Row],[YearsAtCompany]]&lt;=2),"High Risk","Normal")</f>
        <v>Normal</v>
      </c>
    </row>
    <row r="522" spans="1:42" x14ac:dyDescent="0.25">
      <c r="A522" s="6">
        <v>48</v>
      </c>
      <c r="B522" s="4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s="11" t="str">
        <f>IF(HR_Data[[#This Row],[Age]]&lt;=25,"18-25",IF(HR_Data[[#This Row],[Age]]&lt;=35,"26-35",IF(HR_Data[[#This Row],[Age]]&lt;=45,"36-45",IF(HR_Data[[#This Row],[Age]]&lt;=55,"46-55","56+"))))</f>
        <v>46-55</v>
      </c>
      <c r="AK522" s="11" t="str">
        <f>IF(HR_Data[[#This Row],[MonthlyIncome]]&lt;3000,"Low",IF(HR_Data[[#This Row],[MonthlyIncome]]&lt;6000,"Medium",IF(HR_Data[[#This Row],[MonthlyIncome]]&lt;10000,"High","Very High")))</f>
        <v>High</v>
      </c>
      <c r="AL52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22" t="str">
        <f>IF(HR_Data[[#This Row],[TotalWorkingYears]]&lt;=5,"Junior",IF(HR_Data[[#This Row],[TotalWorkingYears]]&lt;=15,"Mid-Level","Senior"))</f>
        <v>Mid-Level</v>
      </c>
      <c r="AN522" s="11" t="str">
        <f>IF(HR_Data[[#This Row],[PerformanceRating]]=3,"Standard","Excellent")</f>
        <v>Standard</v>
      </c>
      <c r="AO522" s="11" t="str">
        <f>IF(HR_Data[[#This Row],[JobSatisfaction]]&lt;=2,"Low","High")</f>
        <v>Low</v>
      </c>
      <c r="AP522" s="11" t="str">
        <f>IF(AND(HR_Data[[#This Row],[OverTime]]="Yes",HR_Data[[#This Row],[JobSatisfaction]]&lt;=2,HR_Data[[#This Row],[YearsAtCompany]]&lt;=2),"High Risk","Normal")</f>
        <v>Normal</v>
      </c>
    </row>
    <row r="523" spans="1:42" x14ac:dyDescent="0.25">
      <c r="A523" s="6">
        <v>27</v>
      </c>
      <c r="B523" s="4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s="11" t="str">
        <f>IF(HR_Data[[#This Row],[Age]]&lt;=25,"18-25",IF(HR_Data[[#This Row],[Age]]&lt;=35,"26-35",IF(HR_Data[[#This Row],[Age]]&lt;=45,"36-45",IF(HR_Data[[#This Row],[Age]]&lt;=55,"46-55","56+"))))</f>
        <v>26-35</v>
      </c>
      <c r="AK523" s="11" t="str">
        <f>IF(HR_Data[[#This Row],[MonthlyIncome]]&lt;3000,"Low",IF(HR_Data[[#This Row],[MonthlyIncome]]&lt;6000,"Medium",IF(HR_Data[[#This Row],[MonthlyIncome]]&lt;10000,"High","Very High")))</f>
        <v>Medium</v>
      </c>
      <c r="AL52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23" t="str">
        <f>IF(HR_Data[[#This Row],[TotalWorkingYears]]&lt;=5,"Junior",IF(HR_Data[[#This Row],[TotalWorkingYears]]&lt;=15,"Mid-Level","Senior"))</f>
        <v>Mid-Level</v>
      </c>
      <c r="AN523" s="11" t="str">
        <f>IF(HR_Data[[#This Row],[PerformanceRating]]=3,"Standard","Excellent")</f>
        <v>Excellent</v>
      </c>
      <c r="AO523" s="11" t="str">
        <f>IF(HR_Data[[#This Row],[JobSatisfaction]]&lt;=2,"Low","High")</f>
        <v>High</v>
      </c>
      <c r="AP523" s="11" t="str">
        <f>IF(AND(HR_Data[[#This Row],[OverTime]]="Yes",HR_Data[[#This Row],[JobSatisfaction]]&lt;=2,HR_Data[[#This Row],[YearsAtCompany]]&lt;=2),"High Risk","Normal")</f>
        <v>Normal</v>
      </c>
    </row>
    <row r="524" spans="1:42" x14ac:dyDescent="0.25">
      <c r="A524" s="6">
        <v>37</v>
      </c>
      <c r="B524" s="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s="11" t="str">
        <f>IF(HR_Data[[#This Row],[Age]]&lt;=25,"18-25",IF(HR_Data[[#This Row],[Age]]&lt;=35,"26-35",IF(HR_Data[[#This Row],[Age]]&lt;=45,"36-45",IF(HR_Data[[#This Row],[Age]]&lt;=55,"46-55","56+"))))</f>
        <v>36-45</v>
      </c>
      <c r="AK524" s="11" t="str">
        <f>IF(HR_Data[[#This Row],[MonthlyIncome]]&lt;3000,"Low",IF(HR_Data[[#This Row],[MonthlyIncome]]&lt;6000,"Medium",IF(HR_Data[[#This Row],[MonthlyIncome]]&lt;10000,"High","Very High")))</f>
        <v>Medium</v>
      </c>
      <c r="AL52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24" t="str">
        <f>IF(HR_Data[[#This Row],[TotalWorkingYears]]&lt;=5,"Junior",IF(HR_Data[[#This Row],[TotalWorkingYears]]&lt;=15,"Mid-Level","Senior"))</f>
        <v>Junior</v>
      </c>
      <c r="AN524" s="11" t="str">
        <f>IF(HR_Data[[#This Row],[PerformanceRating]]=3,"Standard","Excellent")</f>
        <v>Standard</v>
      </c>
      <c r="AO524" s="11" t="str">
        <f>IF(HR_Data[[#This Row],[JobSatisfaction]]&lt;=2,"Low","High")</f>
        <v>High</v>
      </c>
      <c r="AP524" s="11" t="str">
        <f>IF(AND(HR_Data[[#This Row],[OverTime]]="Yes",HR_Data[[#This Row],[JobSatisfaction]]&lt;=2,HR_Data[[#This Row],[YearsAtCompany]]&lt;=2),"High Risk","Normal")</f>
        <v>Normal</v>
      </c>
    </row>
    <row r="525" spans="1:42" x14ac:dyDescent="0.25">
      <c r="A525" s="6">
        <v>50</v>
      </c>
      <c r="B525" s="4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s="11" t="str">
        <f>IF(HR_Data[[#This Row],[Age]]&lt;=25,"18-25",IF(HR_Data[[#This Row],[Age]]&lt;=35,"26-35",IF(HR_Data[[#This Row],[Age]]&lt;=45,"36-45",IF(HR_Data[[#This Row],[Age]]&lt;=55,"46-55","56+"))))</f>
        <v>46-55</v>
      </c>
      <c r="AK525" s="11" t="str">
        <f>IF(HR_Data[[#This Row],[MonthlyIncome]]&lt;3000,"Low",IF(HR_Data[[#This Row],[MonthlyIncome]]&lt;6000,"Medium",IF(HR_Data[[#This Row],[MonthlyIncome]]&lt;10000,"High","Very High")))</f>
        <v>Medium</v>
      </c>
      <c r="AL52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525" t="str">
        <f>IF(HR_Data[[#This Row],[TotalWorkingYears]]&lt;=5,"Junior",IF(HR_Data[[#This Row],[TotalWorkingYears]]&lt;=15,"Mid-Level","Senior"))</f>
        <v>Senior</v>
      </c>
      <c r="AN525" s="11" t="str">
        <f>IF(HR_Data[[#This Row],[PerformanceRating]]=3,"Standard","Excellent")</f>
        <v>Standard</v>
      </c>
      <c r="AO525" s="11" t="str">
        <f>IF(HR_Data[[#This Row],[JobSatisfaction]]&lt;=2,"Low","High")</f>
        <v>High</v>
      </c>
      <c r="AP525" s="11" t="str">
        <f>IF(AND(HR_Data[[#This Row],[OverTime]]="Yes",HR_Data[[#This Row],[JobSatisfaction]]&lt;=2,HR_Data[[#This Row],[YearsAtCompany]]&lt;=2),"High Risk","Normal")</f>
        <v>Normal</v>
      </c>
    </row>
    <row r="526" spans="1:42" x14ac:dyDescent="0.25">
      <c r="A526" s="6">
        <v>34</v>
      </c>
      <c r="B526" s="4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s="11" t="str">
        <f>IF(HR_Data[[#This Row],[Age]]&lt;=25,"18-25",IF(HR_Data[[#This Row],[Age]]&lt;=35,"26-35",IF(HR_Data[[#This Row],[Age]]&lt;=45,"36-45",IF(HR_Data[[#This Row],[Age]]&lt;=55,"46-55","56+"))))</f>
        <v>26-35</v>
      </c>
      <c r="AK526" s="11" t="str">
        <f>IF(HR_Data[[#This Row],[MonthlyIncome]]&lt;3000,"Low",IF(HR_Data[[#This Row],[MonthlyIncome]]&lt;6000,"Medium",IF(HR_Data[[#This Row],[MonthlyIncome]]&lt;10000,"High","Very High")))</f>
        <v>High</v>
      </c>
      <c r="AL52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26" t="str">
        <f>IF(HR_Data[[#This Row],[TotalWorkingYears]]&lt;=5,"Junior",IF(HR_Data[[#This Row],[TotalWorkingYears]]&lt;=15,"Mid-Level","Senior"))</f>
        <v>Mid-Level</v>
      </c>
      <c r="AN526" s="11" t="str">
        <f>IF(HR_Data[[#This Row],[PerformanceRating]]=3,"Standard","Excellent")</f>
        <v>Standard</v>
      </c>
      <c r="AO526" s="11" t="str">
        <f>IF(HR_Data[[#This Row],[JobSatisfaction]]&lt;=2,"Low","High")</f>
        <v>Low</v>
      </c>
      <c r="AP526" s="11" t="str">
        <f>IF(AND(HR_Data[[#This Row],[OverTime]]="Yes",HR_Data[[#This Row],[JobSatisfaction]]&lt;=2,HR_Data[[#This Row],[YearsAtCompany]]&lt;=2),"High Risk","Normal")</f>
        <v>Normal</v>
      </c>
    </row>
    <row r="527" spans="1:42" x14ac:dyDescent="0.25">
      <c r="A527" s="6">
        <v>24</v>
      </c>
      <c r="B527" s="4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s="11" t="str">
        <f>IF(HR_Data[[#This Row],[Age]]&lt;=25,"18-25",IF(HR_Data[[#This Row],[Age]]&lt;=35,"26-35",IF(HR_Data[[#This Row],[Age]]&lt;=45,"36-45",IF(HR_Data[[#This Row],[Age]]&lt;=55,"46-55","56+"))))</f>
        <v>18-25</v>
      </c>
      <c r="AK527" s="11" t="str">
        <f>IF(HR_Data[[#This Row],[MonthlyIncome]]&lt;3000,"Low",IF(HR_Data[[#This Row],[MonthlyIncome]]&lt;6000,"Medium",IF(HR_Data[[#This Row],[MonthlyIncome]]&lt;10000,"High","Very High")))</f>
        <v>Medium</v>
      </c>
      <c r="AL52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27" t="str">
        <f>IF(HR_Data[[#This Row],[TotalWorkingYears]]&lt;=5,"Junior",IF(HR_Data[[#This Row],[TotalWorkingYears]]&lt;=15,"Mid-Level","Senior"))</f>
        <v>Junior</v>
      </c>
      <c r="AN527" s="11" t="str">
        <f>IF(HR_Data[[#This Row],[PerformanceRating]]=3,"Standard","Excellent")</f>
        <v>Standard</v>
      </c>
      <c r="AO527" s="11" t="str">
        <f>IF(HR_Data[[#This Row],[JobSatisfaction]]&lt;=2,"Low","High")</f>
        <v>High</v>
      </c>
      <c r="AP527" s="11" t="str">
        <f>IF(AND(HR_Data[[#This Row],[OverTime]]="Yes",HR_Data[[#This Row],[JobSatisfaction]]&lt;=2,HR_Data[[#This Row],[YearsAtCompany]]&lt;=2),"High Risk","Normal")</f>
        <v>Normal</v>
      </c>
    </row>
    <row r="528" spans="1:42" x14ac:dyDescent="0.25">
      <c r="A528" s="6">
        <v>39</v>
      </c>
      <c r="B528" s="4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s="11" t="str">
        <f>IF(HR_Data[[#This Row],[Age]]&lt;=25,"18-25",IF(HR_Data[[#This Row],[Age]]&lt;=35,"26-35",IF(HR_Data[[#This Row],[Age]]&lt;=45,"36-45",IF(HR_Data[[#This Row],[Age]]&lt;=55,"46-55","56+"))))</f>
        <v>36-45</v>
      </c>
      <c r="AK528" s="11" t="str">
        <f>IF(HR_Data[[#This Row],[MonthlyIncome]]&lt;3000,"Low",IF(HR_Data[[#This Row],[MonthlyIncome]]&lt;6000,"Medium",IF(HR_Data[[#This Row],[MonthlyIncome]]&lt;10000,"High","Very High")))</f>
        <v>Medium</v>
      </c>
      <c r="AL52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528" t="str">
        <f>IF(HR_Data[[#This Row],[TotalWorkingYears]]&lt;=5,"Junior",IF(HR_Data[[#This Row],[TotalWorkingYears]]&lt;=15,"Mid-Level","Senior"))</f>
        <v>Senior</v>
      </c>
      <c r="AN528" s="11" t="str">
        <f>IF(HR_Data[[#This Row],[PerformanceRating]]=3,"Standard","Excellent")</f>
        <v>Standard</v>
      </c>
      <c r="AO528" s="11" t="str">
        <f>IF(HR_Data[[#This Row],[JobSatisfaction]]&lt;=2,"Low","High")</f>
        <v>High</v>
      </c>
      <c r="AP528" s="11" t="str">
        <f>IF(AND(HR_Data[[#This Row],[OverTime]]="Yes",HR_Data[[#This Row],[JobSatisfaction]]&lt;=2,HR_Data[[#This Row],[YearsAtCompany]]&lt;=2),"High Risk","Normal")</f>
        <v>Normal</v>
      </c>
    </row>
    <row r="529" spans="1:42" x14ac:dyDescent="0.25">
      <c r="A529" s="6">
        <v>32</v>
      </c>
      <c r="B529" s="4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s="11" t="str">
        <f>IF(HR_Data[[#This Row],[Age]]&lt;=25,"18-25",IF(HR_Data[[#This Row],[Age]]&lt;=35,"26-35",IF(HR_Data[[#This Row],[Age]]&lt;=45,"36-45",IF(HR_Data[[#This Row],[Age]]&lt;=55,"46-55","56+"))))</f>
        <v>26-35</v>
      </c>
      <c r="AK529" s="11" t="str">
        <f>IF(HR_Data[[#This Row],[MonthlyIncome]]&lt;3000,"Low",IF(HR_Data[[#This Row],[MonthlyIncome]]&lt;6000,"Medium",IF(HR_Data[[#This Row],[MonthlyIncome]]&lt;10000,"High","Very High")))</f>
        <v>Medium</v>
      </c>
      <c r="AL52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29" t="str">
        <f>IF(HR_Data[[#This Row],[TotalWorkingYears]]&lt;=5,"Junior",IF(HR_Data[[#This Row],[TotalWorkingYears]]&lt;=15,"Mid-Level","Senior"))</f>
        <v>Mid-Level</v>
      </c>
      <c r="AN529" s="11" t="str">
        <f>IF(HR_Data[[#This Row],[PerformanceRating]]=3,"Standard","Excellent")</f>
        <v>Standard</v>
      </c>
      <c r="AO529" s="11" t="str">
        <f>IF(HR_Data[[#This Row],[JobSatisfaction]]&lt;=2,"Low","High")</f>
        <v>High</v>
      </c>
      <c r="AP529" s="11" t="str">
        <f>IF(AND(HR_Data[[#This Row],[OverTime]]="Yes",HR_Data[[#This Row],[JobSatisfaction]]&lt;=2,HR_Data[[#This Row],[YearsAtCompany]]&lt;=2),"High Risk","Normal")</f>
        <v>Normal</v>
      </c>
    </row>
    <row r="530" spans="1:42" x14ac:dyDescent="0.25">
      <c r="A530" s="6">
        <v>50</v>
      </c>
      <c r="B530" s="4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s="11" t="str">
        <f>IF(HR_Data[[#This Row],[Age]]&lt;=25,"18-25",IF(HR_Data[[#This Row],[Age]]&lt;=35,"26-35",IF(HR_Data[[#This Row],[Age]]&lt;=45,"36-45",IF(HR_Data[[#This Row],[Age]]&lt;=55,"46-55","56+"))))</f>
        <v>46-55</v>
      </c>
      <c r="AK530" s="11" t="str">
        <f>IF(HR_Data[[#This Row],[MonthlyIncome]]&lt;3000,"Low",IF(HR_Data[[#This Row],[MonthlyIncome]]&lt;6000,"Medium",IF(HR_Data[[#This Row],[MonthlyIncome]]&lt;10000,"High","Very High")))</f>
        <v>High</v>
      </c>
      <c r="AL53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30" t="str">
        <f>IF(HR_Data[[#This Row],[TotalWorkingYears]]&lt;=5,"Junior",IF(HR_Data[[#This Row],[TotalWorkingYears]]&lt;=15,"Mid-Level","Senior"))</f>
        <v>Senior</v>
      </c>
      <c r="AN530" s="11" t="str">
        <f>IF(HR_Data[[#This Row],[PerformanceRating]]=3,"Standard","Excellent")</f>
        <v>Standard</v>
      </c>
      <c r="AO530" s="11" t="str">
        <f>IF(HR_Data[[#This Row],[JobSatisfaction]]&lt;=2,"Low","High")</f>
        <v>High</v>
      </c>
      <c r="AP530" s="11" t="str">
        <f>IF(AND(HR_Data[[#This Row],[OverTime]]="Yes",HR_Data[[#This Row],[JobSatisfaction]]&lt;=2,HR_Data[[#This Row],[YearsAtCompany]]&lt;=2),"High Risk","Normal")</f>
        <v>Normal</v>
      </c>
    </row>
    <row r="531" spans="1:42" x14ac:dyDescent="0.25">
      <c r="A531" s="6">
        <v>38</v>
      </c>
      <c r="B531" s="4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s="11" t="str">
        <f>IF(HR_Data[[#This Row],[Age]]&lt;=25,"18-25",IF(HR_Data[[#This Row],[Age]]&lt;=35,"26-35",IF(HR_Data[[#This Row],[Age]]&lt;=45,"36-45",IF(HR_Data[[#This Row],[Age]]&lt;=55,"46-55","56+"))))</f>
        <v>36-45</v>
      </c>
      <c r="AK531" s="11" t="str">
        <f>IF(HR_Data[[#This Row],[MonthlyIncome]]&lt;3000,"Low",IF(HR_Data[[#This Row],[MonthlyIncome]]&lt;6000,"Medium",IF(HR_Data[[#This Row],[MonthlyIncome]]&lt;10000,"High","Very High")))</f>
        <v>High</v>
      </c>
      <c r="AL53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31" t="str">
        <f>IF(HR_Data[[#This Row],[TotalWorkingYears]]&lt;=5,"Junior",IF(HR_Data[[#This Row],[TotalWorkingYears]]&lt;=15,"Mid-Level","Senior"))</f>
        <v>Mid-Level</v>
      </c>
      <c r="AN531" s="11" t="str">
        <f>IF(HR_Data[[#This Row],[PerformanceRating]]=3,"Standard","Excellent")</f>
        <v>Standard</v>
      </c>
      <c r="AO531" s="11" t="str">
        <f>IF(HR_Data[[#This Row],[JobSatisfaction]]&lt;=2,"Low","High")</f>
        <v>High</v>
      </c>
      <c r="AP531" s="11" t="str">
        <f>IF(AND(HR_Data[[#This Row],[OverTime]]="Yes",HR_Data[[#This Row],[JobSatisfaction]]&lt;=2,HR_Data[[#This Row],[YearsAtCompany]]&lt;=2),"High Risk","Normal")</f>
        <v>Normal</v>
      </c>
    </row>
    <row r="532" spans="1:42" x14ac:dyDescent="0.25">
      <c r="A532" s="6">
        <v>27</v>
      </c>
      <c r="B532" s="4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s="11" t="str">
        <f>IF(HR_Data[[#This Row],[Age]]&lt;=25,"18-25",IF(HR_Data[[#This Row],[Age]]&lt;=35,"26-35",IF(HR_Data[[#This Row],[Age]]&lt;=45,"36-45",IF(HR_Data[[#This Row],[Age]]&lt;=55,"46-55","56+"))))</f>
        <v>26-35</v>
      </c>
      <c r="AK532" s="11" t="str">
        <f>IF(HR_Data[[#This Row],[MonthlyIncome]]&lt;3000,"Low",IF(HR_Data[[#This Row],[MonthlyIncome]]&lt;6000,"Medium",IF(HR_Data[[#This Row],[MonthlyIncome]]&lt;10000,"High","Very High")))</f>
        <v>High</v>
      </c>
      <c r="AL53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32" t="str">
        <f>IF(HR_Data[[#This Row],[TotalWorkingYears]]&lt;=5,"Junior",IF(HR_Data[[#This Row],[TotalWorkingYears]]&lt;=15,"Mid-Level","Senior"))</f>
        <v>Mid-Level</v>
      </c>
      <c r="AN532" s="11" t="str">
        <f>IF(HR_Data[[#This Row],[PerformanceRating]]=3,"Standard","Excellent")</f>
        <v>Standard</v>
      </c>
      <c r="AO532" s="11" t="str">
        <f>IF(HR_Data[[#This Row],[JobSatisfaction]]&lt;=2,"Low","High")</f>
        <v>Low</v>
      </c>
      <c r="AP532" s="11" t="str">
        <f>IF(AND(HR_Data[[#This Row],[OverTime]]="Yes",HR_Data[[#This Row],[JobSatisfaction]]&lt;=2,HR_Data[[#This Row],[YearsAtCompany]]&lt;=2),"High Risk","Normal")</f>
        <v>Normal</v>
      </c>
    </row>
    <row r="533" spans="1:42" x14ac:dyDescent="0.25">
      <c r="A533" s="6">
        <v>32</v>
      </c>
      <c r="B533" s="4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s="11" t="str">
        <f>IF(HR_Data[[#This Row],[Age]]&lt;=25,"18-25",IF(HR_Data[[#This Row],[Age]]&lt;=35,"26-35",IF(HR_Data[[#This Row],[Age]]&lt;=45,"36-45",IF(HR_Data[[#This Row],[Age]]&lt;=55,"46-55","56+"))))</f>
        <v>26-35</v>
      </c>
      <c r="AK533" s="11" t="str">
        <f>IF(HR_Data[[#This Row],[MonthlyIncome]]&lt;3000,"Low",IF(HR_Data[[#This Row],[MonthlyIncome]]&lt;6000,"Medium",IF(HR_Data[[#This Row],[MonthlyIncome]]&lt;10000,"High","Very High")))</f>
        <v>Very High</v>
      </c>
      <c r="AL53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33" t="str">
        <f>IF(HR_Data[[#This Row],[TotalWorkingYears]]&lt;=5,"Junior",IF(HR_Data[[#This Row],[TotalWorkingYears]]&lt;=15,"Mid-Level","Senior"))</f>
        <v>Mid-Level</v>
      </c>
      <c r="AN533" s="11" t="str">
        <f>IF(HR_Data[[#This Row],[PerformanceRating]]=3,"Standard","Excellent")</f>
        <v>Standard</v>
      </c>
      <c r="AO533" s="11" t="str">
        <f>IF(HR_Data[[#This Row],[JobSatisfaction]]&lt;=2,"Low","High")</f>
        <v>High</v>
      </c>
      <c r="AP533" s="11" t="str">
        <f>IF(AND(HR_Data[[#This Row],[OverTime]]="Yes",HR_Data[[#This Row],[JobSatisfaction]]&lt;=2,HR_Data[[#This Row],[YearsAtCompany]]&lt;=2),"High Risk","Normal")</f>
        <v>Normal</v>
      </c>
    </row>
    <row r="534" spans="1:42" x14ac:dyDescent="0.25">
      <c r="A534" s="6">
        <v>47</v>
      </c>
      <c r="B534" s="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s="11" t="str">
        <f>IF(HR_Data[[#This Row],[Age]]&lt;=25,"18-25",IF(HR_Data[[#This Row],[Age]]&lt;=35,"26-35",IF(HR_Data[[#This Row],[Age]]&lt;=45,"36-45",IF(HR_Data[[#This Row],[Age]]&lt;=55,"46-55","56+"))))</f>
        <v>46-55</v>
      </c>
      <c r="AK534" s="11" t="str">
        <f>IF(HR_Data[[#This Row],[MonthlyIncome]]&lt;3000,"Low",IF(HR_Data[[#This Row],[MonthlyIncome]]&lt;6000,"Medium",IF(HR_Data[[#This Row],[MonthlyIncome]]&lt;10000,"High","Very High")))</f>
        <v>Medium</v>
      </c>
      <c r="AL53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34" t="str">
        <f>IF(HR_Data[[#This Row],[TotalWorkingYears]]&lt;=5,"Junior",IF(HR_Data[[#This Row],[TotalWorkingYears]]&lt;=15,"Mid-Level","Senior"))</f>
        <v>Senior</v>
      </c>
      <c r="AN534" s="11" t="str">
        <f>IF(HR_Data[[#This Row],[PerformanceRating]]=3,"Standard","Excellent")</f>
        <v>Standard</v>
      </c>
      <c r="AO534" s="11" t="str">
        <f>IF(HR_Data[[#This Row],[JobSatisfaction]]&lt;=2,"Low","High")</f>
        <v>Low</v>
      </c>
      <c r="AP534" s="11" t="str">
        <f>IF(AND(HR_Data[[#This Row],[OverTime]]="Yes",HR_Data[[#This Row],[JobSatisfaction]]&lt;=2,HR_Data[[#This Row],[YearsAtCompany]]&lt;=2),"High Risk","Normal")</f>
        <v>Normal</v>
      </c>
    </row>
    <row r="535" spans="1:42" x14ac:dyDescent="0.25">
      <c r="A535" s="6">
        <v>40</v>
      </c>
      <c r="B535" s="4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s="11" t="str">
        <f>IF(HR_Data[[#This Row],[Age]]&lt;=25,"18-25",IF(HR_Data[[#This Row],[Age]]&lt;=35,"26-35",IF(HR_Data[[#This Row],[Age]]&lt;=45,"36-45",IF(HR_Data[[#This Row],[Age]]&lt;=55,"46-55","56+"))))</f>
        <v>36-45</v>
      </c>
      <c r="AK535" s="11" t="str">
        <f>IF(HR_Data[[#This Row],[MonthlyIncome]]&lt;3000,"Low",IF(HR_Data[[#This Row],[MonthlyIncome]]&lt;6000,"Medium",IF(HR_Data[[#This Row],[MonthlyIncome]]&lt;10000,"High","Very High")))</f>
        <v>Very High</v>
      </c>
      <c r="AL53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535" t="str">
        <f>IF(HR_Data[[#This Row],[TotalWorkingYears]]&lt;=5,"Junior",IF(HR_Data[[#This Row],[TotalWorkingYears]]&lt;=15,"Mid-Level","Senior"))</f>
        <v>Senior</v>
      </c>
      <c r="AN535" s="11" t="str">
        <f>IF(HR_Data[[#This Row],[PerformanceRating]]=3,"Standard","Excellent")</f>
        <v>Excellent</v>
      </c>
      <c r="AO535" s="11" t="str">
        <f>IF(HR_Data[[#This Row],[JobSatisfaction]]&lt;=2,"Low","High")</f>
        <v>Low</v>
      </c>
      <c r="AP535" s="11" t="str">
        <f>IF(AND(HR_Data[[#This Row],[OverTime]]="Yes",HR_Data[[#This Row],[JobSatisfaction]]&lt;=2,HR_Data[[#This Row],[YearsAtCompany]]&lt;=2),"High Risk","Normal")</f>
        <v>Normal</v>
      </c>
    </row>
    <row r="536" spans="1:42" x14ac:dyDescent="0.25">
      <c r="A536" s="6">
        <v>53</v>
      </c>
      <c r="B536" s="4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s="11" t="str">
        <f>IF(HR_Data[[#This Row],[Age]]&lt;=25,"18-25",IF(HR_Data[[#This Row],[Age]]&lt;=35,"26-35",IF(HR_Data[[#This Row],[Age]]&lt;=45,"36-45",IF(HR_Data[[#This Row],[Age]]&lt;=55,"46-55","56+"))))</f>
        <v>46-55</v>
      </c>
      <c r="AK536" s="11" t="str">
        <f>IF(HR_Data[[#This Row],[MonthlyIncome]]&lt;3000,"Low",IF(HR_Data[[#This Row],[MonthlyIncome]]&lt;6000,"Medium",IF(HR_Data[[#This Row],[MonthlyIncome]]&lt;10000,"High","Very High")))</f>
        <v>Very High</v>
      </c>
      <c r="AL53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36" t="str">
        <f>IF(HR_Data[[#This Row],[TotalWorkingYears]]&lt;=5,"Junior",IF(HR_Data[[#This Row],[TotalWorkingYears]]&lt;=15,"Mid-Level","Senior"))</f>
        <v>Senior</v>
      </c>
      <c r="AN536" s="11" t="str">
        <f>IF(HR_Data[[#This Row],[PerformanceRating]]=3,"Standard","Excellent")</f>
        <v>Standard</v>
      </c>
      <c r="AO536" s="11" t="str">
        <f>IF(HR_Data[[#This Row],[JobSatisfaction]]&lt;=2,"Low","High")</f>
        <v>High</v>
      </c>
      <c r="AP536" s="11" t="str">
        <f>IF(AND(HR_Data[[#This Row],[OverTime]]="Yes",HR_Data[[#This Row],[JobSatisfaction]]&lt;=2,HR_Data[[#This Row],[YearsAtCompany]]&lt;=2),"High Risk","Normal")</f>
        <v>Normal</v>
      </c>
    </row>
    <row r="537" spans="1:42" x14ac:dyDescent="0.25">
      <c r="A537" s="6">
        <v>41</v>
      </c>
      <c r="B537" s="4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s="11" t="str">
        <f>IF(HR_Data[[#This Row],[Age]]&lt;=25,"18-25",IF(HR_Data[[#This Row],[Age]]&lt;=35,"26-35",IF(HR_Data[[#This Row],[Age]]&lt;=45,"36-45",IF(HR_Data[[#This Row],[Age]]&lt;=55,"46-55","56+"))))</f>
        <v>36-45</v>
      </c>
      <c r="AK537" s="11" t="str">
        <f>IF(HR_Data[[#This Row],[MonthlyIncome]]&lt;3000,"Low",IF(HR_Data[[#This Row],[MonthlyIncome]]&lt;6000,"Medium",IF(HR_Data[[#This Row],[MonthlyIncome]]&lt;10000,"High","Very High")))</f>
        <v>Very High</v>
      </c>
      <c r="AL53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537" t="str">
        <f>IF(HR_Data[[#This Row],[TotalWorkingYears]]&lt;=5,"Junior",IF(HR_Data[[#This Row],[TotalWorkingYears]]&lt;=15,"Mid-Level","Senior"))</f>
        <v>Senior</v>
      </c>
      <c r="AN537" s="11" t="str">
        <f>IF(HR_Data[[#This Row],[PerformanceRating]]=3,"Standard","Excellent")</f>
        <v>Standard</v>
      </c>
      <c r="AO537" s="11" t="str">
        <f>IF(HR_Data[[#This Row],[JobSatisfaction]]&lt;=2,"Low","High")</f>
        <v>High</v>
      </c>
      <c r="AP537" s="11" t="str">
        <f>IF(AND(HR_Data[[#This Row],[OverTime]]="Yes",HR_Data[[#This Row],[JobSatisfaction]]&lt;=2,HR_Data[[#This Row],[YearsAtCompany]]&lt;=2),"High Risk","Normal")</f>
        <v>Normal</v>
      </c>
    </row>
    <row r="538" spans="1:42" x14ac:dyDescent="0.25">
      <c r="A538" s="6">
        <v>60</v>
      </c>
      <c r="B538" s="4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s="11" t="str">
        <f>IF(HR_Data[[#This Row],[Age]]&lt;=25,"18-25",IF(HR_Data[[#This Row],[Age]]&lt;=35,"26-35",IF(HR_Data[[#This Row],[Age]]&lt;=45,"36-45",IF(HR_Data[[#This Row],[Age]]&lt;=55,"46-55","56+"))))</f>
        <v>56+</v>
      </c>
      <c r="AK538" s="11" t="str">
        <f>IF(HR_Data[[#This Row],[MonthlyIncome]]&lt;3000,"Low",IF(HR_Data[[#This Row],[MonthlyIncome]]&lt;6000,"Medium",IF(HR_Data[[#This Row],[MonthlyIncome]]&lt;10000,"High","Very High")))</f>
        <v>Medium</v>
      </c>
      <c r="AL53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38" t="str">
        <f>IF(HR_Data[[#This Row],[TotalWorkingYears]]&lt;=5,"Junior",IF(HR_Data[[#This Row],[TotalWorkingYears]]&lt;=15,"Mid-Level","Senior"))</f>
        <v>Mid-Level</v>
      </c>
      <c r="AN538" s="11" t="str">
        <f>IF(HR_Data[[#This Row],[PerformanceRating]]=3,"Standard","Excellent")</f>
        <v>Standard</v>
      </c>
      <c r="AO538" s="11" t="str">
        <f>IF(HR_Data[[#This Row],[JobSatisfaction]]&lt;=2,"Low","High")</f>
        <v>Low</v>
      </c>
      <c r="AP538" s="11" t="str">
        <f>IF(AND(HR_Data[[#This Row],[OverTime]]="Yes",HR_Data[[#This Row],[JobSatisfaction]]&lt;=2,HR_Data[[#This Row],[YearsAtCompany]]&lt;=2),"High Risk","Normal")</f>
        <v>Normal</v>
      </c>
    </row>
    <row r="539" spans="1:42" x14ac:dyDescent="0.25">
      <c r="A539" s="6">
        <v>27</v>
      </c>
      <c r="B539" s="4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s="11" t="str">
        <f>IF(HR_Data[[#This Row],[Age]]&lt;=25,"18-25",IF(HR_Data[[#This Row],[Age]]&lt;=35,"26-35",IF(HR_Data[[#This Row],[Age]]&lt;=45,"36-45",IF(HR_Data[[#This Row],[Age]]&lt;=55,"46-55","56+"))))</f>
        <v>26-35</v>
      </c>
      <c r="AK539" s="11" t="str">
        <f>IF(HR_Data[[#This Row],[MonthlyIncome]]&lt;3000,"Low",IF(HR_Data[[#This Row],[MonthlyIncome]]&lt;6000,"Medium",IF(HR_Data[[#This Row],[MonthlyIncome]]&lt;10000,"High","Very High")))</f>
        <v>High</v>
      </c>
      <c r="AL53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39" t="str">
        <f>IF(HR_Data[[#This Row],[TotalWorkingYears]]&lt;=5,"Junior",IF(HR_Data[[#This Row],[TotalWorkingYears]]&lt;=15,"Mid-Level","Senior"))</f>
        <v>Mid-Level</v>
      </c>
      <c r="AN539" s="11" t="str">
        <f>IF(HR_Data[[#This Row],[PerformanceRating]]=3,"Standard","Excellent")</f>
        <v>Excellent</v>
      </c>
      <c r="AO539" s="11" t="str">
        <f>IF(HR_Data[[#This Row],[JobSatisfaction]]&lt;=2,"Low","High")</f>
        <v>Low</v>
      </c>
      <c r="AP539" s="11" t="str">
        <f>IF(AND(HR_Data[[#This Row],[OverTime]]="Yes",HR_Data[[#This Row],[JobSatisfaction]]&lt;=2,HR_Data[[#This Row],[YearsAtCompany]]&lt;=2),"High Risk","Normal")</f>
        <v>Normal</v>
      </c>
    </row>
    <row r="540" spans="1:42" x14ac:dyDescent="0.25">
      <c r="A540" s="6">
        <v>41</v>
      </c>
      <c r="B540" s="4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s="11" t="str">
        <f>IF(HR_Data[[#This Row],[Age]]&lt;=25,"18-25",IF(HR_Data[[#This Row],[Age]]&lt;=35,"26-35",IF(HR_Data[[#This Row],[Age]]&lt;=45,"36-45",IF(HR_Data[[#This Row],[Age]]&lt;=55,"46-55","56+"))))</f>
        <v>36-45</v>
      </c>
      <c r="AK540" s="11" t="str">
        <f>IF(HR_Data[[#This Row],[MonthlyIncome]]&lt;3000,"Low",IF(HR_Data[[#This Row],[MonthlyIncome]]&lt;6000,"Medium",IF(HR_Data[[#This Row],[MonthlyIncome]]&lt;10000,"High","Very High")))</f>
        <v>Very High</v>
      </c>
      <c r="AL54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540" t="str">
        <f>IF(HR_Data[[#This Row],[TotalWorkingYears]]&lt;=5,"Junior",IF(HR_Data[[#This Row],[TotalWorkingYears]]&lt;=15,"Mid-Level","Senior"))</f>
        <v>Senior</v>
      </c>
      <c r="AN540" s="11" t="str">
        <f>IF(HR_Data[[#This Row],[PerformanceRating]]=3,"Standard","Excellent")</f>
        <v>Standard</v>
      </c>
      <c r="AO540" s="11" t="str">
        <f>IF(HR_Data[[#This Row],[JobSatisfaction]]&lt;=2,"Low","High")</f>
        <v>High</v>
      </c>
      <c r="AP540" s="11" t="str">
        <f>IF(AND(HR_Data[[#This Row],[OverTime]]="Yes",HR_Data[[#This Row],[JobSatisfaction]]&lt;=2,HR_Data[[#This Row],[YearsAtCompany]]&lt;=2),"High Risk","Normal")</f>
        <v>Normal</v>
      </c>
    </row>
    <row r="541" spans="1:42" x14ac:dyDescent="0.25">
      <c r="A541" s="6">
        <v>50</v>
      </c>
      <c r="B541" s="4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s="11" t="str">
        <f>IF(HR_Data[[#This Row],[Age]]&lt;=25,"18-25",IF(HR_Data[[#This Row],[Age]]&lt;=35,"26-35",IF(HR_Data[[#This Row],[Age]]&lt;=45,"36-45",IF(HR_Data[[#This Row],[Age]]&lt;=55,"46-55","56+"))))</f>
        <v>46-55</v>
      </c>
      <c r="AK541" s="11" t="str">
        <f>IF(HR_Data[[#This Row],[MonthlyIncome]]&lt;3000,"Low",IF(HR_Data[[#This Row],[MonthlyIncome]]&lt;6000,"Medium",IF(HR_Data[[#This Row],[MonthlyIncome]]&lt;10000,"High","Very High")))</f>
        <v>Medium</v>
      </c>
      <c r="AL54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41" t="str">
        <f>IF(HR_Data[[#This Row],[TotalWorkingYears]]&lt;=5,"Junior",IF(HR_Data[[#This Row],[TotalWorkingYears]]&lt;=15,"Mid-Level","Senior"))</f>
        <v>Junior</v>
      </c>
      <c r="AN541" s="11" t="str">
        <f>IF(HR_Data[[#This Row],[PerformanceRating]]=3,"Standard","Excellent")</f>
        <v>Standard</v>
      </c>
      <c r="AO541" s="11" t="str">
        <f>IF(HR_Data[[#This Row],[JobSatisfaction]]&lt;=2,"Low","High")</f>
        <v>Low</v>
      </c>
      <c r="AP541" s="11" t="str">
        <f>IF(AND(HR_Data[[#This Row],[OverTime]]="Yes",HR_Data[[#This Row],[JobSatisfaction]]&lt;=2,HR_Data[[#This Row],[YearsAtCompany]]&lt;=2),"High Risk","Normal")</f>
        <v>Normal</v>
      </c>
    </row>
    <row r="542" spans="1:42" x14ac:dyDescent="0.25">
      <c r="A542" s="6">
        <v>28</v>
      </c>
      <c r="B542" s="4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s="11" t="str">
        <f>IF(HR_Data[[#This Row],[Age]]&lt;=25,"18-25",IF(HR_Data[[#This Row],[Age]]&lt;=35,"26-35",IF(HR_Data[[#This Row],[Age]]&lt;=45,"36-45",IF(HR_Data[[#This Row],[Age]]&lt;=55,"46-55","56+"))))</f>
        <v>26-35</v>
      </c>
      <c r="AK542" s="11" t="str">
        <f>IF(HR_Data[[#This Row],[MonthlyIncome]]&lt;3000,"Low",IF(HR_Data[[#This Row],[MonthlyIncome]]&lt;6000,"Medium",IF(HR_Data[[#This Row],[MonthlyIncome]]&lt;10000,"High","Very High")))</f>
        <v>Low</v>
      </c>
      <c r="AL54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42" t="str">
        <f>IF(HR_Data[[#This Row],[TotalWorkingYears]]&lt;=5,"Junior",IF(HR_Data[[#This Row],[TotalWorkingYears]]&lt;=15,"Mid-Level","Senior"))</f>
        <v>Mid-Level</v>
      </c>
      <c r="AN542" s="11" t="str">
        <f>IF(HR_Data[[#This Row],[PerformanceRating]]=3,"Standard","Excellent")</f>
        <v>Standard</v>
      </c>
      <c r="AO542" s="11" t="str">
        <f>IF(HR_Data[[#This Row],[JobSatisfaction]]&lt;=2,"Low","High")</f>
        <v>Low</v>
      </c>
      <c r="AP542" s="11" t="str">
        <f>IF(AND(HR_Data[[#This Row],[OverTime]]="Yes",HR_Data[[#This Row],[JobSatisfaction]]&lt;=2,HR_Data[[#This Row],[YearsAtCompany]]&lt;=2),"High Risk","Normal")</f>
        <v>Normal</v>
      </c>
    </row>
    <row r="543" spans="1:42" x14ac:dyDescent="0.25">
      <c r="A543" s="6">
        <v>36</v>
      </c>
      <c r="B543" s="4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s="11" t="str">
        <f>IF(HR_Data[[#This Row],[Age]]&lt;=25,"18-25",IF(HR_Data[[#This Row],[Age]]&lt;=35,"26-35",IF(HR_Data[[#This Row],[Age]]&lt;=45,"36-45",IF(HR_Data[[#This Row],[Age]]&lt;=55,"46-55","56+"))))</f>
        <v>36-45</v>
      </c>
      <c r="AK543" s="11" t="str">
        <f>IF(HR_Data[[#This Row],[MonthlyIncome]]&lt;3000,"Low",IF(HR_Data[[#This Row],[MonthlyIncome]]&lt;6000,"Medium",IF(HR_Data[[#This Row],[MonthlyIncome]]&lt;10000,"High","Very High")))</f>
        <v>Very High</v>
      </c>
      <c r="AL54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43" t="str">
        <f>IF(HR_Data[[#This Row],[TotalWorkingYears]]&lt;=5,"Junior",IF(HR_Data[[#This Row],[TotalWorkingYears]]&lt;=15,"Mid-Level","Senior"))</f>
        <v>Mid-Level</v>
      </c>
      <c r="AN543" s="11" t="str">
        <f>IF(HR_Data[[#This Row],[PerformanceRating]]=3,"Standard","Excellent")</f>
        <v>Standard</v>
      </c>
      <c r="AO543" s="11" t="str">
        <f>IF(HR_Data[[#This Row],[JobSatisfaction]]&lt;=2,"Low","High")</f>
        <v>Low</v>
      </c>
      <c r="AP543" s="11" t="str">
        <f>IF(AND(HR_Data[[#This Row],[OverTime]]="Yes",HR_Data[[#This Row],[JobSatisfaction]]&lt;=2,HR_Data[[#This Row],[YearsAtCompany]]&lt;=2),"High Risk","Normal")</f>
        <v>Normal</v>
      </c>
    </row>
    <row r="544" spans="1:42" x14ac:dyDescent="0.25">
      <c r="A544" s="6">
        <v>38</v>
      </c>
      <c r="B544" s="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s="11" t="str">
        <f>IF(HR_Data[[#This Row],[Age]]&lt;=25,"18-25",IF(HR_Data[[#This Row],[Age]]&lt;=35,"26-35",IF(HR_Data[[#This Row],[Age]]&lt;=45,"36-45",IF(HR_Data[[#This Row],[Age]]&lt;=55,"46-55","56+"))))</f>
        <v>36-45</v>
      </c>
      <c r="AK544" s="11" t="str">
        <f>IF(HR_Data[[#This Row],[MonthlyIncome]]&lt;3000,"Low",IF(HR_Data[[#This Row],[MonthlyIncome]]&lt;6000,"Medium",IF(HR_Data[[#This Row],[MonthlyIncome]]&lt;10000,"High","Very High")))</f>
        <v>High</v>
      </c>
      <c r="AL54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44" t="str">
        <f>IF(HR_Data[[#This Row],[TotalWorkingYears]]&lt;=5,"Junior",IF(HR_Data[[#This Row],[TotalWorkingYears]]&lt;=15,"Mid-Level","Senior"))</f>
        <v>Mid-Level</v>
      </c>
      <c r="AN544" s="11" t="str">
        <f>IF(HR_Data[[#This Row],[PerformanceRating]]=3,"Standard","Excellent")</f>
        <v>Standard</v>
      </c>
      <c r="AO544" s="11" t="str">
        <f>IF(HR_Data[[#This Row],[JobSatisfaction]]&lt;=2,"Low","High")</f>
        <v>High</v>
      </c>
      <c r="AP544" s="11" t="str">
        <f>IF(AND(HR_Data[[#This Row],[OverTime]]="Yes",HR_Data[[#This Row],[JobSatisfaction]]&lt;=2,HR_Data[[#This Row],[YearsAtCompany]]&lt;=2),"High Risk","Normal")</f>
        <v>Normal</v>
      </c>
    </row>
    <row r="545" spans="1:42" x14ac:dyDescent="0.25">
      <c r="A545" s="6">
        <v>44</v>
      </c>
      <c r="B545" s="4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s="11" t="str">
        <f>IF(HR_Data[[#This Row],[Age]]&lt;=25,"18-25",IF(HR_Data[[#This Row],[Age]]&lt;=35,"26-35",IF(HR_Data[[#This Row],[Age]]&lt;=45,"36-45",IF(HR_Data[[#This Row],[Age]]&lt;=55,"46-55","56+"))))</f>
        <v>36-45</v>
      </c>
      <c r="AK545" s="11" t="str">
        <f>IF(HR_Data[[#This Row],[MonthlyIncome]]&lt;3000,"Low",IF(HR_Data[[#This Row],[MonthlyIncome]]&lt;6000,"Medium",IF(HR_Data[[#This Row],[MonthlyIncome]]&lt;10000,"High","Very High")))</f>
        <v>Medium</v>
      </c>
      <c r="AL54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45" t="str">
        <f>IF(HR_Data[[#This Row],[TotalWorkingYears]]&lt;=5,"Junior",IF(HR_Data[[#This Row],[TotalWorkingYears]]&lt;=15,"Mid-Level","Senior"))</f>
        <v>Mid-Level</v>
      </c>
      <c r="AN545" s="11" t="str">
        <f>IF(HR_Data[[#This Row],[PerformanceRating]]=3,"Standard","Excellent")</f>
        <v>Standard</v>
      </c>
      <c r="AO545" s="11" t="str">
        <f>IF(HR_Data[[#This Row],[JobSatisfaction]]&lt;=2,"Low","High")</f>
        <v>High</v>
      </c>
      <c r="AP545" s="11" t="str">
        <f>IF(AND(HR_Data[[#This Row],[OverTime]]="Yes",HR_Data[[#This Row],[JobSatisfaction]]&lt;=2,HR_Data[[#This Row],[YearsAtCompany]]&lt;=2),"High Risk","Normal")</f>
        <v>Normal</v>
      </c>
    </row>
    <row r="546" spans="1:42" x14ac:dyDescent="0.25">
      <c r="A546" s="6">
        <v>47</v>
      </c>
      <c r="B546" s="4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s="11" t="str">
        <f>IF(HR_Data[[#This Row],[Age]]&lt;=25,"18-25",IF(HR_Data[[#This Row],[Age]]&lt;=35,"26-35",IF(HR_Data[[#This Row],[Age]]&lt;=45,"36-45",IF(HR_Data[[#This Row],[Age]]&lt;=55,"46-55","56+"))))</f>
        <v>46-55</v>
      </c>
      <c r="AK546" s="11" t="str">
        <f>IF(HR_Data[[#This Row],[MonthlyIncome]]&lt;3000,"Low",IF(HR_Data[[#This Row],[MonthlyIncome]]&lt;6000,"Medium",IF(HR_Data[[#This Row],[MonthlyIncome]]&lt;10000,"High","Very High")))</f>
        <v>Very High</v>
      </c>
      <c r="AL54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546" t="str">
        <f>IF(HR_Data[[#This Row],[TotalWorkingYears]]&lt;=5,"Junior",IF(HR_Data[[#This Row],[TotalWorkingYears]]&lt;=15,"Mid-Level","Senior"))</f>
        <v>Senior</v>
      </c>
      <c r="AN546" s="11" t="str">
        <f>IF(HR_Data[[#This Row],[PerformanceRating]]=3,"Standard","Excellent")</f>
        <v>Standard</v>
      </c>
      <c r="AO546" s="11" t="str">
        <f>IF(HR_Data[[#This Row],[JobSatisfaction]]&lt;=2,"Low","High")</f>
        <v>High</v>
      </c>
      <c r="AP546" s="11" t="str">
        <f>IF(AND(HR_Data[[#This Row],[OverTime]]="Yes",HR_Data[[#This Row],[JobSatisfaction]]&lt;=2,HR_Data[[#This Row],[YearsAtCompany]]&lt;=2),"High Risk","Normal")</f>
        <v>Normal</v>
      </c>
    </row>
    <row r="547" spans="1:42" x14ac:dyDescent="0.25">
      <c r="A547" s="6">
        <v>30</v>
      </c>
      <c r="B547" s="4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s="11" t="str">
        <f>IF(HR_Data[[#This Row],[Age]]&lt;=25,"18-25",IF(HR_Data[[#This Row],[Age]]&lt;=35,"26-35",IF(HR_Data[[#This Row],[Age]]&lt;=45,"36-45",IF(HR_Data[[#This Row],[Age]]&lt;=55,"46-55","56+"))))</f>
        <v>26-35</v>
      </c>
      <c r="AK547" s="11" t="str">
        <f>IF(HR_Data[[#This Row],[MonthlyIncome]]&lt;3000,"Low",IF(HR_Data[[#This Row],[MonthlyIncome]]&lt;6000,"Medium",IF(HR_Data[[#This Row],[MonthlyIncome]]&lt;10000,"High","Very High")))</f>
        <v>Medium</v>
      </c>
      <c r="AL54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47" t="str">
        <f>IF(HR_Data[[#This Row],[TotalWorkingYears]]&lt;=5,"Junior",IF(HR_Data[[#This Row],[TotalWorkingYears]]&lt;=15,"Mid-Level","Senior"))</f>
        <v>Mid-Level</v>
      </c>
      <c r="AN547" s="11" t="str">
        <f>IF(HR_Data[[#This Row],[PerformanceRating]]=3,"Standard","Excellent")</f>
        <v>Excellent</v>
      </c>
      <c r="AO547" s="11" t="str">
        <f>IF(HR_Data[[#This Row],[JobSatisfaction]]&lt;=2,"Low","High")</f>
        <v>High</v>
      </c>
      <c r="AP547" s="11" t="str">
        <f>IF(AND(HR_Data[[#This Row],[OverTime]]="Yes",HR_Data[[#This Row],[JobSatisfaction]]&lt;=2,HR_Data[[#This Row],[YearsAtCompany]]&lt;=2),"High Risk","Normal")</f>
        <v>Normal</v>
      </c>
    </row>
    <row r="548" spans="1:42" x14ac:dyDescent="0.25">
      <c r="A548" s="6">
        <v>29</v>
      </c>
      <c r="B548" s="4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s="11" t="str">
        <f>IF(HR_Data[[#This Row],[Age]]&lt;=25,"18-25",IF(HR_Data[[#This Row],[Age]]&lt;=35,"26-35",IF(HR_Data[[#This Row],[Age]]&lt;=45,"36-45",IF(HR_Data[[#This Row],[Age]]&lt;=55,"46-55","56+"))))</f>
        <v>26-35</v>
      </c>
      <c r="AK548" s="11" t="str">
        <f>IF(HR_Data[[#This Row],[MonthlyIncome]]&lt;3000,"Low",IF(HR_Data[[#This Row],[MonthlyIncome]]&lt;6000,"Medium",IF(HR_Data[[#This Row],[MonthlyIncome]]&lt;10000,"High","Very High")))</f>
        <v>Low</v>
      </c>
      <c r="AL54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48" t="str">
        <f>IF(HR_Data[[#This Row],[TotalWorkingYears]]&lt;=5,"Junior",IF(HR_Data[[#This Row],[TotalWorkingYears]]&lt;=15,"Mid-Level","Senior"))</f>
        <v>Junior</v>
      </c>
      <c r="AN548" s="11" t="str">
        <f>IF(HR_Data[[#This Row],[PerformanceRating]]=3,"Standard","Excellent")</f>
        <v>Standard</v>
      </c>
      <c r="AO548" s="11" t="str">
        <f>IF(HR_Data[[#This Row],[JobSatisfaction]]&lt;=2,"Low","High")</f>
        <v>High</v>
      </c>
      <c r="AP548" s="11" t="str">
        <f>IF(AND(HR_Data[[#This Row],[OverTime]]="Yes",HR_Data[[#This Row],[JobSatisfaction]]&lt;=2,HR_Data[[#This Row],[YearsAtCompany]]&lt;=2),"High Risk","Normal")</f>
        <v>Normal</v>
      </c>
    </row>
    <row r="549" spans="1:42" x14ac:dyDescent="0.25">
      <c r="A549" s="6">
        <v>42</v>
      </c>
      <c r="B549" s="4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s="11" t="str">
        <f>IF(HR_Data[[#This Row],[Age]]&lt;=25,"18-25",IF(HR_Data[[#This Row],[Age]]&lt;=35,"26-35",IF(HR_Data[[#This Row],[Age]]&lt;=45,"36-45",IF(HR_Data[[#This Row],[Age]]&lt;=55,"46-55","56+"))))</f>
        <v>36-45</v>
      </c>
      <c r="AK549" s="11" t="str">
        <f>IF(HR_Data[[#This Row],[MonthlyIncome]]&lt;3000,"Low",IF(HR_Data[[#This Row],[MonthlyIncome]]&lt;6000,"Medium",IF(HR_Data[[#This Row],[MonthlyIncome]]&lt;10000,"High","Very High")))</f>
        <v>Low</v>
      </c>
      <c r="AL54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49" t="str">
        <f>IF(HR_Data[[#This Row],[TotalWorkingYears]]&lt;=5,"Junior",IF(HR_Data[[#This Row],[TotalWorkingYears]]&lt;=15,"Mid-Level","Senior"))</f>
        <v>Mid-Level</v>
      </c>
      <c r="AN549" s="11" t="str">
        <f>IF(HR_Data[[#This Row],[PerformanceRating]]=3,"Standard","Excellent")</f>
        <v>Standard</v>
      </c>
      <c r="AO549" s="11" t="str">
        <f>IF(HR_Data[[#This Row],[JobSatisfaction]]&lt;=2,"Low","High")</f>
        <v>High</v>
      </c>
      <c r="AP549" s="11" t="str">
        <f>IF(AND(HR_Data[[#This Row],[OverTime]]="Yes",HR_Data[[#This Row],[JobSatisfaction]]&lt;=2,HR_Data[[#This Row],[YearsAtCompany]]&lt;=2),"High Risk","Normal")</f>
        <v>Normal</v>
      </c>
    </row>
    <row r="550" spans="1:42" x14ac:dyDescent="0.25">
      <c r="A550" s="6">
        <v>43</v>
      </c>
      <c r="B550" s="4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s="11" t="str">
        <f>IF(HR_Data[[#This Row],[Age]]&lt;=25,"18-25",IF(HR_Data[[#This Row],[Age]]&lt;=35,"26-35",IF(HR_Data[[#This Row],[Age]]&lt;=45,"36-45",IF(HR_Data[[#This Row],[Age]]&lt;=55,"46-55","56+"))))</f>
        <v>36-45</v>
      </c>
      <c r="AK550" s="11" t="str">
        <f>IF(HR_Data[[#This Row],[MonthlyIncome]]&lt;3000,"Low",IF(HR_Data[[#This Row],[MonthlyIncome]]&lt;6000,"Medium",IF(HR_Data[[#This Row],[MonthlyIncome]]&lt;10000,"High","Very High")))</f>
        <v>High</v>
      </c>
      <c r="AL55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50" t="str">
        <f>IF(HR_Data[[#This Row],[TotalWorkingYears]]&lt;=5,"Junior",IF(HR_Data[[#This Row],[TotalWorkingYears]]&lt;=15,"Mid-Level","Senior"))</f>
        <v>Mid-Level</v>
      </c>
      <c r="AN550" s="11" t="str">
        <f>IF(HR_Data[[#This Row],[PerformanceRating]]=3,"Standard","Excellent")</f>
        <v>Standard</v>
      </c>
      <c r="AO550" s="11" t="str">
        <f>IF(HR_Data[[#This Row],[JobSatisfaction]]&lt;=2,"Low","High")</f>
        <v>High</v>
      </c>
      <c r="AP550" s="11" t="str">
        <f>IF(AND(HR_Data[[#This Row],[OverTime]]="Yes",HR_Data[[#This Row],[JobSatisfaction]]&lt;=2,HR_Data[[#This Row],[YearsAtCompany]]&lt;=2),"High Risk","Normal")</f>
        <v>Normal</v>
      </c>
    </row>
    <row r="551" spans="1:42" x14ac:dyDescent="0.25">
      <c r="A551" s="6">
        <v>34</v>
      </c>
      <c r="B551" s="4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s="11" t="str">
        <f>IF(HR_Data[[#This Row],[Age]]&lt;=25,"18-25",IF(HR_Data[[#This Row],[Age]]&lt;=35,"26-35",IF(HR_Data[[#This Row],[Age]]&lt;=45,"36-45",IF(HR_Data[[#This Row],[Age]]&lt;=55,"46-55","56+"))))</f>
        <v>26-35</v>
      </c>
      <c r="AK551" s="11" t="str">
        <f>IF(HR_Data[[#This Row],[MonthlyIncome]]&lt;3000,"Low",IF(HR_Data[[#This Row],[MonthlyIncome]]&lt;6000,"Medium",IF(HR_Data[[#This Row],[MonthlyIncome]]&lt;10000,"High","Very High")))</f>
        <v>High</v>
      </c>
      <c r="AL55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51" t="str">
        <f>IF(HR_Data[[#This Row],[TotalWorkingYears]]&lt;=5,"Junior",IF(HR_Data[[#This Row],[TotalWorkingYears]]&lt;=15,"Mid-Level","Senior"))</f>
        <v>Mid-Level</v>
      </c>
      <c r="AN551" s="11" t="str">
        <f>IF(HR_Data[[#This Row],[PerformanceRating]]=3,"Standard","Excellent")</f>
        <v>Standard</v>
      </c>
      <c r="AO551" s="11" t="str">
        <f>IF(HR_Data[[#This Row],[JobSatisfaction]]&lt;=2,"Low","High")</f>
        <v>High</v>
      </c>
      <c r="AP551" s="11" t="str">
        <f>IF(AND(HR_Data[[#This Row],[OverTime]]="Yes",HR_Data[[#This Row],[JobSatisfaction]]&lt;=2,HR_Data[[#This Row],[YearsAtCompany]]&lt;=2),"High Risk","Normal")</f>
        <v>Normal</v>
      </c>
    </row>
    <row r="552" spans="1:42" x14ac:dyDescent="0.25">
      <c r="A552" s="6">
        <v>23</v>
      </c>
      <c r="B552" s="4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s="11" t="str">
        <f>IF(HR_Data[[#This Row],[Age]]&lt;=25,"18-25",IF(HR_Data[[#This Row],[Age]]&lt;=35,"26-35",IF(HR_Data[[#This Row],[Age]]&lt;=45,"36-45",IF(HR_Data[[#This Row],[Age]]&lt;=55,"46-55","56+"))))</f>
        <v>18-25</v>
      </c>
      <c r="AK552" s="11" t="str">
        <f>IF(HR_Data[[#This Row],[MonthlyIncome]]&lt;3000,"Low",IF(HR_Data[[#This Row],[MonthlyIncome]]&lt;6000,"Medium",IF(HR_Data[[#This Row],[MonthlyIncome]]&lt;10000,"High","Very High")))</f>
        <v>Low</v>
      </c>
      <c r="AL55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52" t="str">
        <f>IF(HR_Data[[#This Row],[TotalWorkingYears]]&lt;=5,"Junior",IF(HR_Data[[#This Row],[TotalWorkingYears]]&lt;=15,"Mid-Level","Senior"))</f>
        <v>Junior</v>
      </c>
      <c r="AN552" s="11" t="str">
        <f>IF(HR_Data[[#This Row],[PerformanceRating]]=3,"Standard","Excellent")</f>
        <v>Standard</v>
      </c>
      <c r="AO552" s="11" t="str">
        <f>IF(HR_Data[[#This Row],[JobSatisfaction]]&lt;=2,"Low","High")</f>
        <v>Low</v>
      </c>
      <c r="AP552" s="11" t="str">
        <f>IF(AND(HR_Data[[#This Row],[OverTime]]="Yes",HR_Data[[#This Row],[JobSatisfaction]]&lt;=2,HR_Data[[#This Row],[YearsAtCompany]]&lt;=2),"High Risk","Normal")</f>
        <v>Normal</v>
      </c>
    </row>
    <row r="553" spans="1:42" x14ac:dyDescent="0.25">
      <c r="A553" s="6">
        <v>39</v>
      </c>
      <c r="B553" s="4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s="11" t="str">
        <f>IF(HR_Data[[#This Row],[Age]]&lt;=25,"18-25",IF(HR_Data[[#This Row],[Age]]&lt;=35,"26-35",IF(HR_Data[[#This Row],[Age]]&lt;=45,"36-45",IF(HR_Data[[#This Row],[Age]]&lt;=55,"46-55","56+"))))</f>
        <v>36-45</v>
      </c>
      <c r="AK553" s="11" t="str">
        <f>IF(HR_Data[[#This Row],[MonthlyIncome]]&lt;3000,"Low",IF(HR_Data[[#This Row],[MonthlyIncome]]&lt;6000,"Medium",IF(HR_Data[[#This Row],[MonthlyIncome]]&lt;10000,"High","Very High")))</f>
        <v>High</v>
      </c>
      <c r="AL55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53" t="str">
        <f>IF(HR_Data[[#This Row],[TotalWorkingYears]]&lt;=5,"Junior",IF(HR_Data[[#This Row],[TotalWorkingYears]]&lt;=15,"Mid-Level","Senior"))</f>
        <v>Mid-Level</v>
      </c>
      <c r="AN553" s="11" t="str">
        <f>IF(HR_Data[[#This Row],[PerformanceRating]]=3,"Standard","Excellent")</f>
        <v>Standard</v>
      </c>
      <c r="AO553" s="11" t="str">
        <f>IF(HR_Data[[#This Row],[JobSatisfaction]]&lt;=2,"Low","High")</f>
        <v>Low</v>
      </c>
      <c r="AP553" s="11" t="str">
        <f>IF(AND(HR_Data[[#This Row],[OverTime]]="Yes",HR_Data[[#This Row],[JobSatisfaction]]&lt;=2,HR_Data[[#This Row],[YearsAtCompany]]&lt;=2),"High Risk","Normal")</f>
        <v>Normal</v>
      </c>
    </row>
    <row r="554" spans="1:42" x14ac:dyDescent="0.25">
      <c r="A554" s="6">
        <v>56</v>
      </c>
      <c r="B554" s="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s="11" t="str">
        <f>IF(HR_Data[[#This Row],[Age]]&lt;=25,"18-25",IF(HR_Data[[#This Row],[Age]]&lt;=35,"26-35",IF(HR_Data[[#This Row],[Age]]&lt;=45,"36-45",IF(HR_Data[[#This Row],[Age]]&lt;=55,"46-55","56+"))))</f>
        <v>56+</v>
      </c>
      <c r="AK554" s="11" t="str">
        <f>IF(HR_Data[[#This Row],[MonthlyIncome]]&lt;3000,"Low",IF(HR_Data[[#This Row],[MonthlyIncome]]&lt;6000,"Medium",IF(HR_Data[[#This Row],[MonthlyIncome]]&lt;10000,"High","Very High")))</f>
        <v>Very High</v>
      </c>
      <c r="AL55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54" t="str">
        <f>IF(HR_Data[[#This Row],[TotalWorkingYears]]&lt;=5,"Junior",IF(HR_Data[[#This Row],[TotalWorkingYears]]&lt;=15,"Mid-Level","Senior"))</f>
        <v>Senior</v>
      </c>
      <c r="AN554" s="11" t="str">
        <f>IF(HR_Data[[#This Row],[PerformanceRating]]=3,"Standard","Excellent")</f>
        <v>Standard</v>
      </c>
      <c r="AO554" s="11" t="str">
        <f>IF(HR_Data[[#This Row],[JobSatisfaction]]&lt;=2,"Low","High")</f>
        <v>High</v>
      </c>
      <c r="AP554" s="11" t="str">
        <f>IF(AND(HR_Data[[#This Row],[OverTime]]="Yes",HR_Data[[#This Row],[JobSatisfaction]]&lt;=2,HR_Data[[#This Row],[YearsAtCompany]]&lt;=2),"High Risk","Normal")</f>
        <v>Normal</v>
      </c>
    </row>
    <row r="555" spans="1:42" x14ac:dyDescent="0.25">
      <c r="A555" s="6">
        <v>40</v>
      </c>
      <c r="B555" s="4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s="11" t="str">
        <f>IF(HR_Data[[#This Row],[Age]]&lt;=25,"18-25",IF(HR_Data[[#This Row],[Age]]&lt;=35,"26-35",IF(HR_Data[[#This Row],[Age]]&lt;=45,"36-45",IF(HR_Data[[#This Row],[Age]]&lt;=55,"46-55","56+"))))</f>
        <v>36-45</v>
      </c>
      <c r="AK555" s="11" t="str">
        <f>IF(HR_Data[[#This Row],[MonthlyIncome]]&lt;3000,"Low",IF(HR_Data[[#This Row],[MonthlyIncome]]&lt;6000,"Medium",IF(HR_Data[[#This Row],[MonthlyIncome]]&lt;10000,"High","Very High")))</f>
        <v>Low</v>
      </c>
      <c r="AL55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55" t="str">
        <f>IF(HR_Data[[#This Row],[TotalWorkingYears]]&lt;=5,"Junior",IF(HR_Data[[#This Row],[TotalWorkingYears]]&lt;=15,"Mid-Level","Senior"))</f>
        <v>Junior</v>
      </c>
      <c r="AN555" s="11" t="str">
        <f>IF(HR_Data[[#This Row],[PerformanceRating]]=3,"Standard","Excellent")</f>
        <v>Excellent</v>
      </c>
      <c r="AO555" s="11" t="str">
        <f>IF(HR_Data[[#This Row],[JobSatisfaction]]&lt;=2,"Low","High")</f>
        <v>High</v>
      </c>
      <c r="AP555" s="11" t="str">
        <f>IF(AND(HR_Data[[#This Row],[OverTime]]="Yes",HR_Data[[#This Row],[JobSatisfaction]]&lt;=2,HR_Data[[#This Row],[YearsAtCompany]]&lt;=2),"High Risk","Normal")</f>
        <v>Normal</v>
      </c>
    </row>
    <row r="556" spans="1:42" x14ac:dyDescent="0.25">
      <c r="A556" s="6">
        <v>27</v>
      </c>
      <c r="B556" s="4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s="11" t="str">
        <f>IF(HR_Data[[#This Row],[Age]]&lt;=25,"18-25",IF(HR_Data[[#This Row],[Age]]&lt;=35,"26-35",IF(HR_Data[[#This Row],[Age]]&lt;=45,"36-45",IF(HR_Data[[#This Row],[Age]]&lt;=55,"46-55","56+"))))</f>
        <v>26-35</v>
      </c>
      <c r="AK556" s="11" t="str">
        <f>IF(HR_Data[[#This Row],[MonthlyIncome]]&lt;3000,"Low",IF(HR_Data[[#This Row],[MonthlyIncome]]&lt;6000,"Medium",IF(HR_Data[[#This Row],[MonthlyIncome]]&lt;10000,"High","Very High")))</f>
        <v>High</v>
      </c>
      <c r="AL55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56" t="str">
        <f>IF(HR_Data[[#This Row],[TotalWorkingYears]]&lt;=5,"Junior",IF(HR_Data[[#This Row],[TotalWorkingYears]]&lt;=15,"Mid-Level","Senior"))</f>
        <v>Mid-Level</v>
      </c>
      <c r="AN556" s="11" t="str">
        <f>IF(HR_Data[[#This Row],[PerformanceRating]]=3,"Standard","Excellent")</f>
        <v>Standard</v>
      </c>
      <c r="AO556" s="11" t="str">
        <f>IF(HR_Data[[#This Row],[JobSatisfaction]]&lt;=2,"Low","High")</f>
        <v>Low</v>
      </c>
      <c r="AP556" s="11" t="str">
        <f>IF(AND(HR_Data[[#This Row],[OverTime]]="Yes",HR_Data[[#This Row],[JobSatisfaction]]&lt;=2,HR_Data[[#This Row],[YearsAtCompany]]&lt;=2),"High Risk","Normal")</f>
        <v>Normal</v>
      </c>
    </row>
    <row r="557" spans="1:42" x14ac:dyDescent="0.25">
      <c r="A557" s="6">
        <v>29</v>
      </c>
      <c r="B557" s="4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s="11" t="str">
        <f>IF(HR_Data[[#This Row],[Age]]&lt;=25,"18-25",IF(HR_Data[[#This Row],[Age]]&lt;=35,"26-35",IF(HR_Data[[#This Row],[Age]]&lt;=45,"36-45",IF(HR_Data[[#This Row],[Age]]&lt;=55,"46-55","56+"))))</f>
        <v>26-35</v>
      </c>
      <c r="AK557" s="11" t="str">
        <f>IF(HR_Data[[#This Row],[MonthlyIncome]]&lt;3000,"Low",IF(HR_Data[[#This Row],[MonthlyIncome]]&lt;6000,"Medium",IF(HR_Data[[#This Row],[MonthlyIncome]]&lt;10000,"High","Very High")))</f>
        <v>Low</v>
      </c>
      <c r="AL55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57" t="str">
        <f>IF(HR_Data[[#This Row],[TotalWorkingYears]]&lt;=5,"Junior",IF(HR_Data[[#This Row],[TotalWorkingYears]]&lt;=15,"Mid-Level","Senior"))</f>
        <v>Junior</v>
      </c>
      <c r="AN557" s="11" t="str">
        <f>IF(HR_Data[[#This Row],[PerformanceRating]]=3,"Standard","Excellent")</f>
        <v>Standard</v>
      </c>
      <c r="AO557" s="11" t="str">
        <f>IF(HR_Data[[#This Row],[JobSatisfaction]]&lt;=2,"Low","High")</f>
        <v>Low</v>
      </c>
      <c r="AP557" s="11" t="str">
        <f>IF(AND(HR_Data[[#This Row],[OverTime]]="Yes",HR_Data[[#This Row],[JobSatisfaction]]&lt;=2,HR_Data[[#This Row],[YearsAtCompany]]&lt;=2),"High Risk","Normal")</f>
        <v>Normal</v>
      </c>
    </row>
    <row r="558" spans="1:42" x14ac:dyDescent="0.25">
      <c r="A558" s="6">
        <v>53</v>
      </c>
      <c r="B558" s="4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s="11" t="str">
        <f>IF(HR_Data[[#This Row],[Age]]&lt;=25,"18-25",IF(HR_Data[[#This Row],[Age]]&lt;=35,"26-35",IF(HR_Data[[#This Row],[Age]]&lt;=45,"36-45",IF(HR_Data[[#This Row],[Age]]&lt;=55,"46-55","56+"))))</f>
        <v>46-55</v>
      </c>
      <c r="AK558" s="11" t="str">
        <f>IF(HR_Data[[#This Row],[MonthlyIncome]]&lt;3000,"Low",IF(HR_Data[[#This Row],[MonthlyIncome]]&lt;6000,"Medium",IF(HR_Data[[#This Row],[MonthlyIncome]]&lt;10000,"High","Very High")))</f>
        <v>Low</v>
      </c>
      <c r="AL55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58" t="str">
        <f>IF(HR_Data[[#This Row],[TotalWorkingYears]]&lt;=5,"Junior",IF(HR_Data[[#This Row],[TotalWorkingYears]]&lt;=15,"Mid-Level","Senior"))</f>
        <v>Senior</v>
      </c>
      <c r="AN558" s="11" t="str">
        <f>IF(HR_Data[[#This Row],[PerformanceRating]]=3,"Standard","Excellent")</f>
        <v>Standard</v>
      </c>
      <c r="AO558" s="11" t="str">
        <f>IF(HR_Data[[#This Row],[JobSatisfaction]]&lt;=2,"Low","High")</f>
        <v>High</v>
      </c>
      <c r="AP558" s="11" t="str">
        <f>IF(AND(HR_Data[[#This Row],[OverTime]]="Yes",HR_Data[[#This Row],[JobSatisfaction]]&lt;=2,HR_Data[[#This Row],[YearsAtCompany]]&lt;=2),"High Risk","Normal")</f>
        <v>Normal</v>
      </c>
    </row>
    <row r="559" spans="1:42" x14ac:dyDescent="0.25">
      <c r="A559" s="6">
        <v>35</v>
      </c>
      <c r="B559" s="4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s="11" t="str">
        <f>IF(HR_Data[[#This Row],[Age]]&lt;=25,"18-25",IF(HR_Data[[#This Row],[Age]]&lt;=35,"26-35",IF(HR_Data[[#This Row],[Age]]&lt;=45,"36-45",IF(HR_Data[[#This Row],[Age]]&lt;=55,"46-55","56+"))))</f>
        <v>26-35</v>
      </c>
      <c r="AK559" s="11" t="str">
        <f>IF(HR_Data[[#This Row],[MonthlyIncome]]&lt;3000,"Low",IF(HR_Data[[#This Row],[MonthlyIncome]]&lt;6000,"Medium",IF(HR_Data[[#This Row],[MonthlyIncome]]&lt;10000,"High","Very High")))</f>
        <v>Medium</v>
      </c>
      <c r="AL55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59" t="str">
        <f>IF(HR_Data[[#This Row],[TotalWorkingYears]]&lt;=5,"Junior",IF(HR_Data[[#This Row],[TotalWorkingYears]]&lt;=15,"Mid-Level","Senior"))</f>
        <v>Senior</v>
      </c>
      <c r="AN559" s="11" t="str">
        <f>IF(HR_Data[[#This Row],[PerformanceRating]]=3,"Standard","Excellent")</f>
        <v>Standard</v>
      </c>
      <c r="AO559" s="11" t="str">
        <f>IF(HR_Data[[#This Row],[JobSatisfaction]]&lt;=2,"Low","High")</f>
        <v>Low</v>
      </c>
      <c r="AP559" s="11" t="str">
        <f>IF(AND(HR_Data[[#This Row],[OverTime]]="Yes",HR_Data[[#This Row],[JobSatisfaction]]&lt;=2,HR_Data[[#This Row],[YearsAtCompany]]&lt;=2),"High Risk","Normal")</f>
        <v>Normal</v>
      </c>
    </row>
    <row r="560" spans="1:42" x14ac:dyDescent="0.25">
      <c r="A560" s="6">
        <v>32</v>
      </c>
      <c r="B560" s="4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s="11" t="str">
        <f>IF(HR_Data[[#This Row],[Age]]&lt;=25,"18-25",IF(HR_Data[[#This Row],[Age]]&lt;=35,"26-35",IF(HR_Data[[#This Row],[Age]]&lt;=45,"36-45",IF(HR_Data[[#This Row],[Age]]&lt;=55,"46-55","56+"))))</f>
        <v>26-35</v>
      </c>
      <c r="AK560" s="11" t="str">
        <f>IF(HR_Data[[#This Row],[MonthlyIncome]]&lt;3000,"Low",IF(HR_Data[[#This Row],[MonthlyIncome]]&lt;6000,"Medium",IF(HR_Data[[#This Row],[MonthlyIncome]]&lt;10000,"High","Very High")))</f>
        <v>Medium</v>
      </c>
      <c r="AL56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60" t="str">
        <f>IF(HR_Data[[#This Row],[TotalWorkingYears]]&lt;=5,"Junior",IF(HR_Data[[#This Row],[TotalWorkingYears]]&lt;=15,"Mid-Level","Senior"))</f>
        <v>Mid-Level</v>
      </c>
      <c r="AN560" s="11" t="str">
        <f>IF(HR_Data[[#This Row],[PerformanceRating]]=3,"Standard","Excellent")</f>
        <v>Standard</v>
      </c>
      <c r="AO560" s="11" t="str">
        <f>IF(HR_Data[[#This Row],[JobSatisfaction]]&lt;=2,"Low","High")</f>
        <v>High</v>
      </c>
      <c r="AP560" s="11" t="str">
        <f>IF(AND(HR_Data[[#This Row],[OverTime]]="Yes",HR_Data[[#This Row],[JobSatisfaction]]&lt;=2,HR_Data[[#This Row],[YearsAtCompany]]&lt;=2),"High Risk","Normal")</f>
        <v>Normal</v>
      </c>
    </row>
    <row r="561" spans="1:42" x14ac:dyDescent="0.25">
      <c r="A561" s="6">
        <v>38</v>
      </c>
      <c r="B561" s="4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s="11" t="str">
        <f>IF(HR_Data[[#This Row],[Age]]&lt;=25,"18-25",IF(HR_Data[[#This Row],[Age]]&lt;=35,"26-35",IF(HR_Data[[#This Row],[Age]]&lt;=45,"36-45",IF(HR_Data[[#This Row],[Age]]&lt;=55,"46-55","56+"))))</f>
        <v>36-45</v>
      </c>
      <c r="AK561" s="11" t="str">
        <f>IF(HR_Data[[#This Row],[MonthlyIncome]]&lt;3000,"Low",IF(HR_Data[[#This Row],[MonthlyIncome]]&lt;6000,"Medium",IF(HR_Data[[#This Row],[MonthlyIncome]]&lt;10000,"High","Very High")))</f>
        <v>Medium</v>
      </c>
      <c r="AL56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61" t="str">
        <f>IF(HR_Data[[#This Row],[TotalWorkingYears]]&lt;=5,"Junior",IF(HR_Data[[#This Row],[TotalWorkingYears]]&lt;=15,"Mid-Level","Senior"))</f>
        <v>Mid-Level</v>
      </c>
      <c r="AN561" s="11" t="str">
        <f>IF(HR_Data[[#This Row],[PerformanceRating]]=3,"Standard","Excellent")</f>
        <v>Standard</v>
      </c>
      <c r="AO561" s="11" t="str">
        <f>IF(HR_Data[[#This Row],[JobSatisfaction]]&lt;=2,"Low","High")</f>
        <v>High</v>
      </c>
      <c r="AP561" s="11" t="str">
        <f>IF(AND(HR_Data[[#This Row],[OverTime]]="Yes",HR_Data[[#This Row],[JobSatisfaction]]&lt;=2,HR_Data[[#This Row],[YearsAtCompany]]&lt;=2),"High Risk","Normal")</f>
        <v>Normal</v>
      </c>
    </row>
    <row r="562" spans="1:42" x14ac:dyDescent="0.25">
      <c r="A562" s="6">
        <v>34</v>
      </c>
      <c r="B562" s="4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s="11" t="str">
        <f>IF(HR_Data[[#This Row],[Age]]&lt;=25,"18-25",IF(HR_Data[[#This Row],[Age]]&lt;=35,"26-35",IF(HR_Data[[#This Row],[Age]]&lt;=45,"36-45",IF(HR_Data[[#This Row],[Age]]&lt;=55,"46-55","56+"))))</f>
        <v>26-35</v>
      </c>
      <c r="AK562" s="11" t="str">
        <f>IF(HR_Data[[#This Row],[MonthlyIncome]]&lt;3000,"Low",IF(HR_Data[[#This Row],[MonthlyIncome]]&lt;6000,"Medium",IF(HR_Data[[#This Row],[MonthlyIncome]]&lt;10000,"High","Very High")))</f>
        <v>Medium</v>
      </c>
      <c r="AL56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62" t="str">
        <f>IF(HR_Data[[#This Row],[TotalWorkingYears]]&lt;=5,"Junior",IF(HR_Data[[#This Row],[TotalWorkingYears]]&lt;=15,"Mid-Level","Senior"))</f>
        <v>Mid-Level</v>
      </c>
      <c r="AN562" s="11" t="str">
        <f>IF(HR_Data[[#This Row],[PerformanceRating]]=3,"Standard","Excellent")</f>
        <v>Standard</v>
      </c>
      <c r="AO562" s="11" t="str">
        <f>IF(HR_Data[[#This Row],[JobSatisfaction]]&lt;=2,"Low","High")</f>
        <v>Low</v>
      </c>
      <c r="AP562" s="11" t="str">
        <f>IF(AND(HR_Data[[#This Row],[OverTime]]="Yes",HR_Data[[#This Row],[JobSatisfaction]]&lt;=2,HR_Data[[#This Row],[YearsAtCompany]]&lt;=2),"High Risk","Normal")</f>
        <v>Normal</v>
      </c>
    </row>
    <row r="563" spans="1:42" x14ac:dyDescent="0.25">
      <c r="A563" s="6">
        <v>52</v>
      </c>
      <c r="B563" s="4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s="11" t="str">
        <f>IF(HR_Data[[#This Row],[Age]]&lt;=25,"18-25",IF(HR_Data[[#This Row],[Age]]&lt;=35,"26-35",IF(HR_Data[[#This Row],[Age]]&lt;=45,"36-45",IF(HR_Data[[#This Row],[Age]]&lt;=55,"46-55","56+"))))</f>
        <v>46-55</v>
      </c>
      <c r="AK563" s="11" t="str">
        <f>IF(HR_Data[[#This Row],[MonthlyIncome]]&lt;3000,"Low",IF(HR_Data[[#This Row],[MonthlyIncome]]&lt;6000,"Medium",IF(HR_Data[[#This Row],[MonthlyIncome]]&lt;10000,"High","Very High")))</f>
        <v>Very High</v>
      </c>
      <c r="AL56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563" t="str">
        <f>IF(HR_Data[[#This Row],[TotalWorkingYears]]&lt;=5,"Junior",IF(HR_Data[[#This Row],[TotalWorkingYears]]&lt;=15,"Mid-Level","Senior"))</f>
        <v>Senior</v>
      </c>
      <c r="AN563" s="11" t="str">
        <f>IF(HR_Data[[#This Row],[PerformanceRating]]=3,"Standard","Excellent")</f>
        <v>Standard</v>
      </c>
      <c r="AO563" s="11" t="str">
        <f>IF(HR_Data[[#This Row],[JobSatisfaction]]&lt;=2,"Low","High")</f>
        <v>Low</v>
      </c>
      <c r="AP563" s="11" t="str">
        <f>IF(AND(HR_Data[[#This Row],[OverTime]]="Yes",HR_Data[[#This Row],[JobSatisfaction]]&lt;=2,HR_Data[[#This Row],[YearsAtCompany]]&lt;=2),"High Risk","Normal")</f>
        <v>Normal</v>
      </c>
    </row>
    <row r="564" spans="1:42" x14ac:dyDescent="0.25">
      <c r="A564" s="6">
        <v>33</v>
      </c>
      <c r="B564" s="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s="11" t="str">
        <f>IF(HR_Data[[#This Row],[Age]]&lt;=25,"18-25",IF(HR_Data[[#This Row],[Age]]&lt;=35,"26-35",IF(HR_Data[[#This Row],[Age]]&lt;=45,"36-45",IF(HR_Data[[#This Row],[Age]]&lt;=55,"46-55","56+"))))</f>
        <v>26-35</v>
      </c>
      <c r="AK564" s="11" t="str">
        <f>IF(HR_Data[[#This Row],[MonthlyIncome]]&lt;3000,"Low",IF(HR_Data[[#This Row],[MonthlyIncome]]&lt;6000,"Medium",IF(HR_Data[[#This Row],[MonthlyIncome]]&lt;10000,"High","Very High")))</f>
        <v>Low</v>
      </c>
      <c r="AL56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64" t="str">
        <f>IF(HR_Data[[#This Row],[TotalWorkingYears]]&lt;=5,"Junior",IF(HR_Data[[#This Row],[TotalWorkingYears]]&lt;=15,"Mid-Level","Senior"))</f>
        <v>Mid-Level</v>
      </c>
      <c r="AN564" s="11" t="str">
        <f>IF(HR_Data[[#This Row],[PerformanceRating]]=3,"Standard","Excellent")</f>
        <v>Standard</v>
      </c>
      <c r="AO564" s="11" t="str">
        <f>IF(HR_Data[[#This Row],[JobSatisfaction]]&lt;=2,"Low","High")</f>
        <v>High</v>
      </c>
      <c r="AP564" s="11" t="str">
        <f>IF(AND(HR_Data[[#This Row],[OverTime]]="Yes",HR_Data[[#This Row],[JobSatisfaction]]&lt;=2,HR_Data[[#This Row],[YearsAtCompany]]&lt;=2),"High Risk","Normal")</f>
        <v>Normal</v>
      </c>
    </row>
    <row r="565" spans="1:42" x14ac:dyDescent="0.25">
      <c r="A565" s="6">
        <v>25</v>
      </c>
      <c r="B565" s="4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s="11" t="str">
        <f>IF(HR_Data[[#This Row],[Age]]&lt;=25,"18-25",IF(HR_Data[[#This Row],[Age]]&lt;=35,"26-35",IF(HR_Data[[#This Row],[Age]]&lt;=45,"36-45",IF(HR_Data[[#This Row],[Age]]&lt;=55,"46-55","56+"))))</f>
        <v>18-25</v>
      </c>
      <c r="AK565" s="11" t="str">
        <f>IF(HR_Data[[#This Row],[MonthlyIncome]]&lt;3000,"Low",IF(HR_Data[[#This Row],[MonthlyIncome]]&lt;6000,"Medium",IF(HR_Data[[#This Row],[MonthlyIncome]]&lt;10000,"High","Very High")))</f>
        <v>High</v>
      </c>
      <c r="AL56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65" t="str">
        <f>IF(HR_Data[[#This Row],[TotalWorkingYears]]&lt;=5,"Junior",IF(HR_Data[[#This Row],[TotalWorkingYears]]&lt;=15,"Mid-Level","Senior"))</f>
        <v>Mid-Level</v>
      </c>
      <c r="AN565" s="11" t="str">
        <f>IF(HR_Data[[#This Row],[PerformanceRating]]=3,"Standard","Excellent")</f>
        <v>Excellent</v>
      </c>
      <c r="AO565" s="11" t="str">
        <f>IF(HR_Data[[#This Row],[JobSatisfaction]]&lt;=2,"Low","High")</f>
        <v>High</v>
      </c>
      <c r="AP565" s="11" t="str">
        <f>IF(AND(HR_Data[[#This Row],[OverTime]]="Yes",HR_Data[[#This Row],[JobSatisfaction]]&lt;=2,HR_Data[[#This Row],[YearsAtCompany]]&lt;=2),"High Risk","Normal")</f>
        <v>Normal</v>
      </c>
    </row>
    <row r="566" spans="1:42" x14ac:dyDescent="0.25">
      <c r="A566" s="6">
        <v>45</v>
      </c>
      <c r="B566" s="4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s="11" t="str">
        <f>IF(HR_Data[[#This Row],[Age]]&lt;=25,"18-25",IF(HR_Data[[#This Row],[Age]]&lt;=35,"26-35",IF(HR_Data[[#This Row],[Age]]&lt;=45,"36-45",IF(HR_Data[[#This Row],[Age]]&lt;=55,"46-55","56+"))))</f>
        <v>36-45</v>
      </c>
      <c r="AK566" s="11" t="str">
        <f>IF(HR_Data[[#This Row],[MonthlyIncome]]&lt;3000,"Low",IF(HR_Data[[#This Row],[MonthlyIncome]]&lt;6000,"Medium",IF(HR_Data[[#This Row],[MonthlyIncome]]&lt;10000,"High","Very High")))</f>
        <v>High</v>
      </c>
      <c r="AL56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66" t="str">
        <f>IF(HR_Data[[#This Row],[TotalWorkingYears]]&lt;=5,"Junior",IF(HR_Data[[#This Row],[TotalWorkingYears]]&lt;=15,"Mid-Level","Senior"))</f>
        <v>Mid-Level</v>
      </c>
      <c r="AN566" s="11" t="str">
        <f>IF(HR_Data[[#This Row],[PerformanceRating]]=3,"Standard","Excellent")</f>
        <v>Standard</v>
      </c>
      <c r="AO566" s="11" t="str">
        <f>IF(HR_Data[[#This Row],[JobSatisfaction]]&lt;=2,"Low","High")</f>
        <v>High</v>
      </c>
      <c r="AP566" s="11" t="str">
        <f>IF(AND(HR_Data[[#This Row],[OverTime]]="Yes",HR_Data[[#This Row],[JobSatisfaction]]&lt;=2,HR_Data[[#This Row],[YearsAtCompany]]&lt;=2),"High Risk","Normal")</f>
        <v>Normal</v>
      </c>
    </row>
    <row r="567" spans="1:42" x14ac:dyDescent="0.25">
      <c r="A567" s="6">
        <v>23</v>
      </c>
      <c r="B567" s="4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s="11" t="str">
        <f>IF(HR_Data[[#This Row],[Age]]&lt;=25,"18-25",IF(HR_Data[[#This Row],[Age]]&lt;=35,"26-35",IF(HR_Data[[#This Row],[Age]]&lt;=45,"36-45",IF(HR_Data[[#This Row],[Age]]&lt;=55,"46-55","56+"))))</f>
        <v>18-25</v>
      </c>
      <c r="AK567" s="11" t="str">
        <f>IF(HR_Data[[#This Row],[MonthlyIncome]]&lt;3000,"Low",IF(HR_Data[[#This Row],[MonthlyIncome]]&lt;6000,"Medium",IF(HR_Data[[#This Row],[MonthlyIncome]]&lt;10000,"High","Very High")))</f>
        <v>Medium</v>
      </c>
      <c r="AL56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67" t="str">
        <f>IF(HR_Data[[#This Row],[TotalWorkingYears]]&lt;=5,"Junior",IF(HR_Data[[#This Row],[TotalWorkingYears]]&lt;=15,"Mid-Level","Senior"))</f>
        <v>Junior</v>
      </c>
      <c r="AN567" s="11" t="str">
        <f>IF(HR_Data[[#This Row],[PerformanceRating]]=3,"Standard","Excellent")</f>
        <v>Standard</v>
      </c>
      <c r="AO567" s="11" t="str">
        <f>IF(HR_Data[[#This Row],[JobSatisfaction]]&lt;=2,"Low","High")</f>
        <v>High</v>
      </c>
      <c r="AP567" s="11" t="str">
        <f>IF(AND(HR_Data[[#This Row],[OverTime]]="Yes",HR_Data[[#This Row],[JobSatisfaction]]&lt;=2,HR_Data[[#This Row],[YearsAtCompany]]&lt;=2),"High Risk","Normal")</f>
        <v>Normal</v>
      </c>
    </row>
    <row r="568" spans="1:42" x14ac:dyDescent="0.25">
      <c r="A568" s="6">
        <v>47</v>
      </c>
      <c r="B568" s="4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s="11" t="str">
        <f>IF(HR_Data[[#This Row],[Age]]&lt;=25,"18-25",IF(HR_Data[[#This Row],[Age]]&lt;=35,"26-35",IF(HR_Data[[#This Row],[Age]]&lt;=45,"36-45",IF(HR_Data[[#This Row],[Age]]&lt;=55,"46-55","56+"))))</f>
        <v>46-55</v>
      </c>
      <c r="AK568" s="11" t="str">
        <f>IF(HR_Data[[#This Row],[MonthlyIncome]]&lt;3000,"Low",IF(HR_Data[[#This Row],[MonthlyIncome]]&lt;6000,"Medium",IF(HR_Data[[#This Row],[MonthlyIncome]]&lt;10000,"High","Very High")))</f>
        <v>High</v>
      </c>
      <c r="AL56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68" t="str">
        <f>IF(HR_Data[[#This Row],[TotalWorkingYears]]&lt;=5,"Junior",IF(HR_Data[[#This Row],[TotalWorkingYears]]&lt;=15,"Mid-Level","Senior"))</f>
        <v>Mid-Level</v>
      </c>
      <c r="AN568" s="11" t="str">
        <f>IF(HR_Data[[#This Row],[PerformanceRating]]=3,"Standard","Excellent")</f>
        <v>Standard</v>
      </c>
      <c r="AO568" s="11" t="str">
        <f>IF(HR_Data[[#This Row],[JobSatisfaction]]&lt;=2,"Low","High")</f>
        <v>High</v>
      </c>
      <c r="AP568" s="11" t="str">
        <f>IF(AND(HR_Data[[#This Row],[OverTime]]="Yes",HR_Data[[#This Row],[JobSatisfaction]]&lt;=2,HR_Data[[#This Row],[YearsAtCompany]]&lt;=2),"High Risk","Normal")</f>
        <v>Normal</v>
      </c>
    </row>
    <row r="569" spans="1:42" x14ac:dyDescent="0.25">
      <c r="A569" s="6">
        <v>34</v>
      </c>
      <c r="B569" s="4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s="11" t="str">
        <f>IF(HR_Data[[#This Row],[Age]]&lt;=25,"18-25",IF(HR_Data[[#This Row],[Age]]&lt;=35,"26-35",IF(HR_Data[[#This Row],[Age]]&lt;=45,"36-45",IF(HR_Data[[#This Row],[Age]]&lt;=55,"46-55","56+"))))</f>
        <v>26-35</v>
      </c>
      <c r="AK569" s="11" t="str">
        <f>IF(HR_Data[[#This Row],[MonthlyIncome]]&lt;3000,"Low",IF(HR_Data[[#This Row],[MonthlyIncome]]&lt;6000,"Medium",IF(HR_Data[[#This Row],[MonthlyIncome]]&lt;10000,"High","Very High")))</f>
        <v>High</v>
      </c>
      <c r="AL56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69" t="str">
        <f>IF(HR_Data[[#This Row],[TotalWorkingYears]]&lt;=5,"Junior",IF(HR_Data[[#This Row],[TotalWorkingYears]]&lt;=15,"Mid-Level","Senior"))</f>
        <v>Mid-Level</v>
      </c>
      <c r="AN569" s="11" t="str">
        <f>IF(HR_Data[[#This Row],[PerformanceRating]]=3,"Standard","Excellent")</f>
        <v>Excellent</v>
      </c>
      <c r="AO569" s="11" t="str">
        <f>IF(HR_Data[[#This Row],[JobSatisfaction]]&lt;=2,"Low","High")</f>
        <v>High</v>
      </c>
      <c r="AP569" s="11" t="str">
        <f>IF(AND(HR_Data[[#This Row],[OverTime]]="Yes",HR_Data[[#This Row],[JobSatisfaction]]&lt;=2,HR_Data[[#This Row],[YearsAtCompany]]&lt;=2),"High Risk","Normal")</f>
        <v>Normal</v>
      </c>
    </row>
    <row r="570" spans="1:42" x14ac:dyDescent="0.25">
      <c r="A570" s="6">
        <v>55</v>
      </c>
      <c r="B570" s="4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s="11" t="str">
        <f>IF(HR_Data[[#This Row],[Age]]&lt;=25,"18-25",IF(HR_Data[[#This Row],[Age]]&lt;=35,"26-35",IF(HR_Data[[#This Row],[Age]]&lt;=45,"36-45",IF(HR_Data[[#This Row],[Age]]&lt;=55,"46-55","56+"))))</f>
        <v>46-55</v>
      </c>
      <c r="AK570" s="11" t="str">
        <f>IF(HR_Data[[#This Row],[MonthlyIncome]]&lt;3000,"Low",IF(HR_Data[[#This Row],[MonthlyIncome]]&lt;6000,"Medium",IF(HR_Data[[#This Row],[MonthlyIncome]]&lt;10000,"High","Very High")))</f>
        <v>Very High</v>
      </c>
      <c r="AL57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70" t="str">
        <f>IF(HR_Data[[#This Row],[TotalWorkingYears]]&lt;=5,"Junior",IF(HR_Data[[#This Row],[TotalWorkingYears]]&lt;=15,"Mid-Level","Senior"))</f>
        <v>Senior</v>
      </c>
      <c r="AN570" s="11" t="str">
        <f>IF(HR_Data[[#This Row],[PerformanceRating]]=3,"Standard","Excellent")</f>
        <v>Standard</v>
      </c>
      <c r="AO570" s="11" t="str">
        <f>IF(HR_Data[[#This Row],[JobSatisfaction]]&lt;=2,"Low","High")</f>
        <v>Low</v>
      </c>
      <c r="AP570" s="11" t="str">
        <f>IF(AND(HR_Data[[#This Row],[OverTime]]="Yes",HR_Data[[#This Row],[JobSatisfaction]]&lt;=2,HR_Data[[#This Row],[YearsAtCompany]]&lt;=2),"High Risk","Normal")</f>
        <v>Normal</v>
      </c>
    </row>
    <row r="571" spans="1:42" x14ac:dyDescent="0.25">
      <c r="A571" s="6">
        <v>36</v>
      </c>
      <c r="B571" s="4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s="11" t="str">
        <f>IF(HR_Data[[#This Row],[Age]]&lt;=25,"18-25",IF(HR_Data[[#This Row],[Age]]&lt;=35,"26-35",IF(HR_Data[[#This Row],[Age]]&lt;=45,"36-45",IF(HR_Data[[#This Row],[Age]]&lt;=55,"46-55","56+"))))</f>
        <v>36-45</v>
      </c>
      <c r="AK571" s="11" t="str">
        <f>IF(HR_Data[[#This Row],[MonthlyIncome]]&lt;3000,"Low",IF(HR_Data[[#This Row],[MonthlyIncome]]&lt;6000,"Medium",IF(HR_Data[[#This Row],[MonthlyIncome]]&lt;10000,"High","Very High")))</f>
        <v>High</v>
      </c>
      <c r="AL57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71" t="str">
        <f>IF(HR_Data[[#This Row],[TotalWorkingYears]]&lt;=5,"Junior",IF(HR_Data[[#This Row],[TotalWorkingYears]]&lt;=15,"Mid-Level","Senior"))</f>
        <v>Mid-Level</v>
      </c>
      <c r="AN571" s="11" t="str">
        <f>IF(HR_Data[[#This Row],[PerformanceRating]]=3,"Standard","Excellent")</f>
        <v>Standard</v>
      </c>
      <c r="AO571" s="11" t="str">
        <f>IF(HR_Data[[#This Row],[JobSatisfaction]]&lt;=2,"Low","High")</f>
        <v>Low</v>
      </c>
      <c r="AP571" s="11" t="str">
        <f>IF(AND(HR_Data[[#This Row],[OverTime]]="Yes",HR_Data[[#This Row],[JobSatisfaction]]&lt;=2,HR_Data[[#This Row],[YearsAtCompany]]&lt;=2),"High Risk","Normal")</f>
        <v>Normal</v>
      </c>
    </row>
    <row r="572" spans="1:42" x14ac:dyDescent="0.25">
      <c r="A572" s="6">
        <v>52</v>
      </c>
      <c r="B572" s="4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s="11" t="str">
        <f>IF(HR_Data[[#This Row],[Age]]&lt;=25,"18-25",IF(HR_Data[[#This Row],[Age]]&lt;=35,"26-35",IF(HR_Data[[#This Row],[Age]]&lt;=45,"36-45",IF(HR_Data[[#This Row],[Age]]&lt;=55,"46-55","56+"))))</f>
        <v>46-55</v>
      </c>
      <c r="AK572" s="11" t="str">
        <f>IF(HR_Data[[#This Row],[MonthlyIncome]]&lt;3000,"Low",IF(HR_Data[[#This Row],[MonthlyIncome]]&lt;6000,"Medium",IF(HR_Data[[#This Row],[MonthlyIncome]]&lt;10000,"High","Very High")))</f>
        <v>Medium</v>
      </c>
      <c r="AL57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72" t="str">
        <f>IF(HR_Data[[#This Row],[TotalWorkingYears]]&lt;=5,"Junior",IF(HR_Data[[#This Row],[TotalWorkingYears]]&lt;=15,"Mid-Level","Senior"))</f>
        <v>Junior</v>
      </c>
      <c r="AN572" s="11" t="str">
        <f>IF(HR_Data[[#This Row],[PerformanceRating]]=3,"Standard","Excellent")</f>
        <v>Standard</v>
      </c>
      <c r="AO572" s="11" t="str">
        <f>IF(HR_Data[[#This Row],[JobSatisfaction]]&lt;=2,"Low","High")</f>
        <v>High</v>
      </c>
      <c r="AP572" s="11" t="str">
        <f>IF(AND(HR_Data[[#This Row],[OverTime]]="Yes",HR_Data[[#This Row],[JobSatisfaction]]&lt;=2,HR_Data[[#This Row],[YearsAtCompany]]&lt;=2),"High Risk","Normal")</f>
        <v>Normal</v>
      </c>
    </row>
    <row r="573" spans="1:42" x14ac:dyDescent="0.25">
      <c r="A573" s="6">
        <v>26</v>
      </c>
      <c r="B573" s="4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s="11" t="str">
        <f>IF(HR_Data[[#This Row],[Age]]&lt;=25,"18-25",IF(HR_Data[[#This Row],[Age]]&lt;=35,"26-35",IF(HR_Data[[#This Row],[Age]]&lt;=45,"36-45",IF(HR_Data[[#This Row],[Age]]&lt;=55,"46-55","56+"))))</f>
        <v>26-35</v>
      </c>
      <c r="AK573" s="11" t="str">
        <f>IF(HR_Data[[#This Row],[MonthlyIncome]]&lt;3000,"Low",IF(HR_Data[[#This Row],[MonthlyIncome]]&lt;6000,"Medium",IF(HR_Data[[#This Row],[MonthlyIncome]]&lt;10000,"High","Very High")))</f>
        <v>Medium</v>
      </c>
      <c r="AL57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73" t="str">
        <f>IF(HR_Data[[#This Row],[TotalWorkingYears]]&lt;=5,"Junior",IF(HR_Data[[#This Row],[TotalWorkingYears]]&lt;=15,"Mid-Level","Senior"))</f>
        <v>Junior</v>
      </c>
      <c r="AN573" s="11" t="str">
        <f>IF(HR_Data[[#This Row],[PerformanceRating]]=3,"Standard","Excellent")</f>
        <v>Standard</v>
      </c>
      <c r="AO573" s="11" t="str">
        <f>IF(HR_Data[[#This Row],[JobSatisfaction]]&lt;=2,"Low","High")</f>
        <v>High</v>
      </c>
      <c r="AP573" s="11" t="str">
        <f>IF(AND(HR_Data[[#This Row],[OverTime]]="Yes",HR_Data[[#This Row],[JobSatisfaction]]&lt;=2,HR_Data[[#This Row],[YearsAtCompany]]&lt;=2),"High Risk","Normal")</f>
        <v>Normal</v>
      </c>
    </row>
    <row r="574" spans="1:42" x14ac:dyDescent="0.25">
      <c r="A574" s="6">
        <v>29</v>
      </c>
      <c r="B574" s="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s="11" t="str">
        <f>IF(HR_Data[[#This Row],[Age]]&lt;=25,"18-25",IF(HR_Data[[#This Row],[Age]]&lt;=35,"26-35",IF(HR_Data[[#This Row],[Age]]&lt;=45,"36-45",IF(HR_Data[[#This Row],[Age]]&lt;=55,"46-55","56+"))))</f>
        <v>26-35</v>
      </c>
      <c r="AK574" s="11" t="str">
        <f>IF(HR_Data[[#This Row],[MonthlyIncome]]&lt;3000,"Low",IF(HR_Data[[#This Row],[MonthlyIncome]]&lt;6000,"Medium",IF(HR_Data[[#This Row],[MonthlyIncome]]&lt;10000,"High","Very High")))</f>
        <v>Medium</v>
      </c>
      <c r="AL57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74" t="str">
        <f>IF(HR_Data[[#This Row],[TotalWorkingYears]]&lt;=5,"Junior",IF(HR_Data[[#This Row],[TotalWorkingYears]]&lt;=15,"Mid-Level","Senior"))</f>
        <v>Mid-Level</v>
      </c>
      <c r="AN574" s="11" t="str">
        <f>IF(HR_Data[[#This Row],[PerformanceRating]]=3,"Standard","Excellent")</f>
        <v>Standard</v>
      </c>
      <c r="AO574" s="11" t="str">
        <f>IF(HR_Data[[#This Row],[JobSatisfaction]]&lt;=2,"Low","High")</f>
        <v>High</v>
      </c>
      <c r="AP574" s="11" t="str">
        <f>IF(AND(HR_Data[[#This Row],[OverTime]]="Yes",HR_Data[[#This Row],[JobSatisfaction]]&lt;=2,HR_Data[[#This Row],[YearsAtCompany]]&lt;=2),"High Risk","Normal")</f>
        <v>Normal</v>
      </c>
    </row>
    <row r="575" spans="1:42" x14ac:dyDescent="0.25">
      <c r="A575" s="6">
        <v>26</v>
      </c>
      <c r="B575" s="4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s="11" t="str">
        <f>IF(HR_Data[[#This Row],[Age]]&lt;=25,"18-25",IF(HR_Data[[#This Row],[Age]]&lt;=35,"26-35",IF(HR_Data[[#This Row],[Age]]&lt;=45,"36-45",IF(HR_Data[[#This Row],[Age]]&lt;=55,"46-55","56+"))))</f>
        <v>26-35</v>
      </c>
      <c r="AK575" s="11" t="str">
        <f>IF(HR_Data[[#This Row],[MonthlyIncome]]&lt;3000,"Low",IF(HR_Data[[#This Row],[MonthlyIncome]]&lt;6000,"Medium",IF(HR_Data[[#This Row],[MonthlyIncome]]&lt;10000,"High","Very High")))</f>
        <v>Medium</v>
      </c>
      <c r="AL57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75" t="str">
        <f>IF(HR_Data[[#This Row],[TotalWorkingYears]]&lt;=5,"Junior",IF(HR_Data[[#This Row],[TotalWorkingYears]]&lt;=15,"Mid-Level","Senior"))</f>
        <v>Mid-Level</v>
      </c>
      <c r="AN575" s="11" t="str">
        <f>IF(HR_Data[[#This Row],[PerformanceRating]]=3,"Standard","Excellent")</f>
        <v>Standard</v>
      </c>
      <c r="AO575" s="11" t="str">
        <f>IF(HR_Data[[#This Row],[JobSatisfaction]]&lt;=2,"Low","High")</f>
        <v>Low</v>
      </c>
      <c r="AP575" s="11" t="str">
        <f>IF(AND(HR_Data[[#This Row],[OverTime]]="Yes",HR_Data[[#This Row],[JobSatisfaction]]&lt;=2,HR_Data[[#This Row],[YearsAtCompany]]&lt;=2),"High Risk","Normal")</f>
        <v>Normal</v>
      </c>
    </row>
    <row r="576" spans="1:42" x14ac:dyDescent="0.25">
      <c r="A576" s="6">
        <v>34</v>
      </c>
      <c r="B576" s="4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s="11" t="str">
        <f>IF(HR_Data[[#This Row],[Age]]&lt;=25,"18-25",IF(HR_Data[[#This Row],[Age]]&lt;=35,"26-35",IF(HR_Data[[#This Row],[Age]]&lt;=45,"36-45",IF(HR_Data[[#This Row],[Age]]&lt;=55,"46-55","56+"))))</f>
        <v>26-35</v>
      </c>
      <c r="AK576" s="11" t="str">
        <f>IF(HR_Data[[#This Row],[MonthlyIncome]]&lt;3000,"Low",IF(HR_Data[[#This Row],[MonthlyIncome]]&lt;6000,"Medium",IF(HR_Data[[#This Row],[MonthlyIncome]]&lt;10000,"High","Very High")))</f>
        <v>Medium</v>
      </c>
      <c r="AL57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76" t="str">
        <f>IF(HR_Data[[#This Row],[TotalWorkingYears]]&lt;=5,"Junior",IF(HR_Data[[#This Row],[TotalWorkingYears]]&lt;=15,"Mid-Level","Senior"))</f>
        <v>Mid-Level</v>
      </c>
      <c r="AN576" s="11" t="str">
        <f>IF(HR_Data[[#This Row],[PerformanceRating]]=3,"Standard","Excellent")</f>
        <v>Standard</v>
      </c>
      <c r="AO576" s="11" t="str">
        <f>IF(HR_Data[[#This Row],[JobSatisfaction]]&lt;=2,"Low","High")</f>
        <v>High</v>
      </c>
      <c r="AP576" s="11" t="str">
        <f>IF(AND(HR_Data[[#This Row],[OverTime]]="Yes",HR_Data[[#This Row],[JobSatisfaction]]&lt;=2,HR_Data[[#This Row],[YearsAtCompany]]&lt;=2),"High Risk","Normal")</f>
        <v>Normal</v>
      </c>
    </row>
    <row r="577" spans="1:42" x14ac:dyDescent="0.25">
      <c r="A577" s="6">
        <v>54</v>
      </c>
      <c r="B577" s="4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s="11" t="str">
        <f>IF(HR_Data[[#This Row],[Age]]&lt;=25,"18-25",IF(HR_Data[[#This Row],[Age]]&lt;=35,"26-35",IF(HR_Data[[#This Row],[Age]]&lt;=45,"36-45",IF(HR_Data[[#This Row],[Age]]&lt;=55,"46-55","56+"))))</f>
        <v>46-55</v>
      </c>
      <c r="AK577" s="11" t="str">
        <f>IF(HR_Data[[#This Row],[MonthlyIncome]]&lt;3000,"Low",IF(HR_Data[[#This Row],[MonthlyIncome]]&lt;6000,"Medium",IF(HR_Data[[#This Row],[MonthlyIncome]]&lt;10000,"High","Very High")))</f>
        <v>Medium</v>
      </c>
      <c r="AL57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77" t="str">
        <f>IF(HR_Data[[#This Row],[TotalWorkingYears]]&lt;=5,"Junior",IF(HR_Data[[#This Row],[TotalWorkingYears]]&lt;=15,"Mid-Level","Senior"))</f>
        <v>Mid-Level</v>
      </c>
      <c r="AN577" s="11" t="str">
        <f>IF(HR_Data[[#This Row],[PerformanceRating]]=3,"Standard","Excellent")</f>
        <v>Standard</v>
      </c>
      <c r="AO577" s="11" t="str">
        <f>IF(HR_Data[[#This Row],[JobSatisfaction]]&lt;=2,"Low","High")</f>
        <v>Low</v>
      </c>
      <c r="AP577" s="11" t="str">
        <f>IF(AND(HR_Data[[#This Row],[OverTime]]="Yes",HR_Data[[#This Row],[JobSatisfaction]]&lt;=2,HR_Data[[#This Row],[YearsAtCompany]]&lt;=2),"High Risk","Normal")</f>
        <v>Normal</v>
      </c>
    </row>
    <row r="578" spans="1:42" x14ac:dyDescent="0.25">
      <c r="A578" s="6">
        <v>27</v>
      </c>
      <c r="B578" s="4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s="11" t="str">
        <f>IF(HR_Data[[#This Row],[Age]]&lt;=25,"18-25",IF(HR_Data[[#This Row],[Age]]&lt;=35,"26-35",IF(HR_Data[[#This Row],[Age]]&lt;=45,"36-45",IF(HR_Data[[#This Row],[Age]]&lt;=55,"46-55","56+"))))</f>
        <v>26-35</v>
      </c>
      <c r="AK578" s="11" t="str">
        <f>IF(HR_Data[[#This Row],[MonthlyIncome]]&lt;3000,"Low",IF(HR_Data[[#This Row],[MonthlyIncome]]&lt;6000,"Medium",IF(HR_Data[[#This Row],[MonthlyIncome]]&lt;10000,"High","Very High")))</f>
        <v>Medium</v>
      </c>
      <c r="AL57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78" t="str">
        <f>IF(HR_Data[[#This Row],[TotalWorkingYears]]&lt;=5,"Junior",IF(HR_Data[[#This Row],[TotalWorkingYears]]&lt;=15,"Mid-Level","Senior"))</f>
        <v>Junior</v>
      </c>
      <c r="AN578" s="11" t="str">
        <f>IF(HR_Data[[#This Row],[PerformanceRating]]=3,"Standard","Excellent")</f>
        <v>Standard</v>
      </c>
      <c r="AO578" s="11" t="str">
        <f>IF(HR_Data[[#This Row],[JobSatisfaction]]&lt;=2,"Low","High")</f>
        <v>High</v>
      </c>
      <c r="AP578" s="11" t="str">
        <f>IF(AND(HR_Data[[#This Row],[OverTime]]="Yes",HR_Data[[#This Row],[JobSatisfaction]]&lt;=2,HR_Data[[#This Row],[YearsAtCompany]]&lt;=2),"High Risk","Normal")</f>
        <v>Normal</v>
      </c>
    </row>
    <row r="579" spans="1:42" x14ac:dyDescent="0.25">
      <c r="A579" s="6">
        <v>37</v>
      </c>
      <c r="B579" s="4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s="11" t="str">
        <f>IF(HR_Data[[#This Row],[Age]]&lt;=25,"18-25",IF(HR_Data[[#This Row],[Age]]&lt;=35,"26-35",IF(HR_Data[[#This Row],[Age]]&lt;=45,"36-45",IF(HR_Data[[#This Row],[Age]]&lt;=55,"46-55","56+"))))</f>
        <v>36-45</v>
      </c>
      <c r="AK579" s="11" t="str">
        <f>IF(HR_Data[[#This Row],[MonthlyIncome]]&lt;3000,"Low",IF(HR_Data[[#This Row],[MonthlyIncome]]&lt;6000,"Medium",IF(HR_Data[[#This Row],[MonthlyIncome]]&lt;10000,"High","Very High")))</f>
        <v>Low</v>
      </c>
      <c r="AL57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79" t="str">
        <f>IF(HR_Data[[#This Row],[TotalWorkingYears]]&lt;=5,"Junior",IF(HR_Data[[#This Row],[TotalWorkingYears]]&lt;=15,"Mid-Level","Senior"))</f>
        <v>Mid-Level</v>
      </c>
      <c r="AN579" s="11" t="str">
        <f>IF(HR_Data[[#This Row],[PerformanceRating]]=3,"Standard","Excellent")</f>
        <v>Standard</v>
      </c>
      <c r="AO579" s="11" t="str">
        <f>IF(HR_Data[[#This Row],[JobSatisfaction]]&lt;=2,"Low","High")</f>
        <v>Low</v>
      </c>
      <c r="AP579" s="11" t="str">
        <f>IF(AND(HR_Data[[#This Row],[OverTime]]="Yes",HR_Data[[#This Row],[JobSatisfaction]]&lt;=2,HR_Data[[#This Row],[YearsAtCompany]]&lt;=2),"High Risk","Normal")</f>
        <v>Normal</v>
      </c>
    </row>
    <row r="580" spans="1:42" x14ac:dyDescent="0.25">
      <c r="A580" s="6">
        <v>38</v>
      </c>
      <c r="B580" s="4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s="11" t="str">
        <f>IF(HR_Data[[#This Row],[Age]]&lt;=25,"18-25",IF(HR_Data[[#This Row],[Age]]&lt;=35,"26-35",IF(HR_Data[[#This Row],[Age]]&lt;=45,"36-45",IF(HR_Data[[#This Row],[Age]]&lt;=55,"46-55","56+"))))</f>
        <v>36-45</v>
      </c>
      <c r="AK580" s="11" t="str">
        <f>IF(HR_Data[[#This Row],[MonthlyIncome]]&lt;3000,"Low",IF(HR_Data[[#This Row],[MonthlyIncome]]&lt;6000,"Medium",IF(HR_Data[[#This Row],[MonthlyIncome]]&lt;10000,"High","Very High")))</f>
        <v>Medium</v>
      </c>
      <c r="AL58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580" t="str">
        <f>IF(HR_Data[[#This Row],[TotalWorkingYears]]&lt;=5,"Junior",IF(HR_Data[[#This Row],[TotalWorkingYears]]&lt;=15,"Mid-Level","Senior"))</f>
        <v>Senior</v>
      </c>
      <c r="AN580" s="11" t="str">
        <f>IF(HR_Data[[#This Row],[PerformanceRating]]=3,"Standard","Excellent")</f>
        <v>Standard</v>
      </c>
      <c r="AO580" s="11" t="str">
        <f>IF(HR_Data[[#This Row],[JobSatisfaction]]&lt;=2,"Low","High")</f>
        <v>Low</v>
      </c>
      <c r="AP580" s="11" t="str">
        <f>IF(AND(HR_Data[[#This Row],[OverTime]]="Yes",HR_Data[[#This Row],[JobSatisfaction]]&lt;=2,HR_Data[[#This Row],[YearsAtCompany]]&lt;=2),"High Risk","Normal")</f>
        <v>Normal</v>
      </c>
    </row>
    <row r="581" spans="1:42" x14ac:dyDescent="0.25">
      <c r="A581" s="6">
        <v>34</v>
      </c>
      <c r="B581" s="4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s="11" t="str">
        <f>IF(HR_Data[[#This Row],[Age]]&lt;=25,"18-25",IF(HR_Data[[#This Row],[Age]]&lt;=35,"26-35",IF(HR_Data[[#This Row],[Age]]&lt;=45,"36-45",IF(HR_Data[[#This Row],[Age]]&lt;=55,"46-55","56+"))))</f>
        <v>26-35</v>
      </c>
      <c r="AK581" s="11" t="str">
        <f>IF(HR_Data[[#This Row],[MonthlyIncome]]&lt;3000,"Low",IF(HR_Data[[#This Row],[MonthlyIncome]]&lt;6000,"Medium",IF(HR_Data[[#This Row],[MonthlyIncome]]&lt;10000,"High","Very High")))</f>
        <v>Medium</v>
      </c>
      <c r="AL58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81" t="str">
        <f>IF(HR_Data[[#This Row],[TotalWorkingYears]]&lt;=5,"Junior",IF(HR_Data[[#This Row],[TotalWorkingYears]]&lt;=15,"Mid-Level","Senior"))</f>
        <v>Mid-Level</v>
      </c>
      <c r="AN581" s="11" t="str">
        <f>IF(HR_Data[[#This Row],[PerformanceRating]]=3,"Standard","Excellent")</f>
        <v>Standard</v>
      </c>
      <c r="AO581" s="11" t="str">
        <f>IF(HR_Data[[#This Row],[JobSatisfaction]]&lt;=2,"Low","High")</f>
        <v>Low</v>
      </c>
      <c r="AP581" s="11" t="str">
        <f>IF(AND(HR_Data[[#This Row],[OverTime]]="Yes",HR_Data[[#This Row],[JobSatisfaction]]&lt;=2,HR_Data[[#This Row],[YearsAtCompany]]&lt;=2),"High Risk","Normal")</f>
        <v>Normal</v>
      </c>
    </row>
    <row r="582" spans="1:42" x14ac:dyDescent="0.25">
      <c r="A582" s="6">
        <v>35</v>
      </c>
      <c r="B582" s="4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s="11" t="str">
        <f>IF(HR_Data[[#This Row],[Age]]&lt;=25,"18-25",IF(HR_Data[[#This Row],[Age]]&lt;=35,"26-35",IF(HR_Data[[#This Row],[Age]]&lt;=45,"36-45",IF(HR_Data[[#This Row],[Age]]&lt;=55,"46-55","56+"))))</f>
        <v>26-35</v>
      </c>
      <c r="AK582" s="11" t="str">
        <f>IF(HR_Data[[#This Row],[MonthlyIncome]]&lt;3000,"Low",IF(HR_Data[[#This Row],[MonthlyIncome]]&lt;6000,"Medium",IF(HR_Data[[#This Row],[MonthlyIncome]]&lt;10000,"High","Very High")))</f>
        <v>Low</v>
      </c>
      <c r="AL58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82" t="str">
        <f>IF(HR_Data[[#This Row],[TotalWorkingYears]]&lt;=5,"Junior",IF(HR_Data[[#This Row],[TotalWorkingYears]]&lt;=15,"Mid-Level","Senior"))</f>
        <v>Junior</v>
      </c>
      <c r="AN582" s="11" t="str">
        <f>IF(HR_Data[[#This Row],[PerformanceRating]]=3,"Standard","Excellent")</f>
        <v>Standard</v>
      </c>
      <c r="AO582" s="11" t="str">
        <f>IF(HR_Data[[#This Row],[JobSatisfaction]]&lt;=2,"Low","High")</f>
        <v>High</v>
      </c>
      <c r="AP582" s="11" t="str">
        <f>IF(AND(HR_Data[[#This Row],[OverTime]]="Yes",HR_Data[[#This Row],[JobSatisfaction]]&lt;=2,HR_Data[[#This Row],[YearsAtCompany]]&lt;=2),"High Risk","Normal")</f>
        <v>Normal</v>
      </c>
    </row>
    <row r="583" spans="1:42" x14ac:dyDescent="0.25">
      <c r="A583" s="6">
        <v>30</v>
      </c>
      <c r="B583" s="4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s="11" t="str">
        <f>IF(HR_Data[[#This Row],[Age]]&lt;=25,"18-25",IF(HR_Data[[#This Row],[Age]]&lt;=35,"26-35",IF(HR_Data[[#This Row],[Age]]&lt;=45,"36-45",IF(HR_Data[[#This Row],[Age]]&lt;=55,"46-55","56+"))))</f>
        <v>26-35</v>
      </c>
      <c r="AK583" s="11" t="str">
        <f>IF(HR_Data[[#This Row],[MonthlyIncome]]&lt;3000,"Low",IF(HR_Data[[#This Row],[MonthlyIncome]]&lt;6000,"Medium",IF(HR_Data[[#This Row],[MonthlyIncome]]&lt;10000,"High","Very High")))</f>
        <v>Medium</v>
      </c>
      <c r="AL58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83" t="str">
        <f>IF(HR_Data[[#This Row],[TotalWorkingYears]]&lt;=5,"Junior",IF(HR_Data[[#This Row],[TotalWorkingYears]]&lt;=15,"Mid-Level","Senior"))</f>
        <v>Mid-Level</v>
      </c>
      <c r="AN583" s="11" t="str">
        <f>IF(HR_Data[[#This Row],[PerformanceRating]]=3,"Standard","Excellent")</f>
        <v>Excellent</v>
      </c>
      <c r="AO583" s="11" t="str">
        <f>IF(HR_Data[[#This Row],[JobSatisfaction]]&lt;=2,"Low","High")</f>
        <v>High</v>
      </c>
      <c r="AP583" s="11" t="str">
        <f>IF(AND(HR_Data[[#This Row],[OverTime]]="Yes",HR_Data[[#This Row],[JobSatisfaction]]&lt;=2,HR_Data[[#This Row],[YearsAtCompany]]&lt;=2),"High Risk","Normal")</f>
        <v>Normal</v>
      </c>
    </row>
    <row r="584" spans="1:42" x14ac:dyDescent="0.25">
      <c r="A584" s="6">
        <v>40</v>
      </c>
      <c r="B584" s="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s="11" t="str">
        <f>IF(HR_Data[[#This Row],[Age]]&lt;=25,"18-25",IF(HR_Data[[#This Row],[Age]]&lt;=35,"26-35",IF(HR_Data[[#This Row],[Age]]&lt;=45,"36-45",IF(HR_Data[[#This Row],[Age]]&lt;=55,"46-55","56+"))))</f>
        <v>36-45</v>
      </c>
      <c r="AK584" s="11" t="str">
        <f>IF(HR_Data[[#This Row],[MonthlyIncome]]&lt;3000,"Low",IF(HR_Data[[#This Row],[MonthlyIncome]]&lt;6000,"Medium",IF(HR_Data[[#This Row],[MonthlyIncome]]&lt;10000,"High","Very High")))</f>
        <v>Medium</v>
      </c>
      <c r="AL58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84" t="str">
        <f>IF(HR_Data[[#This Row],[TotalWorkingYears]]&lt;=5,"Junior",IF(HR_Data[[#This Row],[TotalWorkingYears]]&lt;=15,"Mid-Level","Senior"))</f>
        <v>Mid-Level</v>
      </c>
      <c r="AN584" s="11" t="str">
        <f>IF(HR_Data[[#This Row],[PerformanceRating]]=3,"Standard","Excellent")</f>
        <v>Excellent</v>
      </c>
      <c r="AO584" s="11" t="str">
        <f>IF(HR_Data[[#This Row],[JobSatisfaction]]&lt;=2,"Low","High")</f>
        <v>Low</v>
      </c>
      <c r="AP584" s="11" t="str">
        <f>IF(AND(HR_Data[[#This Row],[OverTime]]="Yes",HR_Data[[#This Row],[JobSatisfaction]]&lt;=2,HR_Data[[#This Row],[YearsAtCompany]]&lt;=2),"High Risk","Normal")</f>
        <v>Normal</v>
      </c>
    </row>
    <row r="585" spans="1:42" x14ac:dyDescent="0.25">
      <c r="A585" s="6">
        <v>34</v>
      </c>
      <c r="B585" s="4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s="11" t="str">
        <f>IF(HR_Data[[#This Row],[Age]]&lt;=25,"18-25",IF(HR_Data[[#This Row],[Age]]&lt;=35,"26-35",IF(HR_Data[[#This Row],[Age]]&lt;=45,"36-45",IF(HR_Data[[#This Row],[Age]]&lt;=55,"46-55","56+"))))</f>
        <v>26-35</v>
      </c>
      <c r="AK585" s="11" t="str">
        <f>IF(HR_Data[[#This Row],[MonthlyIncome]]&lt;3000,"Low",IF(HR_Data[[#This Row],[MonthlyIncome]]&lt;6000,"Medium",IF(HR_Data[[#This Row],[MonthlyIncome]]&lt;10000,"High","Very High")))</f>
        <v>High</v>
      </c>
      <c r="AL58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85" t="str">
        <f>IF(HR_Data[[#This Row],[TotalWorkingYears]]&lt;=5,"Junior",IF(HR_Data[[#This Row],[TotalWorkingYears]]&lt;=15,"Mid-Level","Senior"))</f>
        <v>Mid-Level</v>
      </c>
      <c r="AN585" s="11" t="str">
        <f>IF(HR_Data[[#This Row],[PerformanceRating]]=3,"Standard","Excellent")</f>
        <v>Standard</v>
      </c>
      <c r="AO585" s="11" t="str">
        <f>IF(HR_Data[[#This Row],[JobSatisfaction]]&lt;=2,"Low","High")</f>
        <v>Low</v>
      </c>
      <c r="AP585" s="11" t="str">
        <f>IF(AND(HR_Data[[#This Row],[OverTime]]="Yes",HR_Data[[#This Row],[JobSatisfaction]]&lt;=2,HR_Data[[#This Row],[YearsAtCompany]]&lt;=2),"High Risk","Normal")</f>
        <v>Normal</v>
      </c>
    </row>
    <row r="586" spans="1:42" x14ac:dyDescent="0.25">
      <c r="A586" s="6">
        <v>42</v>
      </c>
      <c r="B586" s="4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s="11" t="str">
        <f>IF(HR_Data[[#This Row],[Age]]&lt;=25,"18-25",IF(HR_Data[[#This Row],[Age]]&lt;=35,"26-35",IF(HR_Data[[#This Row],[Age]]&lt;=45,"36-45",IF(HR_Data[[#This Row],[Age]]&lt;=55,"46-55","56+"))))</f>
        <v>36-45</v>
      </c>
      <c r="AK586" s="11" t="str">
        <f>IF(HR_Data[[#This Row],[MonthlyIncome]]&lt;3000,"Low",IF(HR_Data[[#This Row],[MonthlyIncome]]&lt;6000,"Medium",IF(HR_Data[[#This Row],[MonthlyIncome]]&lt;10000,"High","Very High")))</f>
        <v>Very High</v>
      </c>
      <c r="AL58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586" t="str">
        <f>IF(HR_Data[[#This Row],[TotalWorkingYears]]&lt;=5,"Junior",IF(HR_Data[[#This Row],[TotalWorkingYears]]&lt;=15,"Mid-Level","Senior"))</f>
        <v>Senior</v>
      </c>
      <c r="AN586" s="11" t="str">
        <f>IF(HR_Data[[#This Row],[PerformanceRating]]=3,"Standard","Excellent")</f>
        <v>Standard</v>
      </c>
      <c r="AO586" s="11" t="str">
        <f>IF(HR_Data[[#This Row],[JobSatisfaction]]&lt;=2,"Low","High")</f>
        <v>High</v>
      </c>
      <c r="AP586" s="11" t="str">
        <f>IF(AND(HR_Data[[#This Row],[OverTime]]="Yes",HR_Data[[#This Row],[JobSatisfaction]]&lt;=2,HR_Data[[#This Row],[YearsAtCompany]]&lt;=2),"High Risk","Normal")</f>
        <v>Normal</v>
      </c>
    </row>
    <row r="587" spans="1:42" x14ac:dyDescent="0.25">
      <c r="A587" s="6">
        <v>23</v>
      </c>
      <c r="B587" s="4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s="11" t="str">
        <f>IF(HR_Data[[#This Row],[Age]]&lt;=25,"18-25",IF(HR_Data[[#This Row],[Age]]&lt;=35,"26-35",IF(HR_Data[[#This Row],[Age]]&lt;=45,"36-45",IF(HR_Data[[#This Row],[Age]]&lt;=55,"46-55","56+"))))</f>
        <v>18-25</v>
      </c>
      <c r="AK587" s="11" t="str">
        <f>IF(HR_Data[[#This Row],[MonthlyIncome]]&lt;3000,"Low",IF(HR_Data[[#This Row],[MonthlyIncome]]&lt;6000,"Medium",IF(HR_Data[[#This Row],[MonthlyIncome]]&lt;10000,"High","Very High")))</f>
        <v>Low</v>
      </c>
      <c r="AL58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87" t="str">
        <f>IF(HR_Data[[#This Row],[TotalWorkingYears]]&lt;=5,"Junior",IF(HR_Data[[#This Row],[TotalWorkingYears]]&lt;=15,"Mid-Level","Senior"))</f>
        <v>Junior</v>
      </c>
      <c r="AN587" s="11" t="str">
        <f>IF(HR_Data[[#This Row],[PerformanceRating]]=3,"Standard","Excellent")</f>
        <v>Excellent</v>
      </c>
      <c r="AO587" s="11" t="str">
        <f>IF(HR_Data[[#This Row],[JobSatisfaction]]&lt;=2,"Low","High")</f>
        <v>Low</v>
      </c>
      <c r="AP587" s="11" t="str">
        <f>IF(AND(HR_Data[[#This Row],[OverTime]]="Yes",HR_Data[[#This Row],[JobSatisfaction]]&lt;=2,HR_Data[[#This Row],[YearsAtCompany]]&lt;=2),"High Risk","Normal")</f>
        <v>High Risk</v>
      </c>
    </row>
    <row r="588" spans="1:42" x14ac:dyDescent="0.25">
      <c r="A588" s="6">
        <v>24</v>
      </c>
      <c r="B588" s="4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s="11" t="str">
        <f>IF(HR_Data[[#This Row],[Age]]&lt;=25,"18-25",IF(HR_Data[[#This Row],[Age]]&lt;=35,"26-35",IF(HR_Data[[#This Row],[Age]]&lt;=45,"36-45",IF(HR_Data[[#This Row],[Age]]&lt;=55,"46-55","56+"))))</f>
        <v>18-25</v>
      </c>
      <c r="AK588" s="11" t="str">
        <f>IF(HR_Data[[#This Row],[MonthlyIncome]]&lt;3000,"Low",IF(HR_Data[[#This Row],[MonthlyIncome]]&lt;6000,"Medium",IF(HR_Data[[#This Row],[MonthlyIncome]]&lt;10000,"High","Very High")))</f>
        <v>Low</v>
      </c>
      <c r="AL58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88" t="str">
        <f>IF(HR_Data[[#This Row],[TotalWorkingYears]]&lt;=5,"Junior",IF(HR_Data[[#This Row],[TotalWorkingYears]]&lt;=15,"Mid-Level","Senior"))</f>
        <v>Junior</v>
      </c>
      <c r="AN588" s="11" t="str">
        <f>IF(HR_Data[[#This Row],[PerformanceRating]]=3,"Standard","Excellent")</f>
        <v>Standard</v>
      </c>
      <c r="AO588" s="11" t="str">
        <f>IF(HR_Data[[#This Row],[JobSatisfaction]]&lt;=2,"Low","High")</f>
        <v>Low</v>
      </c>
      <c r="AP588" s="11" t="str">
        <f>IF(AND(HR_Data[[#This Row],[OverTime]]="Yes",HR_Data[[#This Row],[JobSatisfaction]]&lt;=2,HR_Data[[#This Row],[YearsAtCompany]]&lt;=2),"High Risk","Normal")</f>
        <v>Normal</v>
      </c>
    </row>
    <row r="589" spans="1:42" x14ac:dyDescent="0.25">
      <c r="A589" s="6">
        <v>52</v>
      </c>
      <c r="B589" s="4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s="11" t="str">
        <f>IF(HR_Data[[#This Row],[Age]]&lt;=25,"18-25",IF(HR_Data[[#This Row],[Age]]&lt;=35,"26-35",IF(HR_Data[[#This Row],[Age]]&lt;=45,"36-45",IF(HR_Data[[#This Row],[Age]]&lt;=55,"46-55","56+"))))</f>
        <v>46-55</v>
      </c>
      <c r="AK589" s="11" t="str">
        <f>IF(HR_Data[[#This Row],[MonthlyIncome]]&lt;3000,"Low",IF(HR_Data[[#This Row],[MonthlyIncome]]&lt;6000,"Medium",IF(HR_Data[[#This Row],[MonthlyIncome]]&lt;10000,"High","Very High")))</f>
        <v>Medium</v>
      </c>
      <c r="AL58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89" t="str">
        <f>IF(HR_Data[[#This Row],[TotalWorkingYears]]&lt;=5,"Junior",IF(HR_Data[[#This Row],[TotalWorkingYears]]&lt;=15,"Mid-Level","Senior"))</f>
        <v>Mid-Level</v>
      </c>
      <c r="AN589" s="11" t="str">
        <f>IF(HR_Data[[#This Row],[PerformanceRating]]=3,"Standard","Excellent")</f>
        <v>Excellent</v>
      </c>
      <c r="AO589" s="11" t="str">
        <f>IF(HR_Data[[#This Row],[JobSatisfaction]]&lt;=2,"Low","High")</f>
        <v>High</v>
      </c>
      <c r="AP589" s="11" t="str">
        <f>IF(AND(HR_Data[[#This Row],[OverTime]]="Yes",HR_Data[[#This Row],[JobSatisfaction]]&lt;=2,HR_Data[[#This Row],[YearsAtCompany]]&lt;=2),"High Risk","Normal")</f>
        <v>Normal</v>
      </c>
    </row>
    <row r="590" spans="1:42" x14ac:dyDescent="0.25">
      <c r="A590" s="6">
        <v>50</v>
      </c>
      <c r="B590" s="4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s="11" t="str">
        <f>IF(HR_Data[[#This Row],[Age]]&lt;=25,"18-25",IF(HR_Data[[#This Row],[Age]]&lt;=35,"26-35",IF(HR_Data[[#This Row],[Age]]&lt;=45,"36-45",IF(HR_Data[[#This Row],[Age]]&lt;=55,"46-55","56+"))))</f>
        <v>46-55</v>
      </c>
      <c r="AK590" s="11" t="str">
        <f>IF(HR_Data[[#This Row],[MonthlyIncome]]&lt;3000,"Low",IF(HR_Data[[#This Row],[MonthlyIncome]]&lt;6000,"Medium",IF(HR_Data[[#This Row],[MonthlyIncome]]&lt;10000,"High","Very High")))</f>
        <v>Very High</v>
      </c>
      <c r="AL59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90" t="str">
        <f>IF(HR_Data[[#This Row],[TotalWorkingYears]]&lt;=5,"Junior",IF(HR_Data[[#This Row],[TotalWorkingYears]]&lt;=15,"Mid-Level","Senior"))</f>
        <v>Senior</v>
      </c>
      <c r="AN590" s="11" t="str">
        <f>IF(HR_Data[[#This Row],[PerformanceRating]]=3,"Standard","Excellent")</f>
        <v>Standard</v>
      </c>
      <c r="AO590" s="11" t="str">
        <f>IF(HR_Data[[#This Row],[JobSatisfaction]]&lt;=2,"Low","High")</f>
        <v>High</v>
      </c>
      <c r="AP590" s="11" t="str">
        <f>IF(AND(HR_Data[[#This Row],[OverTime]]="Yes",HR_Data[[#This Row],[JobSatisfaction]]&lt;=2,HR_Data[[#This Row],[YearsAtCompany]]&lt;=2),"High Risk","Normal")</f>
        <v>Normal</v>
      </c>
    </row>
    <row r="591" spans="1:42" x14ac:dyDescent="0.25">
      <c r="A591" s="6">
        <v>29</v>
      </c>
      <c r="B591" s="4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s="11" t="str">
        <f>IF(HR_Data[[#This Row],[Age]]&lt;=25,"18-25",IF(HR_Data[[#This Row],[Age]]&lt;=35,"26-35",IF(HR_Data[[#This Row],[Age]]&lt;=45,"36-45",IF(HR_Data[[#This Row],[Age]]&lt;=55,"46-55","56+"))))</f>
        <v>26-35</v>
      </c>
      <c r="AK591" s="11" t="str">
        <f>IF(HR_Data[[#This Row],[MonthlyIncome]]&lt;3000,"Low",IF(HR_Data[[#This Row],[MonthlyIncome]]&lt;6000,"Medium",IF(HR_Data[[#This Row],[MonthlyIncome]]&lt;10000,"High","Very High")))</f>
        <v>Low</v>
      </c>
      <c r="AL59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91" t="str">
        <f>IF(HR_Data[[#This Row],[TotalWorkingYears]]&lt;=5,"Junior",IF(HR_Data[[#This Row],[TotalWorkingYears]]&lt;=15,"Mid-Level","Senior"))</f>
        <v>Junior</v>
      </c>
      <c r="AN591" s="11" t="str">
        <f>IF(HR_Data[[#This Row],[PerformanceRating]]=3,"Standard","Excellent")</f>
        <v>Standard</v>
      </c>
      <c r="AO591" s="11" t="str">
        <f>IF(HR_Data[[#This Row],[JobSatisfaction]]&lt;=2,"Low","High")</f>
        <v>Low</v>
      </c>
      <c r="AP591" s="11" t="str">
        <f>IF(AND(HR_Data[[#This Row],[OverTime]]="Yes",HR_Data[[#This Row],[JobSatisfaction]]&lt;=2,HR_Data[[#This Row],[YearsAtCompany]]&lt;=2),"High Risk","Normal")</f>
        <v>High Risk</v>
      </c>
    </row>
    <row r="592" spans="1:42" x14ac:dyDescent="0.25">
      <c r="A592" s="6">
        <v>33</v>
      </c>
      <c r="B592" s="4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s="11" t="str">
        <f>IF(HR_Data[[#This Row],[Age]]&lt;=25,"18-25",IF(HR_Data[[#This Row],[Age]]&lt;=35,"26-35",IF(HR_Data[[#This Row],[Age]]&lt;=45,"36-45",IF(HR_Data[[#This Row],[Age]]&lt;=55,"46-55","56+"))))</f>
        <v>26-35</v>
      </c>
      <c r="AK592" s="11" t="str">
        <f>IF(HR_Data[[#This Row],[MonthlyIncome]]&lt;3000,"Low",IF(HR_Data[[#This Row],[MonthlyIncome]]&lt;6000,"Medium",IF(HR_Data[[#This Row],[MonthlyIncome]]&lt;10000,"High","Very High")))</f>
        <v>Very High</v>
      </c>
      <c r="AL59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592" t="str">
        <f>IF(HR_Data[[#This Row],[TotalWorkingYears]]&lt;=5,"Junior",IF(HR_Data[[#This Row],[TotalWorkingYears]]&lt;=15,"Mid-Level","Senior"))</f>
        <v>Mid-Level</v>
      </c>
      <c r="AN592" s="11" t="str">
        <f>IF(HR_Data[[#This Row],[PerformanceRating]]=3,"Standard","Excellent")</f>
        <v>Standard</v>
      </c>
      <c r="AO592" s="11" t="str">
        <f>IF(HR_Data[[#This Row],[JobSatisfaction]]&lt;=2,"Low","High")</f>
        <v>High</v>
      </c>
      <c r="AP592" s="11" t="str">
        <f>IF(AND(HR_Data[[#This Row],[OverTime]]="Yes",HR_Data[[#This Row],[JobSatisfaction]]&lt;=2,HR_Data[[#This Row],[YearsAtCompany]]&lt;=2),"High Risk","Normal")</f>
        <v>Normal</v>
      </c>
    </row>
    <row r="593" spans="1:42" x14ac:dyDescent="0.25">
      <c r="A593" s="6">
        <v>33</v>
      </c>
      <c r="B593" s="4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s="11" t="str">
        <f>IF(HR_Data[[#This Row],[Age]]&lt;=25,"18-25",IF(HR_Data[[#This Row],[Age]]&lt;=35,"26-35",IF(HR_Data[[#This Row],[Age]]&lt;=45,"36-45",IF(HR_Data[[#This Row],[Age]]&lt;=55,"46-55","56+"))))</f>
        <v>26-35</v>
      </c>
      <c r="AK593" s="11" t="str">
        <f>IF(HR_Data[[#This Row],[MonthlyIncome]]&lt;3000,"Low",IF(HR_Data[[#This Row],[MonthlyIncome]]&lt;6000,"Medium",IF(HR_Data[[#This Row],[MonthlyIncome]]&lt;10000,"High","Very High")))</f>
        <v>Medium</v>
      </c>
      <c r="AL59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93" t="str">
        <f>IF(HR_Data[[#This Row],[TotalWorkingYears]]&lt;=5,"Junior",IF(HR_Data[[#This Row],[TotalWorkingYears]]&lt;=15,"Mid-Level","Senior"))</f>
        <v>Mid-Level</v>
      </c>
      <c r="AN593" s="11" t="str">
        <f>IF(HR_Data[[#This Row],[PerformanceRating]]=3,"Standard","Excellent")</f>
        <v>Standard</v>
      </c>
      <c r="AO593" s="11" t="str">
        <f>IF(HR_Data[[#This Row],[JobSatisfaction]]&lt;=2,"Low","High")</f>
        <v>Low</v>
      </c>
      <c r="AP593" s="11" t="str">
        <f>IF(AND(HR_Data[[#This Row],[OverTime]]="Yes",HR_Data[[#This Row],[JobSatisfaction]]&lt;=2,HR_Data[[#This Row],[YearsAtCompany]]&lt;=2),"High Risk","Normal")</f>
        <v>Normal</v>
      </c>
    </row>
    <row r="594" spans="1:42" x14ac:dyDescent="0.25">
      <c r="A594" s="6">
        <v>47</v>
      </c>
      <c r="B594" s="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s="11" t="str">
        <f>IF(HR_Data[[#This Row],[Age]]&lt;=25,"18-25",IF(HR_Data[[#This Row],[Age]]&lt;=35,"26-35",IF(HR_Data[[#This Row],[Age]]&lt;=45,"36-45",IF(HR_Data[[#This Row],[Age]]&lt;=55,"46-55","56+"))))</f>
        <v>46-55</v>
      </c>
      <c r="AK594" s="11" t="str">
        <f>IF(HR_Data[[#This Row],[MonthlyIncome]]&lt;3000,"Low",IF(HR_Data[[#This Row],[MonthlyIncome]]&lt;6000,"Medium",IF(HR_Data[[#This Row],[MonthlyIncome]]&lt;10000,"High","Very High")))</f>
        <v>Very High</v>
      </c>
      <c r="AL594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594" t="str">
        <f>IF(HR_Data[[#This Row],[TotalWorkingYears]]&lt;=5,"Junior",IF(HR_Data[[#This Row],[TotalWorkingYears]]&lt;=15,"Mid-Level","Senior"))</f>
        <v>Senior</v>
      </c>
      <c r="AN594" s="11" t="str">
        <f>IF(HR_Data[[#This Row],[PerformanceRating]]=3,"Standard","Excellent")</f>
        <v>Standard</v>
      </c>
      <c r="AO594" s="11" t="str">
        <f>IF(HR_Data[[#This Row],[JobSatisfaction]]&lt;=2,"Low","High")</f>
        <v>High</v>
      </c>
      <c r="AP594" s="11" t="str">
        <f>IF(AND(HR_Data[[#This Row],[OverTime]]="Yes",HR_Data[[#This Row],[JobSatisfaction]]&lt;=2,HR_Data[[#This Row],[YearsAtCompany]]&lt;=2),"High Risk","Normal")</f>
        <v>Normal</v>
      </c>
    </row>
    <row r="595" spans="1:42" x14ac:dyDescent="0.25">
      <c r="A595" s="6">
        <v>36</v>
      </c>
      <c r="B595" s="4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s="11" t="str">
        <f>IF(HR_Data[[#This Row],[Age]]&lt;=25,"18-25",IF(HR_Data[[#This Row],[Age]]&lt;=35,"26-35",IF(HR_Data[[#This Row],[Age]]&lt;=45,"36-45",IF(HR_Data[[#This Row],[Age]]&lt;=55,"46-55","56+"))))</f>
        <v>36-45</v>
      </c>
      <c r="AK595" s="11" t="str">
        <f>IF(HR_Data[[#This Row],[MonthlyIncome]]&lt;3000,"Low",IF(HR_Data[[#This Row],[MonthlyIncome]]&lt;6000,"Medium",IF(HR_Data[[#This Row],[MonthlyIncome]]&lt;10000,"High","Very High")))</f>
        <v>Medium</v>
      </c>
      <c r="AL59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95" t="str">
        <f>IF(HR_Data[[#This Row],[TotalWorkingYears]]&lt;=5,"Junior",IF(HR_Data[[#This Row],[TotalWorkingYears]]&lt;=15,"Mid-Level","Senior"))</f>
        <v>Mid-Level</v>
      </c>
      <c r="AN595" s="11" t="str">
        <f>IF(HR_Data[[#This Row],[PerformanceRating]]=3,"Standard","Excellent")</f>
        <v>Standard</v>
      </c>
      <c r="AO595" s="11" t="str">
        <f>IF(HR_Data[[#This Row],[JobSatisfaction]]&lt;=2,"Low","High")</f>
        <v>Low</v>
      </c>
      <c r="AP595" s="11" t="str">
        <f>IF(AND(HR_Data[[#This Row],[OverTime]]="Yes",HR_Data[[#This Row],[JobSatisfaction]]&lt;=2,HR_Data[[#This Row],[YearsAtCompany]]&lt;=2),"High Risk","Normal")</f>
        <v>Normal</v>
      </c>
    </row>
    <row r="596" spans="1:42" x14ac:dyDescent="0.25">
      <c r="A596" s="6">
        <v>29</v>
      </c>
      <c r="B596" s="4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s="11" t="str">
        <f>IF(HR_Data[[#This Row],[Age]]&lt;=25,"18-25",IF(HR_Data[[#This Row],[Age]]&lt;=35,"26-35",IF(HR_Data[[#This Row],[Age]]&lt;=45,"36-45",IF(HR_Data[[#This Row],[Age]]&lt;=55,"46-55","56+"))))</f>
        <v>26-35</v>
      </c>
      <c r="AK596" s="11" t="str">
        <f>IF(HR_Data[[#This Row],[MonthlyIncome]]&lt;3000,"Low",IF(HR_Data[[#This Row],[MonthlyIncome]]&lt;6000,"Medium",IF(HR_Data[[#This Row],[MonthlyIncome]]&lt;10000,"High","Very High")))</f>
        <v>Low</v>
      </c>
      <c r="AL59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596" t="str">
        <f>IF(HR_Data[[#This Row],[TotalWorkingYears]]&lt;=5,"Junior",IF(HR_Data[[#This Row],[TotalWorkingYears]]&lt;=15,"Mid-Level","Senior"))</f>
        <v>Mid-Level</v>
      </c>
      <c r="AN596" s="11" t="str">
        <f>IF(HR_Data[[#This Row],[PerformanceRating]]=3,"Standard","Excellent")</f>
        <v>Excellent</v>
      </c>
      <c r="AO596" s="11" t="str">
        <f>IF(HR_Data[[#This Row],[JobSatisfaction]]&lt;=2,"Low","High")</f>
        <v>High</v>
      </c>
      <c r="AP596" s="11" t="str">
        <f>IF(AND(HR_Data[[#This Row],[OverTime]]="Yes",HR_Data[[#This Row],[JobSatisfaction]]&lt;=2,HR_Data[[#This Row],[YearsAtCompany]]&lt;=2),"High Risk","Normal")</f>
        <v>Normal</v>
      </c>
    </row>
    <row r="597" spans="1:42" x14ac:dyDescent="0.25">
      <c r="A597" s="6">
        <v>58</v>
      </c>
      <c r="B597" s="4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s="11" t="str">
        <f>IF(HR_Data[[#This Row],[Age]]&lt;=25,"18-25",IF(HR_Data[[#This Row],[Age]]&lt;=35,"26-35",IF(HR_Data[[#This Row],[Age]]&lt;=45,"36-45",IF(HR_Data[[#This Row],[Age]]&lt;=55,"46-55","56+"))))</f>
        <v>56+</v>
      </c>
      <c r="AK597" s="11" t="str">
        <f>IF(HR_Data[[#This Row],[MonthlyIncome]]&lt;3000,"Low",IF(HR_Data[[#This Row],[MonthlyIncome]]&lt;6000,"Medium",IF(HR_Data[[#This Row],[MonthlyIncome]]&lt;10000,"High","Very High")))</f>
        <v>Very High</v>
      </c>
      <c r="AL59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597" t="str">
        <f>IF(HR_Data[[#This Row],[TotalWorkingYears]]&lt;=5,"Junior",IF(HR_Data[[#This Row],[TotalWorkingYears]]&lt;=15,"Mid-Level","Senior"))</f>
        <v>Senior</v>
      </c>
      <c r="AN597" s="11" t="str">
        <f>IF(HR_Data[[#This Row],[PerformanceRating]]=3,"Standard","Excellent")</f>
        <v>Standard</v>
      </c>
      <c r="AO597" s="11" t="str">
        <f>IF(HR_Data[[#This Row],[JobSatisfaction]]&lt;=2,"Low","High")</f>
        <v>Low</v>
      </c>
      <c r="AP597" s="11" t="str">
        <f>IF(AND(HR_Data[[#This Row],[OverTime]]="Yes",HR_Data[[#This Row],[JobSatisfaction]]&lt;=2,HR_Data[[#This Row],[YearsAtCompany]]&lt;=2),"High Risk","Normal")</f>
        <v>Normal</v>
      </c>
    </row>
    <row r="598" spans="1:42" x14ac:dyDescent="0.25">
      <c r="A598" s="6">
        <v>35</v>
      </c>
      <c r="B598" s="4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s="11" t="str">
        <f>IF(HR_Data[[#This Row],[Age]]&lt;=25,"18-25",IF(HR_Data[[#This Row],[Age]]&lt;=35,"26-35",IF(HR_Data[[#This Row],[Age]]&lt;=45,"36-45",IF(HR_Data[[#This Row],[Age]]&lt;=55,"46-55","56+"))))</f>
        <v>26-35</v>
      </c>
      <c r="AK598" s="11" t="str">
        <f>IF(HR_Data[[#This Row],[MonthlyIncome]]&lt;3000,"Low",IF(HR_Data[[#This Row],[MonthlyIncome]]&lt;6000,"Medium",IF(HR_Data[[#This Row],[MonthlyIncome]]&lt;10000,"High","Very High")))</f>
        <v>Low</v>
      </c>
      <c r="AL59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598" t="str">
        <f>IF(HR_Data[[#This Row],[TotalWorkingYears]]&lt;=5,"Junior",IF(HR_Data[[#This Row],[TotalWorkingYears]]&lt;=15,"Mid-Level","Senior"))</f>
        <v>Mid-Level</v>
      </c>
      <c r="AN598" s="11" t="str">
        <f>IF(HR_Data[[#This Row],[PerformanceRating]]=3,"Standard","Excellent")</f>
        <v>Standard</v>
      </c>
      <c r="AO598" s="11" t="str">
        <f>IF(HR_Data[[#This Row],[JobSatisfaction]]&lt;=2,"Low","High")</f>
        <v>High</v>
      </c>
      <c r="AP598" s="11" t="str">
        <f>IF(AND(HR_Data[[#This Row],[OverTime]]="Yes",HR_Data[[#This Row],[JobSatisfaction]]&lt;=2,HR_Data[[#This Row],[YearsAtCompany]]&lt;=2),"High Risk","Normal")</f>
        <v>Normal</v>
      </c>
    </row>
    <row r="599" spans="1:42" x14ac:dyDescent="0.25">
      <c r="A599" s="6">
        <v>42</v>
      </c>
      <c r="B599" s="4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s="11" t="str">
        <f>IF(HR_Data[[#This Row],[Age]]&lt;=25,"18-25",IF(HR_Data[[#This Row],[Age]]&lt;=35,"26-35",IF(HR_Data[[#This Row],[Age]]&lt;=45,"36-45",IF(HR_Data[[#This Row],[Age]]&lt;=55,"46-55","56+"))))</f>
        <v>36-45</v>
      </c>
      <c r="AK599" s="11" t="str">
        <f>IF(HR_Data[[#This Row],[MonthlyIncome]]&lt;3000,"Low",IF(HR_Data[[#This Row],[MonthlyIncome]]&lt;6000,"Medium",IF(HR_Data[[#This Row],[MonthlyIncome]]&lt;10000,"High","Very High")))</f>
        <v>High</v>
      </c>
      <c r="AL59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599" t="str">
        <f>IF(HR_Data[[#This Row],[TotalWorkingYears]]&lt;=5,"Junior",IF(HR_Data[[#This Row],[TotalWorkingYears]]&lt;=15,"Mid-Level","Senior"))</f>
        <v>Mid-Level</v>
      </c>
      <c r="AN599" s="11" t="str">
        <f>IF(HR_Data[[#This Row],[PerformanceRating]]=3,"Standard","Excellent")</f>
        <v>Standard</v>
      </c>
      <c r="AO599" s="11" t="str">
        <f>IF(HR_Data[[#This Row],[JobSatisfaction]]&lt;=2,"Low","High")</f>
        <v>High</v>
      </c>
      <c r="AP599" s="11" t="str">
        <f>IF(AND(HR_Data[[#This Row],[OverTime]]="Yes",HR_Data[[#This Row],[JobSatisfaction]]&lt;=2,HR_Data[[#This Row],[YearsAtCompany]]&lt;=2),"High Risk","Normal")</f>
        <v>Normal</v>
      </c>
    </row>
    <row r="600" spans="1:42" x14ac:dyDescent="0.25">
      <c r="A600" s="6">
        <v>28</v>
      </c>
      <c r="B600" s="4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s="11" t="str">
        <f>IF(HR_Data[[#This Row],[Age]]&lt;=25,"18-25",IF(HR_Data[[#This Row],[Age]]&lt;=35,"26-35",IF(HR_Data[[#This Row],[Age]]&lt;=45,"36-45",IF(HR_Data[[#This Row],[Age]]&lt;=55,"46-55","56+"))))</f>
        <v>26-35</v>
      </c>
      <c r="AK600" s="11" t="str">
        <f>IF(HR_Data[[#This Row],[MonthlyIncome]]&lt;3000,"Low",IF(HR_Data[[#This Row],[MonthlyIncome]]&lt;6000,"Medium",IF(HR_Data[[#This Row],[MonthlyIncome]]&lt;10000,"High","Very High")))</f>
        <v>Medium</v>
      </c>
      <c r="AL60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00" t="str">
        <f>IF(HR_Data[[#This Row],[TotalWorkingYears]]&lt;=5,"Junior",IF(HR_Data[[#This Row],[TotalWorkingYears]]&lt;=15,"Mid-Level","Senior"))</f>
        <v>Junior</v>
      </c>
      <c r="AN600" s="11" t="str">
        <f>IF(HR_Data[[#This Row],[PerformanceRating]]=3,"Standard","Excellent")</f>
        <v>Standard</v>
      </c>
      <c r="AO600" s="11" t="str">
        <f>IF(HR_Data[[#This Row],[JobSatisfaction]]&lt;=2,"Low","High")</f>
        <v>High</v>
      </c>
      <c r="AP600" s="11" t="str">
        <f>IF(AND(HR_Data[[#This Row],[OverTime]]="Yes",HR_Data[[#This Row],[JobSatisfaction]]&lt;=2,HR_Data[[#This Row],[YearsAtCompany]]&lt;=2),"High Risk","Normal")</f>
        <v>Normal</v>
      </c>
    </row>
    <row r="601" spans="1:42" x14ac:dyDescent="0.25">
      <c r="A601" s="6">
        <v>36</v>
      </c>
      <c r="B601" s="4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s="11" t="str">
        <f>IF(HR_Data[[#This Row],[Age]]&lt;=25,"18-25",IF(HR_Data[[#This Row],[Age]]&lt;=35,"26-35",IF(HR_Data[[#This Row],[Age]]&lt;=45,"36-45",IF(HR_Data[[#This Row],[Age]]&lt;=55,"46-55","56+"))))</f>
        <v>36-45</v>
      </c>
      <c r="AK601" s="11" t="str">
        <f>IF(HR_Data[[#This Row],[MonthlyIncome]]&lt;3000,"Low",IF(HR_Data[[#This Row],[MonthlyIncome]]&lt;6000,"Medium",IF(HR_Data[[#This Row],[MonthlyIncome]]&lt;10000,"High","Very High")))</f>
        <v>Low</v>
      </c>
      <c r="AL60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01" t="str">
        <f>IF(HR_Data[[#This Row],[TotalWorkingYears]]&lt;=5,"Junior",IF(HR_Data[[#This Row],[TotalWorkingYears]]&lt;=15,"Mid-Level","Senior"))</f>
        <v>Mid-Level</v>
      </c>
      <c r="AN601" s="11" t="str">
        <f>IF(HR_Data[[#This Row],[PerformanceRating]]=3,"Standard","Excellent")</f>
        <v>Standard</v>
      </c>
      <c r="AO601" s="11" t="str">
        <f>IF(HR_Data[[#This Row],[JobSatisfaction]]&lt;=2,"Low","High")</f>
        <v>Low</v>
      </c>
      <c r="AP601" s="11" t="str">
        <f>IF(AND(HR_Data[[#This Row],[OverTime]]="Yes",HR_Data[[#This Row],[JobSatisfaction]]&lt;=2,HR_Data[[#This Row],[YearsAtCompany]]&lt;=2),"High Risk","Normal")</f>
        <v>Normal</v>
      </c>
    </row>
    <row r="602" spans="1:42" x14ac:dyDescent="0.25">
      <c r="A602" s="6">
        <v>32</v>
      </c>
      <c r="B602" s="4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s="11" t="str">
        <f>IF(HR_Data[[#This Row],[Age]]&lt;=25,"18-25",IF(HR_Data[[#This Row],[Age]]&lt;=35,"26-35",IF(HR_Data[[#This Row],[Age]]&lt;=45,"36-45",IF(HR_Data[[#This Row],[Age]]&lt;=55,"46-55","56+"))))</f>
        <v>26-35</v>
      </c>
      <c r="AK602" s="11" t="str">
        <f>IF(HR_Data[[#This Row],[MonthlyIncome]]&lt;3000,"Low",IF(HR_Data[[#This Row],[MonthlyIncome]]&lt;6000,"Medium",IF(HR_Data[[#This Row],[MonthlyIncome]]&lt;10000,"High","Very High")))</f>
        <v>High</v>
      </c>
      <c r="AL60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602" t="str">
        <f>IF(HR_Data[[#This Row],[TotalWorkingYears]]&lt;=5,"Junior",IF(HR_Data[[#This Row],[TotalWorkingYears]]&lt;=15,"Mid-Level","Senior"))</f>
        <v>Mid-Level</v>
      </c>
      <c r="AN602" s="11" t="str">
        <f>IF(HR_Data[[#This Row],[PerformanceRating]]=3,"Standard","Excellent")</f>
        <v>Standard</v>
      </c>
      <c r="AO602" s="11" t="str">
        <f>IF(HR_Data[[#This Row],[JobSatisfaction]]&lt;=2,"Low","High")</f>
        <v>High</v>
      </c>
      <c r="AP602" s="11" t="str">
        <f>IF(AND(HR_Data[[#This Row],[OverTime]]="Yes",HR_Data[[#This Row],[JobSatisfaction]]&lt;=2,HR_Data[[#This Row],[YearsAtCompany]]&lt;=2),"High Risk","Normal")</f>
        <v>Normal</v>
      </c>
    </row>
    <row r="603" spans="1:42" x14ac:dyDescent="0.25">
      <c r="A603" s="6">
        <v>40</v>
      </c>
      <c r="B603" s="4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s="11" t="str">
        <f>IF(HR_Data[[#This Row],[Age]]&lt;=25,"18-25",IF(HR_Data[[#This Row],[Age]]&lt;=35,"26-35",IF(HR_Data[[#This Row],[Age]]&lt;=45,"36-45",IF(HR_Data[[#This Row],[Age]]&lt;=55,"46-55","56+"))))</f>
        <v>36-45</v>
      </c>
      <c r="AK603" s="11" t="str">
        <f>IF(HR_Data[[#This Row],[MonthlyIncome]]&lt;3000,"Low",IF(HR_Data[[#This Row],[MonthlyIncome]]&lt;6000,"Medium",IF(HR_Data[[#This Row],[MonthlyIncome]]&lt;10000,"High","Very High")))</f>
        <v>Medium</v>
      </c>
      <c r="AL60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03" t="str">
        <f>IF(HR_Data[[#This Row],[TotalWorkingYears]]&lt;=5,"Junior",IF(HR_Data[[#This Row],[TotalWorkingYears]]&lt;=15,"Mid-Level","Senior"))</f>
        <v>Mid-Level</v>
      </c>
      <c r="AN603" s="11" t="str">
        <f>IF(HR_Data[[#This Row],[PerformanceRating]]=3,"Standard","Excellent")</f>
        <v>Standard</v>
      </c>
      <c r="AO603" s="11" t="str">
        <f>IF(HR_Data[[#This Row],[JobSatisfaction]]&lt;=2,"Low","High")</f>
        <v>High</v>
      </c>
      <c r="AP603" s="11" t="str">
        <f>IF(AND(HR_Data[[#This Row],[OverTime]]="Yes",HR_Data[[#This Row],[JobSatisfaction]]&lt;=2,HR_Data[[#This Row],[YearsAtCompany]]&lt;=2),"High Risk","Normal")</f>
        <v>Normal</v>
      </c>
    </row>
    <row r="604" spans="1:42" x14ac:dyDescent="0.25">
      <c r="A604" s="6">
        <v>30</v>
      </c>
      <c r="B604" s="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s="11" t="str">
        <f>IF(HR_Data[[#This Row],[Age]]&lt;=25,"18-25",IF(HR_Data[[#This Row],[Age]]&lt;=35,"26-35",IF(HR_Data[[#This Row],[Age]]&lt;=45,"36-45",IF(HR_Data[[#This Row],[Age]]&lt;=55,"46-55","56+"))))</f>
        <v>26-35</v>
      </c>
      <c r="AK604" s="11" t="str">
        <f>IF(HR_Data[[#This Row],[MonthlyIncome]]&lt;3000,"Low",IF(HR_Data[[#This Row],[MonthlyIncome]]&lt;6000,"Medium",IF(HR_Data[[#This Row],[MonthlyIncome]]&lt;10000,"High","Very High")))</f>
        <v>High</v>
      </c>
      <c r="AL60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04" t="str">
        <f>IF(HR_Data[[#This Row],[TotalWorkingYears]]&lt;=5,"Junior",IF(HR_Data[[#This Row],[TotalWorkingYears]]&lt;=15,"Mid-Level","Senior"))</f>
        <v>Mid-Level</v>
      </c>
      <c r="AN604" s="11" t="str">
        <f>IF(HR_Data[[#This Row],[PerformanceRating]]=3,"Standard","Excellent")</f>
        <v>Excellent</v>
      </c>
      <c r="AO604" s="11" t="str">
        <f>IF(HR_Data[[#This Row],[JobSatisfaction]]&lt;=2,"Low","High")</f>
        <v>High</v>
      </c>
      <c r="AP604" s="11" t="str">
        <f>IF(AND(HR_Data[[#This Row],[OverTime]]="Yes",HR_Data[[#This Row],[JobSatisfaction]]&lt;=2,HR_Data[[#This Row],[YearsAtCompany]]&lt;=2),"High Risk","Normal")</f>
        <v>Normal</v>
      </c>
    </row>
    <row r="605" spans="1:42" x14ac:dyDescent="0.25">
      <c r="A605" s="6">
        <v>45</v>
      </c>
      <c r="B605" s="4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s="11" t="str">
        <f>IF(HR_Data[[#This Row],[Age]]&lt;=25,"18-25",IF(HR_Data[[#This Row],[Age]]&lt;=35,"26-35",IF(HR_Data[[#This Row],[Age]]&lt;=45,"36-45",IF(HR_Data[[#This Row],[Age]]&lt;=55,"46-55","56+"))))</f>
        <v>36-45</v>
      </c>
      <c r="AK605" s="11" t="str">
        <f>IF(HR_Data[[#This Row],[MonthlyIncome]]&lt;3000,"Low",IF(HR_Data[[#This Row],[MonthlyIncome]]&lt;6000,"Medium",IF(HR_Data[[#This Row],[MonthlyIncome]]&lt;10000,"High","Very High")))</f>
        <v>Low</v>
      </c>
      <c r="AL60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05" t="str">
        <f>IF(HR_Data[[#This Row],[TotalWorkingYears]]&lt;=5,"Junior",IF(HR_Data[[#This Row],[TotalWorkingYears]]&lt;=15,"Mid-Level","Senior"))</f>
        <v>Junior</v>
      </c>
      <c r="AN605" s="11" t="str">
        <f>IF(HR_Data[[#This Row],[PerformanceRating]]=3,"Standard","Excellent")</f>
        <v>Standard</v>
      </c>
      <c r="AO605" s="11" t="str">
        <f>IF(HR_Data[[#This Row],[JobSatisfaction]]&lt;=2,"Low","High")</f>
        <v>High</v>
      </c>
      <c r="AP605" s="11" t="str">
        <f>IF(AND(HR_Data[[#This Row],[OverTime]]="Yes",HR_Data[[#This Row],[JobSatisfaction]]&lt;=2,HR_Data[[#This Row],[YearsAtCompany]]&lt;=2),"High Risk","Normal")</f>
        <v>Normal</v>
      </c>
    </row>
    <row r="606" spans="1:42" x14ac:dyDescent="0.25">
      <c r="A606" s="6">
        <v>42</v>
      </c>
      <c r="B606" s="4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s="11" t="str">
        <f>IF(HR_Data[[#This Row],[Age]]&lt;=25,"18-25",IF(HR_Data[[#This Row],[Age]]&lt;=35,"26-35",IF(HR_Data[[#This Row],[Age]]&lt;=45,"36-45",IF(HR_Data[[#This Row],[Age]]&lt;=55,"46-55","56+"))))</f>
        <v>36-45</v>
      </c>
      <c r="AK606" s="11" t="str">
        <f>IF(HR_Data[[#This Row],[MonthlyIncome]]&lt;3000,"Low",IF(HR_Data[[#This Row],[MonthlyIncome]]&lt;6000,"Medium",IF(HR_Data[[#This Row],[MonthlyIncome]]&lt;10000,"High","Very High")))</f>
        <v>Medium</v>
      </c>
      <c r="AL60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06" t="str">
        <f>IF(HR_Data[[#This Row],[TotalWorkingYears]]&lt;=5,"Junior",IF(HR_Data[[#This Row],[TotalWorkingYears]]&lt;=15,"Mid-Level","Senior"))</f>
        <v>Mid-Level</v>
      </c>
      <c r="AN606" s="11" t="str">
        <f>IF(HR_Data[[#This Row],[PerformanceRating]]=3,"Standard","Excellent")</f>
        <v>Standard</v>
      </c>
      <c r="AO606" s="11" t="str">
        <f>IF(HR_Data[[#This Row],[JobSatisfaction]]&lt;=2,"Low","High")</f>
        <v>Low</v>
      </c>
      <c r="AP606" s="11" t="str">
        <f>IF(AND(HR_Data[[#This Row],[OverTime]]="Yes",HR_Data[[#This Row],[JobSatisfaction]]&lt;=2,HR_Data[[#This Row],[YearsAtCompany]]&lt;=2),"High Risk","Normal")</f>
        <v>Normal</v>
      </c>
    </row>
    <row r="607" spans="1:42" x14ac:dyDescent="0.25">
      <c r="A607" s="6">
        <v>38</v>
      </c>
      <c r="B607" s="4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s="11" t="str">
        <f>IF(HR_Data[[#This Row],[Age]]&lt;=25,"18-25",IF(HR_Data[[#This Row],[Age]]&lt;=35,"26-35",IF(HR_Data[[#This Row],[Age]]&lt;=45,"36-45",IF(HR_Data[[#This Row],[Age]]&lt;=55,"46-55","56+"))))</f>
        <v>36-45</v>
      </c>
      <c r="AK607" s="11" t="str">
        <f>IF(HR_Data[[#This Row],[MonthlyIncome]]&lt;3000,"Low",IF(HR_Data[[#This Row],[MonthlyIncome]]&lt;6000,"Medium",IF(HR_Data[[#This Row],[MonthlyIncome]]&lt;10000,"High","Very High")))</f>
        <v>High</v>
      </c>
      <c r="AL60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07" t="str">
        <f>IF(HR_Data[[#This Row],[TotalWorkingYears]]&lt;=5,"Junior",IF(HR_Data[[#This Row],[TotalWorkingYears]]&lt;=15,"Mid-Level","Senior"))</f>
        <v>Mid-Level</v>
      </c>
      <c r="AN607" s="11" t="str">
        <f>IF(HR_Data[[#This Row],[PerformanceRating]]=3,"Standard","Excellent")</f>
        <v>Standard</v>
      </c>
      <c r="AO607" s="11" t="str">
        <f>IF(HR_Data[[#This Row],[JobSatisfaction]]&lt;=2,"Low","High")</f>
        <v>Low</v>
      </c>
      <c r="AP607" s="11" t="str">
        <f>IF(AND(HR_Data[[#This Row],[OverTime]]="Yes",HR_Data[[#This Row],[JobSatisfaction]]&lt;=2,HR_Data[[#This Row],[YearsAtCompany]]&lt;=2),"High Risk","Normal")</f>
        <v>Normal</v>
      </c>
    </row>
    <row r="608" spans="1:42" x14ac:dyDescent="0.25">
      <c r="A608" s="6">
        <v>34</v>
      </c>
      <c r="B608" s="4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s="11" t="str">
        <f>IF(HR_Data[[#This Row],[Age]]&lt;=25,"18-25",IF(HR_Data[[#This Row],[Age]]&lt;=35,"26-35",IF(HR_Data[[#This Row],[Age]]&lt;=45,"36-45",IF(HR_Data[[#This Row],[Age]]&lt;=55,"46-55","56+"))))</f>
        <v>26-35</v>
      </c>
      <c r="AK608" s="11" t="str">
        <f>IF(HR_Data[[#This Row],[MonthlyIncome]]&lt;3000,"Low",IF(HR_Data[[#This Row],[MonthlyIncome]]&lt;6000,"Medium",IF(HR_Data[[#This Row],[MonthlyIncome]]&lt;10000,"High","Very High")))</f>
        <v>Low</v>
      </c>
      <c r="AL60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08" t="str">
        <f>IF(HR_Data[[#This Row],[TotalWorkingYears]]&lt;=5,"Junior",IF(HR_Data[[#This Row],[TotalWorkingYears]]&lt;=15,"Mid-Level","Senior"))</f>
        <v>Mid-Level</v>
      </c>
      <c r="AN608" s="11" t="str">
        <f>IF(HR_Data[[#This Row],[PerformanceRating]]=3,"Standard","Excellent")</f>
        <v>Standard</v>
      </c>
      <c r="AO608" s="11" t="str">
        <f>IF(HR_Data[[#This Row],[JobSatisfaction]]&lt;=2,"Low","High")</f>
        <v>High</v>
      </c>
      <c r="AP608" s="11" t="str">
        <f>IF(AND(HR_Data[[#This Row],[OverTime]]="Yes",HR_Data[[#This Row],[JobSatisfaction]]&lt;=2,HR_Data[[#This Row],[YearsAtCompany]]&lt;=2),"High Risk","Normal")</f>
        <v>Normal</v>
      </c>
    </row>
    <row r="609" spans="1:42" x14ac:dyDescent="0.25">
      <c r="A609" s="6">
        <v>49</v>
      </c>
      <c r="B609" s="4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s="11" t="str">
        <f>IF(HR_Data[[#This Row],[Age]]&lt;=25,"18-25",IF(HR_Data[[#This Row],[Age]]&lt;=35,"26-35",IF(HR_Data[[#This Row],[Age]]&lt;=45,"36-45",IF(HR_Data[[#This Row],[Age]]&lt;=55,"46-55","56+"))))</f>
        <v>46-55</v>
      </c>
      <c r="AK609" s="11" t="str">
        <f>IF(HR_Data[[#This Row],[MonthlyIncome]]&lt;3000,"Low",IF(HR_Data[[#This Row],[MonthlyIncome]]&lt;6000,"Medium",IF(HR_Data[[#This Row],[MonthlyIncome]]&lt;10000,"High","Very High")))</f>
        <v>High</v>
      </c>
      <c r="AL60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09" t="str">
        <f>IF(HR_Data[[#This Row],[TotalWorkingYears]]&lt;=5,"Junior",IF(HR_Data[[#This Row],[TotalWorkingYears]]&lt;=15,"Mid-Level","Senior"))</f>
        <v>Mid-Level</v>
      </c>
      <c r="AN609" s="11" t="str">
        <f>IF(HR_Data[[#This Row],[PerformanceRating]]=3,"Standard","Excellent")</f>
        <v>Standard</v>
      </c>
      <c r="AO609" s="11" t="str">
        <f>IF(HR_Data[[#This Row],[JobSatisfaction]]&lt;=2,"Low","High")</f>
        <v>High</v>
      </c>
      <c r="AP609" s="11" t="str">
        <f>IF(AND(HR_Data[[#This Row],[OverTime]]="Yes",HR_Data[[#This Row],[JobSatisfaction]]&lt;=2,HR_Data[[#This Row],[YearsAtCompany]]&lt;=2),"High Risk","Normal")</f>
        <v>Normal</v>
      </c>
    </row>
    <row r="610" spans="1:42" x14ac:dyDescent="0.25">
      <c r="A610" s="6">
        <v>55</v>
      </c>
      <c r="B610" s="4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s="11" t="str">
        <f>IF(HR_Data[[#This Row],[Age]]&lt;=25,"18-25",IF(HR_Data[[#This Row],[Age]]&lt;=35,"26-35",IF(HR_Data[[#This Row],[Age]]&lt;=45,"36-45",IF(HR_Data[[#This Row],[Age]]&lt;=55,"46-55","56+"))))</f>
        <v>46-55</v>
      </c>
      <c r="AK610" s="11" t="str">
        <f>IF(HR_Data[[#This Row],[MonthlyIncome]]&lt;3000,"Low",IF(HR_Data[[#This Row],[MonthlyIncome]]&lt;6000,"Medium",IF(HR_Data[[#This Row],[MonthlyIncome]]&lt;10000,"High","Very High")))</f>
        <v>Medium</v>
      </c>
      <c r="AL61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10" t="str">
        <f>IF(HR_Data[[#This Row],[TotalWorkingYears]]&lt;=5,"Junior",IF(HR_Data[[#This Row],[TotalWorkingYears]]&lt;=15,"Mid-Level","Senior"))</f>
        <v>Mid-Level</v>
      </c>
      <c r="AN610" s="11" t="str">
        <f>IF(HR_Data[[#This Row],[PerformanceRating]]=3,"Standard","Excellent")</f>
        <v>Standard</v>
      </c>
      <c r="AO610" s="11" t="str">
        <f>IF(HR_Data[[#This Row],[JobSatisfaction]]&lt;=2,"Low","High")</f>
        <v>High</v>
      </c>
      <c r="AP610" s="11" t="str">
        <f>IF(AND(HR_Data[[#This Row],[OverTime]]="Yes",HR_Data[[#This Row],[JobSatisfaction]]&lt;=2,HR_Data[[#This Row],[YearsAtCompany]]&lt;=2),"High Risk","Normal")</f>
        <v>Normal</v>
      </c>
    </row>
    <row r="611" spans="1:42" x14ac:dyDescent="0.25">
      <c r="A611" s="6">
        <v>43</v>
      </c>
      <c r="B611" s="4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s="11" t="str">
        <f>IF(HR_Data[[#This Row],[Age]]&lt;=25,"18-25",IF(HR_Data[[#This Row],[Age]]&lt;=35,"26-35",IF(HR_Data[[#This Row],[Age]]&lt;=45,"36-45",IF(HR_Data[[#This Row],[Age]]&lt;=55,"46-55","56+"))))</f>
        <v>36-45</v>
      </c>
      <c r="AK611" s="11" t="str">
        <f>IF(HR_Data[[#This Row],[MonthlyIncome]]&lt;3000,"Low",IF(HR_Data[[#This Row],[MonthlyIncome]]&lt;6000,"Medium",IF(HR_Data[[#This Row],[MonthlyIncome]]&lt;10000,"High","Very High")))</f>
        <v>Very High</v>
      </c>
      <c r="AL61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11" t="str">
        <f>IF(HR_Data[[#This Row],[TotalWorkingYears]]&lt;=5,"Junior",IF(HR_Data[[#This Row],[TotalWorkingYears]]&lt;=15,"Mid-Level","Senior"))</f>
        <v>Senior</v>
      </c>
      <c r="AN611" s="11" t="str">
        <f>IF(HR_Data[[#This Row],[PerformanceRating]]=3,"Standard","Excellent")</f>
        <v>Excellent</v>
      </c>
      <c r="AO611" s="11" t="str">
        <f>IF(HR_Data[[#This Row],[JobSatisfaction]]&lt;=2,"Low","High")</f>
        <v>Low</v>
      </c>
      <c r="AP611" s="11" t="str">
        <f>IF(AND(HR_Data[[#This Row],[OverTime]]="Yes",HR_Data[[#This Row],[JobSatisfaction]]&lt;=2,HR_Data[[#This Row],[YearsAtCompany]]&lt;=2),"High Risk","Normal")</f>
        <v>Normal</v>
      </c>
    </row>
    <row r="612" spans="1:42" x14ac:dyDescent="0.25">
      <c r="A612" s="6">
        <v>27</v>
      </c>
      <c r="B612" s="4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s="11" t="str">
        <f>IF(HR_Data[[#This Row],[Age]]&lt;=25,"18-25",IF(HR_Data[[#This Row],[Age]]&lt;=35,"26-35",IF(HR_Data[[#This Row],[Age]]&lt;=45,"36-45",IF(HR_Data[[#This Row],[Age]]&lt;=55,"46-55","56+"))))</f>
        <v>26-35</v>
      </c>
      <c r="AK612" s="11" t="str">
        <f>IF(HR_Data[[#This Row],[MonthlyIncome]]&lt;3000,"Low",IF(HR_Data[[#This Row],[MonthlyIncome]]&lt;6000,"Medium",IF(HR_Data[[#This Row],[MonthlyIncome]]&lt;10000,"High","Very High")))</f>
        <v>Very High</v>
      </c>
      <c r="AL61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12" t="str">
        <f>IF(HR_Data[[#This Row],[TotalWorkingYears]]&lt;=5,"Junior",IF(HR_Data[[#This Row],[TotalWorkingYears]]&lt;=15,"Mid-Level","Senior"))</f>
        <v>Mid-Level</v>
      </c>
      <c r="AN612" s="11" t="str">
        <f>IF(HR_Data[[#This Row],[PerformanceRating]]=3,"Standard","Excellent")</f>
        <v>Standard</v>
      </c>
      <c r="AO612" s="11" t="str">
        <f>IF(HR_Data[[#This Row],[JobSatisfaction]]&lt;=2,"Low","High")</f>
        <v>High</v>
      </c>
      <c r="AP612" s="11" t="str">
        <f>IF(AND(HR_Data[[#This Row],[OverTime]]="Yes",HR_Data[[#This Row],[JobSatisfaction]]&lt;=2,HR_Data[[#This Row],[YearsAtCompany]]&lt;=2),"High Risk","Normal")</f>
        <v>Normal</v>
      </c>
    </row>
    <row r="613" spans="1:42" x14ac:dyDescent="0.25">
      <c r="A613" s="6">
        <v>35</v>
      </c>
      <c r="B613" s="4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s="11" t="str">
        <f>IF(HR_Data[[#This Row],[Age]]&lt;=25,"18-25",IF(HR_Data[[#This Row],[Age]]&lt;=35,"26-35",IF(HR_Data[[#This Row],[Age]]&lt;=45,"36-45",IF(HR_Data[[#This Row],[Age]]&lt;=55,"46-55","56+"))))</f>
        <v>26-35</v>
      </c>
      <c r="AK613" s="11" t="str">
        <f>IF(HR_Data[[#This Row],[MonthlyIncome]]&lt;3000,"Low",IF(HR_Data[[#This Row],[MonthlyIncome]]&lt;6000,"Medium",IF(HR_Data[[#This Row],[MonthlyIncome]]&lt;10000,"High","Very High")))</f>
        <v>Very High</v>
      </c>
      <c r="AL61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13" t="str">
        <f>IF(HR_Data[[#This Row],[TotalWorkingYears]]&lt;=5,"Junior",IF(HR_Data[[#This Row],[TotalWorkingYears]]&lt;=15,"Mid-Level","Senior"))</f>
        <v>Senior</v>
      </c>
      <c r="AN613" s="11" t="str">
        <f>IF(HR_Data[[#This Row],[PerformanceRating]]=3,"Standard","Excellent")</f>
        <v>Excellent</v>
      </c>
      <c r="AO613" s="11" t="str">
        <f>IF(HR_Data[[#This Row],[JobSatisfaction]]&lt;=2,"Low","High")</f>
        <v>High</v>
      </c>
      <c r="AP613" s="11" t="str">
        <f>IF(AND(HR_Data[[#This Row],[OverTime]]="Yes",HR_Data[[#This Row],[JobSatisfaction]]&lt;=2,HR_Data[[#This Row],[YearsAtCompany]]&lt;=2),"High Risk","Normal")</f>
        <v>Normal</v>
      </c>
    </row>
    <row r="614" spans="1:42" x14ac:dyDescent="0.25">
      <c r="A614" s="6">
        <v>28</v>
      </c>
      <c r="B614" s="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s="11" t="str">
        <f>IF(HR_Data[[#This Row],[Age]]&lt;=25,"18-25",IF(HR_Data[[#This Row],[Age]]&lt;=35,"26-35",IF(HR_Data[[#This Row],[Age]]&lt;=45,"36-45",IF(HR_Data[[#This Row],[Age]]&lt;=55,"46-55","56+"))))</f>
        <v>26-35</v>
      </c>
      <c r="AK614" s="11" t="str">
        <f>IF(HR_Data[[#This Row],[MonthlyIncome]]&lt;3000,"Low",IF(HR_Data[[#This Row],[MonthlyIncome]]&lt;6000,"Medium",IF(HR_Data[[#This Row],[MonthlyIncome]]&lt;10000,"High","Very High")))</f>
        <v>Medium</v>
      </c>
      <c r="AL61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14" t="str">
        <f>IF(HR_Data[[#This Row],[TotalWorkingYears]]&lt;=5,"Junior",IF(HR_Data[[#This Row],[TotalWorkingYears]]&lt;=15,"Mid-Level","Senior"))</f>
        <v>Mid-Level</v>
      </c>
      <c r="AN614" s="11" t="str">
        <f>IF(HR_Data[[#This Row],[PerformanceRating]]=3,"Standard","Excellent")</f>
        <v>Excellent</v>
      </c>
      <c r="AO614" s="11" t="str">
        <f>IF(HR_Data[[#This Row],[JobSatisfaction]]&lt;=2,"Low","High")</f>
        <v>Low</v>
      </c>
      <c r="AP614" s="11" t="str">
        <f>IF(AND(HR_Data[[#This Row],[OverTime]]="Yes",HR_Data[[#This Row],[JobSatisfaction]]&lt;=2,HR_Data[[#This Row],[YearsAtCompany]]&lt;=2),"High Risk","Normal")</f>
        <v>Normal</v>
      </c>
    </row>
    <row r="615" spans="1:42" x14ac:dyDescent="0.25">
      <c r="A615" s="6">
        <v>34</v>
      </c>
      <c r="B615" s="4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s="11" t="str">
        <f>IF(HR_Data[[#This Row],[Age]]&lt;=25,"18-25",IF(HR_Data[[#This Row],[Age]]&lt;=35,"26-35",IF(HR_Data[[#This Row],[Age]]&lt;=45,"36-45",IF(HR_Data[[#This Row],[Age]]&lt;=55,"46-55","56+"))))</f>
        <v>26-35</v>
      </c>
      <c r="AK615" s="11" t="str">
        <f>IF(HR_Data[[#This Row],[MonthlyIncome]]&lt;3000,"Low",IF(HR_Data[[#This Row],[MonthlyIncome]]&lt;6000,"Medium",IF(HR_Data[[#This Row],[MonthlyIncome]]&lt;10000,"High","Very High")))</f>
        <v>Medium</v>
      </c>
      <c r="AL61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15" t="str">
        <f>IF(HR_Data[[#This Row],[TotalWorkingYears]]&lt;=5,"Junior",IF(HR_Data[[#This Row],[TotalWorkingYears]]&lt;=15,"Mid-Level","Senior"))</f>
        <v>Junior</v>
      </c>
      <c r="AN615" s="11" t="str">
        <f>IF(HR_Data[[#This Row],[PerformanceRating]]=3,"Standard","Excellent")</f>
        <v>Standard</v>
      </c>
      <c r="AO615" s="11" t="str">
        <f>IF(HR_Data[[#This Row],[JobSatisfaction]]&lt;=2,"Low","High")</f>
        <v>High</v>
      </c>
      <c r="AP615" s="11" t="str">
        <f>IF(AND(HR_Data[[#This Row],[OverTime]]="Yes",HR_Data[[#This Row],[JobSatisfaction]]&lt;=2,HR_Data[[#This Row],[YearsAtCompany]]&lt;=2),"High Risk","Normal")</f>
        <v>Normal</v>
      </c>
    </row>
    <row r="616" spans="1:42" x14ac:dyDescent="0.25">
      <c r="A616" s="6">
        <v>26</v>
      </c>
      <c r="B616" s="4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s="11" t="str">
        <f>IF(HR_Data[[#This Row],[Age]]&lt;=25,"18-25",IF(HR_Data[[#This Row],[Age]]&lt;=35,"26-35",IF(HR_Data[[#This Row],[Age]]&lt;=45,"36-45",IF(HR_Data[[#This Row],[Age]]&lt;=55,"46-55","56+"))))</f>
        <v>26-35</v>
      </c>
      <c r="AK616" s="11" t="str">
        <f>IF(HR_Data[[#This Row],[MonthlyIncome]]&lt;3000,"Low",IF(HR_Data[[#This Row],[MonthlyIncome]]&lt;6000,"Medium",IF(HR_Data[[#This Row],[MonthlyIncome]]&lt;10000,"High","Very High")))</f>
        <v>Low</v>
      </c>
      <c r="AL61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16" t="str">
        <f>IF(HR_Data[[#This Row],[TotalWorkingYears]]&lt;=5,"Junior",IF(HR_Data[[#This Row],[TotalWorkingYears]]&lt;=15,"Mid-Level","Senior"))</f>
        <v>Mid-Level</v>
      </c>
      <c r="AN616" s="11" t="str">
        <f>IF(HR_Data[[#This Row],[PerformanceRating]]=3,"Standard","Excellent")</f>
        <v>Standard</v>
      </c>
      <c r="AO616" s="11" t="str">
        <f>IF(HR_Data[[#This Row],[JobSatisfaction]]&lt;=2,"Low","High")</f>
        <v>High</v>
      </c>
      <c r="AP616" s="11" t="str">
        <f>IF(AND(HR_Data[[#This Row],[OverTime]]="Yes",HR_Data[[#This Row],[JobSatisfaction]]&lt;=2,HR_Data[[#This Row],[YearsAtCompany]]&lt;=2),"High Risk","Normal")</f>
        <v>Normal</v>
      </c>
    </row>
    <row r="617" spans="1:42" x14ac:dyDescent="0.25">
      <c r="A617" s="6">
        <v>27</v>
      </c>
      <c r="B617" s="4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s="11" t="str">
        <f>IF(HR_Data[[#This Row],[Age]]&lt;=25,"18-25",IF(HR_Data[[#This Row],[Age]]&lt;=35,"26-35",IF(HR_Data[[#This Row],[Age]]&lt;=45,"36-45",IF(HR_Data[[#This Row],[Age]]&lt;=55,"46-55","56+"))))</f>
        <v>26-35</v>
      </c>
      <c r="AK617" s="11" t="str">
        <f>IF(HR_Data[[#This Row],[MonthlyIncome]]&lt;3000,"Low",IF(HR_Data[[#This Row],[MonthlyIncome]]&lt;6000,"Medium",IF(HR_Data[[#This Row],[MonthlyIncome]]&lt;10000,"High","Very High")))</f>
        <v>Low</v>
      </c>
      <c r="AL61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17" t="str">
        <f>IF(HR_Data[[#This Row],[TotalWorkingYears]]&lt;=5,"Junior",IF(HR_Data[[#This Row],[TotalWorkingYears]]&lt;=15,"Mid-Level","Senior"))</f>
        <v>Junior</v>
      </c>
      <c r="AN617" s="11" t="str">
        <f>IF(HR_Data[[#This Row],[PerformanceRating]]=3,"Standard","Excellent")</f>
        <v>Standard</v>
      </c>
      <c r="AO617" s="11" t="str">
        <f>IF(HR_Data[[#This Row],[JobSatisfaction]]&lt;=2,"Low","High")</f>
        <v>High</v>
      </c>
      <c r="AP617" s="11" t="str">
        <f>IF(AND(HR_Data[[#This Row],[OverTime]]="Yes",HR_Data[[#This Row],[JobSatisfaction]]&lt;=2,HR_Data[[#This Row],[YearsAtCompany]]&lt;=2),"High Risk","Normal")</f>
        <v>Normal</v>
      </c>
    </row>
    <row r="618" spans="1:42" x14ac:dyDescent="0.25">
      <c r="A618" s="6">
        <v>51</v>
      </c>
      <c r="B618" s="4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s="11" t="str">
        <f>IF(HR_Data[[#This Row],[Age]]&lt;=25,"18-25",IF(HR_Data[[#This Row],[Age]]&lt;=35,"26-35",IF(HR_Data[[#This Row],[Age]]&lt;=45,"36-45",IF(HR_Data[[#This Row],[Age]]&lt;=55,"46-55","56+"))))</f>
        <v>46-55</v>
      </c>
      <c r="AK618" s="11" t="str">
        <f>IF(HR_Data[[#This Row],[MonthlyIncome]]&lt;3000,"Low",IF(HR_Data[[#This Row],[MonthlyIncome]]&lt;6000,"Medium",IF(HR_Data[[#This Row],[MonthlyIncome]]&lt;10000,"High","Very High")))</f>
        <v>Very High</v>
      </c>
      <c r="AL61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618" t="str">
        <f>IF(HR_Data[[#This Row],[TotalWorkingYears]]&lt;=5,"Junior",IF(HR_Data[[#This Row],[TotalWorkingYears]]&lt;=15,"Mid-Level","Senior"))</f>
        <v>Senior</v>
      </c>
      <c r="AN618" s="11" t="str">
        <f>IF(HR_Data[[#This Row],[PerformanceRating]]=3,"Standard","Excellent")</f>
        <v>Standard</v>
      </c>
      <c r="AO618" s="11" t="str">
        <f>IF(HR_Data[[#This Row],[JobSatisfaction]]&lt;=2,"Low","High")</f>
        <v>High</v>
      </c>
      <c r="AP618" s="11" t="str">
        <f>IF(AND(HR_Data[[#This Row],[OverTime]]="Yes",HR_Data[[#This Row],[JobSatisfaction]]&lt;=2,HR_Data[[#This Row],[YearsAtCompany]]&lt;=2),"High Risk","Normal")</f>
        <v>Normal</v>
      </c>
    </row>
    <row r="619" spans="1:42" x14ac:dyDescent="0.25">
      <c r="A619" s="6">
        <v>44</v>
      </c>
      <c r="B619" s="4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s="11" t="str">
        <f>IF(HR_Data[[#This Row],[Age]]&lt;=25,"18-25",IF(HR_Data[[#This Row],[Age]]&lt;=35,"26-35",IF(HR_Data[[#This Row],[Age]]&lt;=45,"36-45",IF(HR_Data[[#This Row],[Age]]&lt;=55,"46-55","56+"))))</f>
        <v>36-45</v>
      </c>
      <c r="AK619" s="11" t="str">
        <f>IF(HR_Data[[#This Row],[MonthlyIncome]]&lt;3000,"Low",IF(HR_Data[[#This Row],[MonthlyIncome]]&lt;6000,"Medium",IF(HR_Data[[#This Row],[MonthlyIncome]]&lt;10000,"High","Very High")))</f>
        <v>Medium</v>
      </c>
      <c r="AL61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19" t="str">
        <f>IF(HR_Data[[#This Row],[TotalWorkingYears]]&lt;=5,"Junior",IF(HR_Data[[#This Row],[TotalWorkingYears]]&lt;=15,"Mid-Level","Senior"))</f>
        <v>Mid-Level</v>
      </c>
      <c r="AN619" s="11" t="str">
        <f>IF(HR_Data[[#This Row],[PerformanceRating]]=3,"Standard","Excellent")</f>
        <v>Standard</v>
      </c>
      <c r="AO619" s="11" t="str">
        <f>IF(HR_Data[[#This Row],[JobSatisfaction]]&lt;=2,"Low","High")</f>
        <v>Low</v>
      </c>
      <c r="AP619" s="11" t="str">
        <f>IF(AND(HR_Data[[#This Row],[OverTime]]="Yes",HR_Data[[#This Row],[JobSatisfaction]]&lt;=2,HR_Data[[#This Row],[YearsAtCompany]]&lt;=2),"High Risk","Normal")</f>
        <v>Normal</v>
      </c>
    </row>
    <row r="620" spans="1:42" x14ac:dyDescent="0.25">
      <c r="A620" s="6">
        <v>25</v>
      </c>
      <c r="B620" s="4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s="11" t="str">
        <f>IF(HR_Data[[#This Row],[Age]]&lt;=25,"18-25",IF(HR_Data[[#This Row],[Age]]&lt;=35,"26-35",IF(HR_Data[[#This Row],[Age]]&lt;=45,"36-45",IF(HR_Data[[#This Row],[Age]]&lt;=55,"46-55","56+"))))</f>
        <v>18-25</v>
      </c>
      <c r="AK620" s="11" t="str">
        <f>IF(HR_Data[[#This Row],[MonthlyIncome]]&lt;3000,"Low",IF(HR_Data[[#This Row],[MonthlyIncome]]&lt;6000,"Medium",IF(HR_Data[[#This Row],[MonthlyIncome]]&lt;10000,"High","Very High")))</f>
        <v>Medium</v>
      </c>
      <c r="AL62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20" t="str">
        <f>IF(HR_Data[[#This Row],[TotalWorkingYears]]&lt;=5,"Junior",IF(HR_Data[[#This Row],[TotalWorkingYears]]&lt;=15,"Mid-Level","Senior"))</f>
        <v>Mid-Level</v>
      </c>
      <c r="AN620" s="11" t="str">
        <f>IF(HR_Data[[#This Row],[PerformanceRating]]=3,"Standard","Excellent")</f>
        <v>Standard</v>
      </c>
      <c r="AO620" s="11" t="str">
        <f>IF(HR_Data[[#This Row],[JobSatisfaction]]&lt;=2,"Low","High")</f>
        <v>Low</v>
      </c>
      <c r="AP620" s="11" t="str">
        <f>IF(AND(HR_Data[[#This Row],[OverTime]]="Yes",HR_Data[[#This Row],[JobSatisfaction]]&lt;=2,HR_Data[[#This Row],[YearsAtCompany]]&lt;=2),"High Risk","Normal")</f>
        <v>Normal</v>
      </c>
    </row>
    <row r="621" spans="1:42" x14ac:dyDescent="0.25">
      <c r="A621" s="6">
        <v>33</v>
      </c>
      <c r="B621" s="4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s="11" t="str">
        <f>IF(HR_Data[[#This Row],[Age]]&lt;=25,"18-25",IF(HR_Data[[#This Row],[Age]]&lt;=35,"26-35",IF(HR_Data[[#This Row],[Age]]&lt;=45,"36-45",IF(HR_Data[[#This Row],[Age]]&lt;=55,"46-55","56+"))))</f>
        <v>26-35</v>
      </c>
      <c r="AK621" s="11" t="str">
        <f>IF(HR_Data[[#This Row],[MonthlyIncome]]&lt;3000,"Low",IF(HR_Data[[#This Row],[MonthlyIncome]]&lt;6000,"Medium",IF(HR_Data[[#This Row],[MonthlyIncome]]&lt;10000,"High","Very High")))</f>
        <v>Medium</v>
      </c>
      <c r="AL62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21" t="str">
        <f>IF(HR_Data[[#This Row],[TotalWorkingYears]]&lt;=5,"Junior",IF(HR_Data[[#This Row],[TotalWorkingYears]]&lt;=15,"Mid-Level","Senior"))</f>
        <v>Mid-Level</v>
      </c>
      <c r="AN621" s="11" t="str">
        <f>IF(HR_Data[[#This Row],[PerformanceRating]]=3,"Standard","Excellent")</f>
        <v>Excellent</v>
      </c>
      <c r="AO621" s="11" t="str">
        <f>IF(HR_Data[[#This Row],[JobSatisfaction]]&lt;=2,"Low","High")</f>
        <v>Low</v>
      </c>
      <c r="AP621" s="11" t="str">
        <f>IF(AND(HR_Data[[#This Row],[OverTime]]="Yes",HR_Data[[#This Row],[JobSatisfaction]]&lt;=2,HR_Data[[#This Row],[YearsAtCompany]]&lt;=2),"High Risk","Normal")</f>
        <v>Normal</v>
      </c>
    </row>
    <row r="622" spans="1:42" x14ac:dyDescent="0.25">
      <c r="A622" s="6">
        <v>35</v>
      </c>
      <c r="B622" s="4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s="11" t="str">
        <f>IF(HR_Data[[#This Row],[Age]]&lt;=25,"18-25",IF(HR_Data[[#This Row],[Age]]&lt;=35,"26-35",IF(HR_Data[[#This Row],[Age]]&lt;=45,"36-45",IF(HR_Data[[#This Row],[Age]]&lt;=55,"46-55","56+"))))</f>
        <v>26-35</v>
      </c>
      <c r="AK622" s="11" t="str">
        <f>IF(HR_Data[[#This Row],[MonthlyIncome]]&lt;3000,"Low",IF(HR_Data[[#This Row],[MonthlyIncome]]&lt;6000,"Medium",IF(HR_Data[[#This Row],[MonthlyIncome]]&lt;10000,"High","Very High")))</f>
        <v>Low</v>
      </c>
      <c r="AL62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22" t="str">
        <f>IF(HR_Data[[#This Row],[TotalWorkingYears]]&lt;=5,"Junior",IF(HR_Data[[#This Row],[TotalWorkingYears]]&lt;=15,"Mid-Level","Senior"))</f>
        <v>Mid-Level</v>
      </c>
      <c r="AN622" s="11" t="str">
        <f>IF(HR_Data[[#This Row],[PerformanceRating]]=3,"Standard","Excellent")</f>
        <v>Standard</v>
      </c>
      <c r="AO622" s="11" t="str">
        <f>IF(HR_Data[[#This Row],[JobSatisfaction]]&lt;=2,"Low","High")</f>
        <v>Low</v>
      </c>
      <c r="AP622" s="11" t="str">
        <f>IF(AND(HR_Data[[#This Row],[OverTime]]="Yes",HR_Data[[#This Row],[JobSatisfaction]]&lt;=2,HR_Data[[#This Row],[YearsAtCompany]]&lt;=2),"High Risk","Normal")</f>
        <v>Normal</v>
      </c>
    </row>
    <row r="623" spans="1:42" x14ac:dyDescent="0.25">
      <c r="A623" s="6">
        <v>36</v>
      </c>
      <c r="B623" s="4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s="11" t="str">
        <f>IF(HR_Data[[#This Row],[Age]]&lt;=25,"18-25",IF(HR_Data[[#This Row],[Age]]&lt;=35,"26-35",IF(HR_Data[[#This Row],[Age]]&lt;=45,"36-45",IF(HR_Data[[#This Row],[Age]]&lt;=55,"46-55","56+"))))</f>
        <v>36-45</v>
      </c>
      <c r="AK623" s="11" t="str">
        <f>IF(HR_Data[[#This Row],[MonthlyIncome]]&lt;3000,"Low",IF(HR_Data[[#This Row],[MonthlyIncome]]&lt;6000,"Medium",IF(HR_Data[[#This Row],[MonthlyIncome]]&lt;10000,"High","Very High")))</f>
        <v>High</v>
      </c>
      <c r="AL62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623" t="str">
        <f>IF(HR_Data[[#This Row],[TotalWorkingYears]]&lt;=5,"Junior",IF(HR_Data[[#This Row],[TotalWorkingYears]]&lt;=15,"Mid-Level","Senior"))</f>
        <v>Senior</v>
      </c>
      <c r="AN623" s="11" t="str">
        <f>IF(HR_Data[[#This Row],[PerformanceRating]]=3,"Standard","Excellent")</f>
        <v>Standard</v>
      </c>
      <c r="AO623" s="11" t="str">
        <f>IF(HR_Data[[#This Row],[JobSatisfaction]]&lt;=2,"Low","High")</f>
        <v>High</v>
      </c>
      <c r="AP623" s="11" t="str">
        <f>IF(AND(HR_Data[[#This Row],[OverTime]]="Yes",HR_Data[[#This Row],[JobSatisfaction]]&lt;=2,HR_Data[[#This Row],[YearsAtCompany]]&lt;=2),"High Risk","Normal")</f>
        <v>Normal</v>
      </c>
    </row>
    <row r="624" spans="1:42" x14ac:dyDescent="0.25">
      <c r="A624" s="6">
        <v>32</v>
      </c>
      <c r="B624" s="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s="11" t="str">
        <f>IF(HR_Data[[#This Row],[Age]]&lt;=25,"18-25",IF(HR_Data[[#This Row],[Age]]&lt;=35,"26-35",IF(HR_Data[[#This Row],[Age]]&lt;=45,"36-45",IF(HR_Data[[#This Row],[Age]]&lt;=55,"46-55","56+"))))</f>
        <v>26-35</v>
      </c>
      <c r="AK624" s="11" t="str">
        <f>IF(HR_Data[[#This Row],[MonthlyIncome]]&lt;3000,"Low",IF(HR_Data[[#This Row],[MonthlyIncome]]&lt;6000,"Medium",IF(HR_Data[[#This Row],[MonthlyIncome]]&lt;10000,"High","Very High")))</f>
        <v>Medium</v>
      </c>
      <c r="AL62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24" t="str">
        <f>IF(HR_Data[[#This Row],[TotalWorkingYears]]&lt;=5,"Junior",IF(HR_Data[[#This Row],[TotalWorkingYears]]&lt;=15,"Mid-Level","Senior"))</f>
        <v>Mid-Level</v>
      </c>
      <c r="AN624" s="11" t="str">
        <f>IF(HR_Data[[#This Row],[PerformanceRating]]=3,"Standard","Excellent")</f>
        <v>Standard</v>
      </c>
      <c r="AO624" s="11" t="str">
        <f>IF(HR_Data[[#This Row],[JobSatisfaction]]&lt;=2,"Low","High")</f>
        <v>High</v>
      </c>
      <c r="AP624" s="11" t="str">
        <f>IF(AND(HR_Data[[#This Row],[OverTime]]="Yes",HR_Data[[#This Row],[JobSatisfaction]]&lt;=2,HR_Data[[#This Row],[YearsAtCompany]]&lt;=2),"High Risk","Normal")</f>
        <v>Normal</v>
      </c>
    </row>
    <row r="625" spans="1:42" x14ac:dyDescent="0.25">
      <c r="A625" s="6">
        <v>30</v>
      </c>
      <c r="B625" s="4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s="11" t="str">
        <f>IF(HR_Data[[#This Row],[Age]]&lt;=25,"18-25",IF(HR_Data[[#This Row],[Age]]&lt;=35,"26-35",IF(HR_Data[[#This Row],[Age]]&lt;=45,"36-45",IF(HR_Data[[#This Row],[Age]]&lt;=55,"46-55","56+"))))</f>
        <v>26-35</v>
      </c>
      <c r="AK625" s="11" t="str">
        <f>IF(HR_Data[[#This Row],[MonthlyIncome]]&lt;3000,"Low",IF(HR_Data[[#This Row],[MonthlyIncome]]&lt;6000,"Medium",IF(HR_Data[[#This Row],[MonthlyIncome]]&lt;10000,"High","Very High")))</f>
        <v>Medium</v>
      </c>
      <c r="AL62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25" t="str">
        <f>IF(HR_Data[[#This Row],[TotalWorkingYears]]&lt;=5,"Junior",IF(HR_Data[[#This Row],[TotalWorkingYears]]&lt;=15,"Mid-Level","Senior"))</f>
        <v>Mid-Level</v>
      </c>
      <c r="AN625" s="11" t="str">
        <f>IF(HR_Data[[#This Row],[PerformanceRating]]=3,"Standard","Excellent")</f>
        <v>Standard</v>
      </c>
      <c r="AO625" s="11" t="str">
        <f>IF(HR_Data[[#This Row],[JobSatisfaction]]&lt;=2,"Low","High")</f>
        <v>High</v>
      </c>
      <c r="AP625" s="11" t="str">
        <f>IF(AND(HR_Data[[#This Row],[OverTime]]="Yes",HR_Data[[#This Row],[JobSatisfaction]]&lt;=2,HR_Data[[#This Row],[YearsAtCompany]]&lt;=2),"High Risk","Normal")</f>
        <v>Normal</v>
      </c>
    </row>
    <row r="626" spans="1:42" x14ac:dyDescent="0.25">
      <c r="A626" s="6">
        <v>53</v>
      </c>
      <c r="B626" s="4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s="11" t="str">
        <f>IF(HR_Data[[#This Row],[Age]]&lt;=25,"18-25",IF(HR_Data[[#This Row],[Age]]&lt;=35,"26-35",IF(HR_Data[[#This Row],[Age]]&lt;=45,"36-45",IF(HR_Data[[#This Row],[Age]]&lt;=55,"46-55","56+"))))</f>
        <v>46-55</v>
      </c>
      <c r="AK626" s="11" t="str">
        <f>IF(HR_Data[[#This Row],[MonthlyIncome]]&lt;3000,"Low",IF(HR_Data[[#This Row],[MonthlyIncome]]&lt;6000,"Medium",IF(HR_Data[[#This Row],[MonthlyIncome]]&lt;10000,"High","Very High")))</f>
        <v>Very High</v>
      </c>
      <c r="AL62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26" t="str">
        <f>IF(HR_Data[[#This Row],[TotalWorkingYears]]&lt;=5,"Junior",IF(HR_Data[[#This Row],[TotalWorkingYears]]&lt;=15,"Mid-Level","Senior"))</f>
        <v>Senior</v>
      </c>
      <c r="AN626" s="11" t="str">
        <f>IF(HR_Data[[#This Row],[PerformanceRating]]=3,"Standard","Excellent")</f>
        <v>Standard</v>
      </c>
      <c r="AO626" s="11" t="str">
        <f>IF(HR_Data[[#This Row],[JobSatisfaction]]&lt;=2,"Low","High")</f>
        <v>High</v>
      </c>
      <c r="AP626" s="11" t="str">
        <f>IF(AND(HR_Data[[#This Row],[OverTime]]="Yes",HR_Data[[#This Row],[JobSatisfaction]]&lt;=2,HR_Data[[#This Row],[YearsAtCompany]]&lt;=2),"High Risk","Normal")</f>
        <v>Normal</v>
      </c>
    </row>
    <row r="627" spans="1:42" x14ac:dyDescent="0.25">
      <c r="A627" s="6">
        <v>45</v>
      </c>
      <c r="B627" s="4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s="11" t="str">
        <f>IF(HR_Data[[#This Row],[Age]]&lt;=25,"18-25",IF(HR_Data[[#This Row],[Age]]&lt;=35,"26-35",IF(HR_Data[[#This Row],[Age]]&lt;=45,"36-45",IF(HR_Data[[#This Row],[Age]]&lt;=55,"46-55","56+"))))</f>
        <v>36-45</v>
      </c>
      <c r="AK627" s="11" t="str">
        <f>IF(HR_Data[[#This Row],[MonthlyIncome]]&lt;3000,"Low",IF(HR_Data[[#This Row],[MonthlyIncome]]&lt;6000,"Medium",IF(HR_Data[[#This Row],[MonthlyIncome]]&lt;10000,"High","Very High")))</f>
        <v>Very High</v>
      </c>
      <c r="AL62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27" t="str">
        <f>IF(HR_Data[[#This Row],[TotalWorkingYears]]&lt;=5,"Junior",IF(HR_Data[[#This Row],[TotalWorkingYears]]&lt;=15,"Mid-Level","Senior"))</f>
        <v>Senior</v>
      </c>
      <c r="AN627" s="11" t="str">
        <f>IF(HR_Data[[#This Row],[PerformanceRating]]=3,"Standard","Excellent")</f>
        <v>Standard</v>
      </c>
      <c r="AO627" s="11" t="str">
        <f>IF(HR_Data[[#This Row],[JobSatisfaction]]&lt;=2,"Low","High")</f>
        <v>Low</v>
      </c>
      <c r="AP627" s="11" t="str">
        <f>IF(AND(HR_Data[[#This Row],[OverTime]]="Yes",HR_Data[[#This Row],[JobSatisfaction]]&lt;=2,HR_Data[[#This Row],[YearsAtCompany]]&lt;=2),"High Risk","Normal")</f>
        <v>Normal</v>
      </c>
    </row>
    <row r="628" spans="1:42" x14ac:dyDescent="0.25">
      <c r="A628" s="6">
        <v>32</v>
      </c>
      <c r="B628" s="4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s="11" t="str">
        <f>IF(HR_Data[[#This Row],[Age]]&lt;=25,"18-25",IF(HR_Data[[#This Row],[Age]]&lt;=35,"26-35",IF(HR_Data[[#This Row],[Age]]&lt;=45,"36-45",IF(HR_Data[[#This Row],[Age]]&lt;=55,"46-55","56+"))))</f>
        <v>26-35</v>
      </c>
      <c r="AK628" s="11" t="str">
        <f>IF(HR_Data[[#This Row],[MonthlyIncome]]&lt;3000,"Low",IF(HR_Data[[#This Row],[MonthlyIncome]]&lt;6000,"Medium",IF(HR_Data[[#This Row],[MonthlyIncome]]&lt;10000,"High","Very High")))</f>
        <v>Medium</v>
      </c>
      <c r="AL62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28" t="str">
        <f>IF(HR_Data[[#This Row],[TotalWorkingYears]]&lt;=5,"Junior",IF(HR_Data[[#This Row],[TotalWorkingYears]]&lt;=15,"Mid-Level","Senior"))</f>
        <v>Mid-Level</v>
      </c>
      <c r="AN628" s="11" t="str">
        <f>IF(HR_Data[[#This Row],[PerformanceRating]]=3,"Standard","Excellent")</f>
        <v>Standard</v>
      </c>
      <c r="AO628" s="11" t="str">
        <f>IF(HR_Data[[#This Row],[JobSatisfaction]]&lt;=2,"Low","High")</f>
        <v>High</v>
      </c>
      <c r="AP628" s="11" t="str">
        <f>IF(AND(HR_Data[[#This Row],[OverTime]]="Yes",HR_Data[[#This Row],[JobSatisfaction]]&lt;=2,HR_Data[[#This Row],[YearsAtCompany]]&lt;=2),"High Risk","Normal")</f>
        <v>Normal</v>
      </c>
    </row>
    <row r="629" spans="1:42" x14ac:dyDescent="0.25">
      <c r="A629" s="6">
        <v>52</v>
      </c>
      <c r="B629" s="4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s="11" t="str">
        <f>IF(HR_Data[[#This Row],[Age]]&lt;=25,"18-25",IF(HR_Data[[#This Row],[Age]]&lt;=35,"26-35",IF(HR_Data[[#This Row],[Age]]&lt;=45,"36-45",IF(HR_Data[[#This Row],[Age]]&lt;=55,"46-55","56+"))))</f>
        <v>46-55</v>
      </c>
      <c r="AK629" s="11" t="str">
        <f>IF(HR_Data[[#This Row],[MonthlyIncome]]&lt;3000,"Low",IF(HR_Data[[#This Row],[MonthlyIncome]]&lt;6000,"Medium",IF(HR_Data[[#This Row],[MonthlyIncome]]&lt;10000,"High","Very High")))</f>
        <v>Very High</v>
      </c>
      <c r="AL62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29" t="str">
        <f>IF(HR_Data[[#This Row],[TotalWorkingYears]]&lt;=5,"Junior",IF(HR_Data[[#This Row],[TotalWorkingYears]]&lt;=15,"Mid-Level","Senior"))</f>
        <v>Senior</v>
      </c>
      <c r="AN629" s="11" t="str">
        <f>IF(HR_Data[[#This Row],[PerformanceRating]]=3,"Standard","Excellent")</f>
        <v>Excellent</v>
      </c>
      <c r="AO629" s="11" t="str">
        <f>IF(HR_Data[[#This Row],[JobSatisfaction]]&lt;=2,"Low","High")</f>
        <v>High</v>
      </c>
      <c r="AP629" s="11" t="str">
        <f>IF(AND(HR_Data[[#This Row],[OverTime]]="Yes",HR_Data[[#This Row],[JobSatisfaction]]&lt;=2,HR_Data[[#This Row],[YearsAtCompany]]&lt;=2),"High Risk","Normal")</f>
        <v>Normal</v>
      </c>
    </row>
    <row r="630" spans="1:42" x14ac:dyDescent="0.25">
      <c r="A630" s="6">
        <v>37</v>
      </c>
      <c r="B630" s="4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s="11" t="str">
        <f>IF(HR_Data[[#This Row],[Age]]&lt;=25,"18-25",IF(HR_Data[[#This Row],[Age]]&lt;=35,"26-35",IF(HR_Data[[#This Row],[Age]]&lt;=45,"36-45",IF(HR_Data[[#This Row],[Age]]&lt;=55,"46-55","56+"))))</f>
        <v>36-45</v>
      </c>
      <c r="AK630" s="11" t="str">
        <f>IF(HR_Data[[#This Row],[MonthlyIncome]]&lt;3000,"Low",IF(HR_Data[[#This Row],[MonthlyIncome]]&lt;6000,"Medium",IF(HR_Data[[#This Row],[MonthlyIncome]]&lt;10000,"High","Very High")))</f>
        <v>High</v>
      </c>
      <c r="AL63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30" t="str">
        <f>IF(HR_Data[[#This Row],[TotalWorkingYears]]&lt;=5,"Junior",IF(HR_Data[[#This Row],[TotalWorkingYears]]&lt;=15,"Mid-Level","Senior"))</f>
        <v>Mid-Level</v>
      </c>
      <c r="AN630" s="11" t="str">
        <f>IF(HR_Data[[#This Row],[PerformanceRating]]=3,"Standard","Excellent")</f>
        <v>Standard</v>
      </c>
      <c r="AO630" s="11" t="str">
        <f>IF(HR_Data[[#This Row],[JobSatisfaction]]&lt;=2,"Low","High")</f>
        <v>High</v>
      </c>
      <c r="AP630" s="11" t="str">
        <f>IF(AND(HR_Data[[#This Row],[OverTime]]="Yes",HR_Data[[#This Row],[JobSatisfaction]]&lt;=2,HR_Data[[#This Row],[YearsAtCompany]]&lt;=2),"High Risk","Normal")</f>
        <v>Normal</v>
      </c>
    </row>
    <row r="631" spans="1:42" x14ac:dyDescent="0.25">
      <c r="A631" s="6">
        <v>28</v>
      </c>
      <c r="B631" s="4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s="11" t="str">
        <f>IF(HR_Data[[#This Row],[Age]]&lt;=25,"18-25",IF(HR_Data[[#This Row],[Age]]&lt;=35,"26-35",IF(HR_Data[[#This Row],[Age]]&lt;=45,"36-45",IF(HR_Data[[#This Row],[Age]]&lt;=55,"46-55","56+"))))</f>
        <v>26-35</v>
      </c>
      <c r="AK631" s="11" t="str">
        <f>IF(HR_Data[[#This Row],[MonthlyIncome]]&lt;3000,"Low",IF(HR_Data[[#This Row],[MonthlyIncome]]&lt;6000,"Medium",IF(HR_Data[[#This Row],[MonthlyIncome]]&lt;10000,"High","Very High")))</f>
        <v>Medium</v>
      </c>
      <c r="AL63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31" t="str">
        <f>IF(HR_Data[[#This Row],[TotalWorkingYears]]&lt;=5,"Junior",IF(HR_Data[[#This Row],[TotalWorkingYears]]&lt;=15,"Mid-Level","Senior"))</f>
        <v>Mid-Level</v>
      </c>
      <c r="AN631" s="11" t="str">
        <f>IF(HR_Data[[#This Row],[PerformanceRating]]=3,"Standard","Excellent")</f>
        <v>Standard</v>
      </c>
      <c r="AO631" s="11" t="str">
        <f>IF(HR_Data[[#This Row],[JobSatisfaction]]&lt;=2,"Low","High")</f>
        <v>High</v>
      </c>
      <c r="AP631" s="11" t="str">
        <f>IF(AND(HR_Data[[#This Row],[OverTime]]="Yes",HR_Data[[#This Row],[JobSatisfaction]]&lt;=2,HR_Data[[#This Row],[YearsAtCompany]]&lt;=2),"High Risk","Normal")</f>
        <v>Normal</v>
      </c>
    </row>
    <row r="632" spans="1:42" x14ac:dyDescent="0.25">
      <c r="A632" s="6">
        <v>22</v>
      </c>
      <c r="B632" s="4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s="11" t="str">
        <f>IF(HR_Data[[#This Row],[Age]]&lt;=25,"18-25",IF(HR_Data[[#This Row],[Age]]&lt;=35,"26-35",IF(HR_Data[[#This Row],[Age]]&lt;=45,"36-45",IF(HR_Data[[#This Row],[Age]]&lt;=55,"46-55","56+"))))</f>
        <v>18-25</v>
      </c>
      <c r="AK632" s="11" t="str">
        <f>IF(HR_Data[[#This Row],[MonthlyIncome]]&lt;3000,"Low",IF(HR_Data[[#This Row],[MonthlyIncome]]&lt;6000,"Medium",IF(HR_Data[[#This Row],[MonthlyIncome]]&lt;10000,"High","Very High")))</f>
        <v>Medium</v>
      </c>
      <c r="AL63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32" t="str">
        <f>IF(HR_Data[[#This Row],[TotalWorkingYears]]&lt;=5,"Junior",IF(HR_Data[[#This Row],[TotalWorkingYears]]&lt;=15,"Mid-Level","Senior"))</f>
        <v>Junior</v>
      </c>
      <c r="AN632" s="11" t="str">
        <f>IF(HR_Data[[#This Row],[PerformanceRating]]=3,"Standard","Excellent")</f>
        <v>Excellent</v>
      </c>
      <c r="AO632" s="11" t="str">
        <f>IF(HR_Data[[#This Row],[JobSatisfaction]]&lt;=2,"Low","High")</f>
        <v>High</v>
      </c>
      <c r="AP632" s="11" t="str">
        <f>IF(AND(HR_Data[[#This Row],[OverTime]]="Yes",HR_Data[[#This Row],[JobSatisfaction]]&lt;=2,HR_Data[[#This Row],[YearsAtCompany]]&lt;=2),"High Risk","Normal")</f>
        <v>Normal</v>
      </c>
    </row>
    <row r="633" spans="1:42" x14ac:dyDescent="0.25">
      <c r="A633" s="6">
        <v>44</v>
      </c>
      <c r="B633" s="4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s="11" t="str">
        <f>IF(HR_Data[[#This Row],[Age]]&lt;=25,"18-25",IF(HR_Data[[#This Row],[Age]]&lt;=35,"26-35",IF(HR_Data[[#This Row],[Age]]&lt;=45,"36-45",IF(HR_Data[[#This Row],[Age]]&lt;=55,"46-55","56+"))))</f>
        <v>36-45</v>
      </c>
      <c r="AK633" s="11" t="str">
        <f>IF(HR_Data[[#This Row],[MonthlyIncome]]&lt;3000,"Low",IF(HR_Data[[#This Row],[MonthlyIncome]]&lt;6000,"Medium",IF(HR_Data[[#This Row],[MonthlyIncome]]&lt;10000,"High","Very High")))</f>
        <v>Low</v>
      </c>
      <c r="AL63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33" t="str">
        <f>IF(HR_Data[[#This Row],[TotalWorkingYears]]&lt;=5,"Junior",IF(HR_Data[[#This Row],[TotalWorkingYears]]&lt;=15,"Mid-Level","Senior"))</f>
        <v>Mid-Level</v>
      </c>
      <c r="AN633" s="11" t="str">
        <f>IF(HR_Data[[#This Row],[PerformanceRating]]=3,"Standard","Excellent")</f>
        <v>Excellent</v>
      </c>
      <c r="AO633" s="11" t="str">
        <f>IF(HR_Data[[#This Row],[JobSatisfaction]]&lt;=2,"Low","High")</f>
        <v>High</v>
      </c>
      <c r="AP633" s="11" t="str">
        <f>IF(AND(HR_Data[[#This Row],[OverTime]]="Yes",HR_Data[[#This Row],[JobSatisfaction]]&lt;=2,HR_Data[[#This Row],[YearsAtCompany]]&lt;=2),"High Risk","Normal")</f>
        <v>Normal</v>
      </c>
    </row>
    <row r="634" spans="1:42" x14ac:dyDescent="0.25">
      <c r="A634" s="6">
        <v>42</v>
      </c>
      <c r="B634" s="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s="11" t="str">
        <f>IF(HR_Data[[#This Row],[Age]]&lt;=25,"18-25",IF(HR_Data[[#This Row],[Age]]&lt;=35,"26-35",IF(HR_Data[[#This Row],[Age]]&lt;=45,"36-45",IF(HR_Data[[#This Row],[Age]]&lt;=55,"46-55","56+"))))</f>
        <v>36-45</v>
      </c>
      <c r="AK634" s="11" t="str">
        <f>IF(HR_Data[[#This Row],[MonthlyIncome]]&lt;3000,"Low",IF(HR_Data[[#This Row],[MonthlyIncome]]&lt;6000,"Medium",IF(HR_Data[[#This Row],[MonthlyIncome]]&lt;10000,"High","Very High")))</f>
        <v>Low</v>
      </c>
      <c r="AL63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34" t="str">
        <f>IF(HR_Data[[#This Row],[TotalWorkingYears]]&lt;=5,"Junior",IF(HR_Data[[#This Row],[TotalWorkingYears]]&lt;=15,"Mid-Level","Senior"))</f>
        <v>Mid-Level</v>
      </c>
      <c r="AN634" s="11" t="str">
        <f>IF(HR_Data[[#This Row],[PerformanceRating]]=3,"Standard","Excellent")</f>
        <v>Standard</v>
      </c>
      <c r="AO634" s="11" t="str">
        <f>IF(HR_Data[[#This Row],[JobSatisfaction]]&lt;=2,"Low","High")</f>
        <v>High</v>
      </c>
      <c r="AP634" s="11" t="str">
        <f>IF(AND(HR_Data[[#This Row],[OverTime]]="Yes",HR_Data[[#This Row],[JobSatisfaction]]&lt;=2,HR_Data[[#This Row],[YearsAtCompany]]&lt;=2),"High Risk","Normal")</f>
        <v>Normal</v>
      </c>
    </row>
    <row r="635" spans="1:42" x14ac:dyDescent="0.25">
      <c r="A635" s="6">
        <v>36</v>
      </c>
      <c r="B635" s="4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s="11" t="str">
        <f>IF(HR_Data[[#This Row],[Age]]&lt;=25,"18-25",IF(HR_Data[[#This Row],[Age]]&lt;=35,"26-35",IF(HR_Data[[#This Row],[Age]]&lt;=45,"36-45",IF(HR_Data[[#This Row],[Age]]&lt;=55,"46-55","56+"))))</f>
        <v>36-45</v>
      </c>
      <c r="AK635" s="11" t="str">
        <f>IF(HR_Data[[#This Row],[MonthlyIncome]]&lt;3000,"Low",IF(HR_Data[[#This Row],[MonthlyIncome]]&lt;6000,"Medium",IF(HR_Data[[#This Row],[MonthlyIncome]]&lt;10000,"High","Very High")))</f>
        <v>Low</v>
      </c>
      <c r="AL63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35" t="str">
        <f>IF(HR_Data[[#This Row],[TotalWorkingYears]]&lt;=5,"Junior",IF(HR_Data[[#This Row],[TotalWorkingYears]]&lt;=15,"Mid-Level","Senior"))</f>
        <v>Mid-Level</v>
      </c>
      <c r="AN635" s="11" t="str">
        <f>IF(HR_Data[[#This Row],[PerformanceRating]]=3,"Standard","Excellent")</f>
        <v>Excellent</v>
      </c>
      <c r="AO635" s="11" t="str">
        <f>IF(HR_Data[[#This Row],[JobSatisfaction]]&lt;=2,"Low","High")</f>
        <v>Low</v>
      </c>
      <c r="AP635" s="11" t="str">
        <f>IF(AND(HR_Data[[#This Row],[OverTime]]="Yes",HR_Data[[#This Row],[JobSatisfaction]]&lt;=2,HR_Data[[#This Row],[YearsAtCompany]]&lt;=2),"High Risk","Normal")</f>
        <v>Normal</v>
      </c>
    </row>
    <row r="636" spans="1:42" x14ac:dyDescent="0.25">
      <c r="A636" s="6">
        <v>25</v>
      </c>
      <c r="B636" s="4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s="11" t="str">
        <f>IF(HR_Data[[#This Row],[Age]]&lt;=25,"18-25",IF(HR_Data[[#This Row],[Age]]&lt;=35,"26-35",IF(HR_Data[[#This Row],[Age]]&lt;=45,"36-45",IF(HR_Data[[#This Row],[Age]]&lt;=55,"46-55","56+"))))</f>
        <v>18-25</v>
      </c>
      <c r="AK636" s="11" t="str">
        <f>IF(HR_Data[[#This Row],[MonthlyIncome]]&lt;3000,"Low",IF(HR_Data[[#This Row],[MonthlyIncome]]&lt;6000,"Medium",IF(HR_Data[[#This Row],[MonthlyIncome]]&lt;10000,"High","Very High")))</f>
        <v>Medium</v>
      </c>
      <c r="AL63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36" t="str">
        <f>IF(HR_Data[[#This Row],[TotalWorkingYears]]&lt;=5,"Junior",IF(HR_Data[[#This Row],[TotalWorkingYears]]&lt;=15,"Mid-Level","Senior"))</f>
        <v>Junior</v>
      </c>
      <c r="AN636" s="11" t="str">
        <f>IF(HR_Data[[#This Row],[PerformanceRating]]=3,"Standard","Excellent")</f>
        <v>Standard</v>
      </c>
      <c r="AO636" s="11" t="str">
        <f>IF(HR_Data[[#This Row],[JobSatisfaction]]&lt;=2,"Low","High")</f>
        <v>Low</v>
      </c>
      <c r="AP636" s="11" t="str">
        <f>IF(AND(HR_Data[[#This Row],[OverTime]]="Yes",HR_Data[[#This Row],[JobSatisfaction]]&lt;=2,HR_Data[[#This Row],[YearsAtCompany]]&lt;=2),"High Risk","Normal")</f>
        <v>Normal</v>
      </c>
    </row>
    <row r="637" spans="1:42" x14ac:dyDescent="0.25">
      <c r="A637" s="6">
        <v>35</v>
      </c>
      <c r="B637" s="4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s="11" t="str">
        <f>IF(HR_Data[[#This Row],[Age]]&lt;=25,"18-25",IF(HR_Data[[#This Row],[Age]]&lt;=35,"26-35",IF(HR_Data[[#This Row],[Age]]&lt;=45,"36-45",IF(HR_Data[[#This Row],[Age]]&lt;=55,"46-55","56+"))))</f>
        <v>26-35</v>
      </c>
      <c r="AK637" s="11" t="str">
        <f>IF(HR_Data[[#This Row],[MonthlyIncome]]&lt;3000,"Low",IF(HR_Data[[#This Row],[MonthlyIncome]]&lt;6000,"Medium",IF(HR_Data[[#This Row],[MonthlyIncome]]&lt;10000,"High","Very High")))</f>
        <v>Very High</v>
      </c>
      <c r="AL63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637" t="str">
        <f>IF(HR_Data[[#This Row],[TotalWorkingYears]]&lt;=5,"Junior",IF(HR_Data[[#This Row],[TotalWorkingYears]]&lt;=15,"Mid-Level","Senior"))</f>
        <v>Senior</v>
      </c>
      <c r="AN637" s="11" t="str">
        <f>IF(HR_Data[[#This Row],[PerformanceRating]]=3,"Standard","Excellent")</f>
        <v>Excellent</v>
      </c>
      <c r="AO637" s="11" t="str">
        <f>IF(HR_Data[[#This Row],[JobSatisfaction]]&lt;=2,"Low","High")</f>
        <v>High</v>
      </c>
      <c r="AP637" s="11" t="str">
        <f>IF(AND(HR_Data[[#This Row],[OverTime]]="Yes",HR_Data[[#This Row],[JobSatisfaction]]&lt;=2,HR_Data[[#This Row],[YearsAtCompany]]&lt;=2),"High Risk","Normal")</f>
        <v>Normal</v>
      </c>
    </row>
    <row r="638" spans="1:42" x14ac:dyDescent="0.25">
      <c r="A638" s="6">
        <v>35</v>
      </c>
      <c r="B638" s="4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s="11" t="str">
        <f>IF(HR_Data[[#This Row],[Age]]&lt;=25,"18-25",IF(HR_Data[[#This Row],[Age]]&lt;=35,"26-35",IF(HR_Data[[#This Row],[Age]]&lt;=45,"36-45",IF(HR_Data[[#This Row],[Age]]&lt;=55,"46-55","56+"))))</f>
        <v>26-35</v>
      </c>
      <c r="AK638" s="11" t="str">
        <f>IF(HR_Data[[#This Row],[MonthlyIncome]]&lt;3000,"Low",IF(HR_Data[[#This Row],[MonthlyIncome]]&lt;6000,"Medium",IF(HR_Data[[#This Row],[MonthlyIncome]]&lt;10000,"High","Very High")))</f>
        <v>Low</v>
      </c>
      <c r="AL63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38" t="str">
        <f>IF(HR_Data[[#This Row],[TotalWorkingYears]]&lt;=5,"Junior",IF(HR_Data[[#This Row],[TotalWorkingYears]]&lt;=15,"Mid-Level","Senior"))</f>
        <v>Mid-Level</v>
      </c>
      <c r="AN638" s="11" t="str">
        <f>IF(HR_Data[[#This Row],[PerformanceRating]]=3,"Standard","Excellent")</f>
        <v>Standard</v>
      </c>
      <c r="AO638" s="11" t="str">
        <f>IF(HR_Data[[#This Row],[JobSatisfaction]]&lt;=2,"Low","High")</f>
        <v>Low</v>
      </c>
      <c r="AP638" s="11" t="str">
        <f>IF(AND(HR_Data[[#This Row],[OverTime]]="Yes",HR_Data[[#This Row],[JobSatisfaction]]&lt;=2,HR_Data[[#This Row],[YearsAtCompany]]&lt;=2),"High Risk","Normal")</f>
        <v>Normal</v>
      </c>
    </row>
    <row r="639" spans="1:42" x14ac:dyDescent="0.25">
      <c r="A639" s="6">
        <v>32</v>
      </c>
      <c r="B639" s="4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s="11" t="str">
        <f>IF(HR_Data[[#This Row],[Age]]&lt;=25,"18-25",IF(HR_Data[[#This Row],[Age]]&lt;=35,"26-35",IF(HR_Data[[#This Row],[Age]]&lt;=45,"36-45",IF(HR_Data[[#This Row],[Age]]&lt;=55,"46-55","56+"))))</f>
        <v>26-35</v>
      </c>
      <c r="AK639" s="11" t="str">
        <f>IF(HR_Data[[#This Row],[MonthlyIncome]]&lt;3000,"Low",IF(HR_Data[[#This Row],[MonthlyIncome]]&lt;6000,"Medium",IF(HR_Data[[#This Row],[MonthlyIncome]]&lt;10000,"High","Very High")))</f>
        <v>Low</v>
      </c>
      <c r="AL63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39" t="str">
        <f>IF(HR_Data[[#This Row],[TotalWorkingYears]]&lt;=5,"Junior",IF(HR_Data[[#This Row],[TotalWorkingYears]]&lt;=15,"Mid-Level","Senior"))</f>
        <v>Junior</v>
      </c>
      <c r="AN639" s="11" t="str">
        <f>IF(HR_Data[[#This Row],[PerformanceRating]]=3,"Standard","Excellent")</f>
        <v>Standard</v>
      </c>
      <c r="AO639" s="11" t="str">
        <f>IF(HR_Data[[#This Row],[JobSatisfaction]]&lt;=2,"Low","High")</f>
        <v>High</v>
      </c>
      <c r="AP639" s="11" t="str">
        <f>IF(AND(HR_Data[[#This Row],[OverTime]]="Yes",HR_Data[[#This Row],[JobSatisfaction]]&lt;=2,HR_Data[[#This Row],[YearsAtCompany]]&lt;=2),"High Risk","Normal")</f>
        <v>Normal</v>
      </c>
    </row>
    <row r="640" spans="1:42" x14ac:dyDescent="0.25">
      <c r="A640" s="6">
        <v>25</v>
      </c>
      <c r="B640" s="4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s="11" t="str">
        <f>IF(HR_Data[[#This Row],[Age]]&lt;=25,"18-25",IF(HR_Data[[#This Row],[Age]]&lt;=35,"26-35",IF(HR_Data[[#This Row],[Age]]&lt;=45,"36-45",IF(HR_Data[[#This Row],[Age]]&lt;=55,"46-55","56+"))))</f>
        <v>18-25</v>
      </c>
      <c r="AK640" s="11" t="str">
        <f>IF(HR_Data[[#This Row],[MonthlyIncome]]&lt;3000,"Low",IF(HR_Data[[#This Row],[MonthlyIncome]]&lt;6000,"Medium",IF(HR_Data[[#This Row],[MonthlyIncome]]&lt;10000,"High","Very High")))</f>
        <v>Medium</v>
      </c>
      <c r="AL64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40" t="str">
        <f>IF(HR_Data[[#This Row],[TotalWorkingYears]]&lt;=5,"Junior",IF(HR_Data[[#This Row],[TotalWorkingYears]]&lt;=15,"Mid-Level","Senior"))</f>
        <v>Junior</v>
      </c>
      <c r="AN640" s="11" t="str">
        <f>IF(HR_Data[[#This Row],[PerformanceRating]]=3,"Standard","Excellent")</f>
        <v>Standard</v>
      </c>
      <c r="AO640" s="11" t="str">
        <f>IF(HR_Data[[#This Row],[JobSatisfaction]]&lt;=2,"Low","High")</f>
        <v>Low</v>
      </c>
      <c r="AP640" s="11" t="str">
        <f>IF(AND(HR_Data[[#This Row],[OverTime]]="Yes",HR_Data[[#This Row],[JobSatisfaction]]&lt;=2,HR_Data[[#This Row],[YearsAtCompany]]&lt;=2),"High Risk","Normal")</f>
        <v>Normal</v>
      </c>
    </row>
    <row r="641" spans="1:42" x14ac:dyDescent="0.25">
      <c r="A641" s="6">
        <v>49</v>
      </c>
      <c r="B641" s="4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s="11" t="str">
        <f>IF(HR_Data[[#This Row],[Age]]&lt;=25,"18-25",IF(HR_Data[[#This Row],[Age]]&lt;=35,"26-35",IF(HR_Data[[#This Row],[Age]]&lt;=45,"36-45",IF(HR_Data[[#This Row],[Age]]&lt;=55,"46-55","56+"))))</f>
        <v>46-55</v>
      </c>
      <c r="AK641" s="11" t="str">
        <f>IF(HR_Data[[#This Row],[MonthlyIncome]]&lt;3000,"Low",IF(HR_Data[[#This Row],[MonthlyIncome]]&lt;6000,"Medium",IF(HR_Data[[#This Row],[MonthlyIncome]]&lt;10000,"High","Very High")))</f>
        <v>Medium</v>
      </c>
      <c r="AL64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41" t="str">
        <f>IF(HR_Data[[#This Row],[TotalWorkingYears]]&lt;=5,"Junior",IF(HR_Data[[#This Row],[TotalWorkingYears]]&lt;=15,"Mid-Level","Senior"))</f>
        <v>Mid-Level</v>
      </c>
      <c r="AN641" s="11" t="str">
        <f>IF(HR_Data[[#This Row],[PerformanceRating]]=3,"Standard","Excellent")</f>
        <v>Standard</v>
      </c>
      <c r="AO641" s="11" t="str">
        <f>IF(HR_Data[[#This Row],[JobSatisfaction]]&lt;=2,"Low","High")</f>
        <v>Low</v>
      </c>
      <c r="AP641" s="11" t="str">
        <f>IF(AND(HR_Data[[#This Row],[OverTime]]="Yes",HR_Data[[#This Row],[JobSatisfaction]]&lt;=2,HR_Data[[#This Row],[YearsAtCompany]]&lt;=2),"High Risk","Normal")</f>
        <v>Normal</v>
      </c>
    </row>
    <row r="642" spans="1:42" x14ac:dyDescent="0.25">
      <c r="A642" s="6">
        <v>24</v>
      </c>
      <c r="B642" s="4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s="11" t="str">
        <f>IF(HR_Data[[#This Row],[Age]]&lt;=25,"18-25",IF(HR_Data[[#This Row],[Age]]&lt;=35,"26-35",IF(HR_Data[[#This Row],[Age]]&lt;=45,"36-45",IF(HR_Data[[#This Row],[Age]]&lt;=55,"46-55","56+"))))</f>
        <v>18-25</v>
      </c>
      <c r="AK642" s="11" t="str">
        <f>IF(HR_Data[[#This Row],[MonthlyIncome]]&lt;3000,"Low",IF(HR_Data[[#This Row],[MonthlyIncome]]&lt;6000,"Medium",IF(HR_Data[[#This Row],[MonthlyIncome]]&lt;10000,"High","Very High")))</f>
        <v>Medium</v>
      </c>
      <c r="AL64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42" t="str">
        <f>IF(HR_Data[[#This Row],[TotalWorkingYears]]&lt;=5,"Junior",IF(HR_Data[[#This Row],[TotalWorkingYears]]&lt;=15,"Mid-Level","Senior"))</f>
        <v>Mid-Level</v>
      </c>
      <c r="AN642" s="11" t="str">
        <f>IF(HR_Data[[#This Row],[PerformanceRating]]=3,"Standard","Excellent")</f>
        <v>Standard</v>
      </c>
      <c r="AO642" s="11" t="str">
        <f>IF(HR_Data[[#This Row],[JobSatisfaction]]&lt;=2,"Low","High")</f>
        <v>High</v>
      </c>
      <c r="AP642" s="11" t="str">
        <f>IF(AND(HR_Data[[#This Row],[OverTime]]="Yes",HR_Data[[#This Row],[JobSatisfaction]]&lt;=2,HR_Data[[#This Row],[YearsAtCompany]]&lt;=2),"High Risk","Normal")</f>
        <v>Normal</v>
      </c>
    </row>
    <row r="643" spans="1:42" x14ac:dyDescent="0.25">
      <c r="A643" s="6">
        <v>32</v>
      </c>
      <c r="B643" s="4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s="11" t="str">
        <f>IF(HR_Data[[#This Row],[Age]]&lt;=25,"18-25",IF(HR_Data[[#This Row],[Age]]&lt;=35,"26-35",IF(HR_Data[[#This Row],[Age]]&lt;=45,"36-45",IF(HR_Data[[#This Row],[Age]]&lt;=55,"46-55","56+"))))</f>
        <v>26-35</v>
      </c>
      <c r="AK643" s="11" t="str">
        <f>IF(HR_Data[[#This Row],[MonthlyIncome]]&lt;3000,"Low",IF(HR_Data[[#This Row],[MonthlyIncome]]&lt;6000,"Medium",IF(HR_Data[[#This Row],[MonthlyIncome]]&lt;10000,"High","Very High")))</f>
        <v>High</v>
      </c>
      <c r="AL64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43" t="str">
        <f>IF(HR_Data[[#This Row],[TotalWorkingYears]]&lt;=5,"Junior",IF(HR_Data[[#This Row],[TotalWorkingYears]]&lt;=15,"Mid-Level","Senior"))</f>
        <v>Mid-Level</v>
      </c>
      <c r="AN643" s="11" t="str">
        <f>IF(HR_Data[[#This Row],[PerformanceRating]]=3,"Standard","Excellent")</f>
        <v>Standard</v>
      </c>
      <c r="AO643" s="11" t="str">
        <f>IF(HR_Data[[#This Row],[JobSatisfaction]]&lt;=2,"Low","High")</f>
        <v>Low</v>
      </c>
      <c r="AP643" s="11" t="str">
        <f>IF(AND(HR_Data[[#This Row],[OverTime]]="Yes",HR_Data[[#This Row],[JobSatisfaction]]&lt;=2,HR_Data[[#This Row],[YearsAtCompany]]&lt;=2),"High Risk","Normal")</f>
        <v>Normal</v>
      </c>
    </row>
    <row r="644" spans="1:42" x14ac:dyDescent="0.25">
      <c r="A644" s="6">
        <v>38</v>
      </c>
      <c r="B644" s="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s="11" t="str">
        <f>IF(HR_Data[[#This Row],[Age]]&lt;=25,"18-25",IF(HR_Data[[#This Row],[Age]]&lt;=35,"26-35",IF(HR_Data[[#This Row],[Age]]&lt;=45,"36-45",IF(HR_Data[[#This Row],[Age]]&lt;=55,"46-55","56+"))))</f>
        <v>36-45</v>
      </c>
      <c r="AK644" s="11" t="str">
        <f>IF(HR_Data[[#This Row],[MonthlyIncome]]&lt;3000,"Low",IF(HR_Data[[#This Row],[MonthlyIncome]]&lt;6000,"Medium",IF(HR_Data[[#This Row],[MonthlyIncome]]&lt;10000,"High","Very High")))</f>
        <v>Low</v>
      </c>
      <c r="AL64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44" t="str">
        <f>IF(HR_Data[[#This Row],[TotalWorkingYears]]&lt;=5,"Junior",IF(HR_Data[[#This Row],[TotalWorkingYears]]&lt;=15,"Mid-Level","Senior"))</f>
        <v>Junior</v>
      </c>
      <c r="AN644" s="11" t="str">
        <f>IF(HR_Data[[#This Row],[PerformanceRating]]=3,"Standard","Excellent")</f>
        <v>Standard</v>
      </c>
      <c r="AO644" s="11" t="str">
        <f>IF(HR_Data[[#This Row],[JobSatisfaction]]&lt;=2,"Low","High")</f>
        <v>Low</v>
      </c>
      <c r="AP644" s="11" t="str">
        <f>IF(AND(HR_Data[[#This Row],[OverTime]]="Yes",HR_Data[[#This Row],[JobSatisfaction]]&lt;=2,HR_Data[[#This Row],[YearsAtCompany]]&lt;=2),"High Risk","Normal")</f>
        <v>Normal</v>
      </c>
    </row>
    <row r="645" spans="1:42" x14ac:dyDescent="0.25">
      <c r="A645" s="6">
        <v>42</v>
      </c>
      <c r="B645" s="4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s="11" t="str">
        <f>IF(HR_Data[[#This Row],[Age]]&lt;=25,"18-25",IF(HR_Data[[#This Row],[Age]]&lt;=35,"26-35",IF(HR_Data[[#This Row],[Age]]&lt;=45,"36-45",IF(HR_Data[[#This Row],[Age]]&lt;=55,"46-55","56+"))))</f>
        <v>36-45</v>
      </c>
      <c r="AK645" s="11" t="str">
        <f>IF(HR_Data[[#This Row],[MonthlyIncome]]&lt;3000,"Low",IF(HR_Data[[#This Row],[MonthlyIncome]]&lt;6000,"Medium",IF(HR_Data[[#This Row],[MonthlyIncome]]&lt;10000,"High","Very High")))</f>
        <v>Medium</v>
      </c>
      <c r="AL64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45" t="str">
        <f>IF(HR_Data[[#This Row],[TotalWorkingYears]]&lt;=5,"Junior",IF(HR_Data[[#This Row],[TotalWorkingYears]]&lt;=15,"Mid-Level","Senior"))</f>
        <v>Senior</v>
      </c>
      <c r="AN645" s="11" t="str">
        <f>IF(HR_Data[[#This Row],[PerformanceRating]]=3,"Standard","Excellent")</f>
        <v>Standard</v>
      </c>
      <c r="AO645" s="11" t="str">
        <f>IF(HR_Data[[#This Row],[JobSatisfaction]]&lt;=2,"Low","High")</f>
        <v>High</v>
      </c>
      <c r="AP645" s="11" t="str">
        <f>IF(AND(HR_Data[[#This Row],[OverTime]]="Yes",HR_Data[[#This Row],[JobSatisfaction]]&lt;=2,HR_Data[[#This Row],[YearsAtCompany]]&lt;=2),"High Risk","Normal")</f>
        <v>Normal</v>
      </c>
    </row>
    <row r="646" spans="1:42" x14ac:dyDescent="0.25">
      <c r="A646" s="6">
        <v>31</v>
      </c>
      <c r="B646" s="4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s="11" t="str">
        <f>IF(HR_Data[[#This Row],[Age]]&lt;=25,"18-25",IF(HR_Data[[#This Row],[Age]]&lt;=35,"26-35",IF(HR_Data[[#This Row],[Age]]&lt;=45,"36-45",IF(HR_Data[[#This Row],[Age]]&lt;=55,"46-55","56+"))))</f>
        <v>26-35</v>
      </c>
      <c r="AK646" s="11" t="str">
        <f>IF(HR_Data[[#This Row],[MonthlyIncome]]&lt;3000,"Low",IF(HR_Data[[#This Row],[MonthlyIncome]]&lt;6000,"Medium",IF(HR_Data[[#This Row],[MonthlyIncome]]&lt;10000,"High","Very High")))</f>
        <v>Low</v>
      </c>
      <c r="AL64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46" t="str">
        <f>IF(HR_Data[[#This Row],[TotalWorkingYears]]&lt;=5,"Junior",IF(HR_Data[[#This Row],[TotalWorkingYears]]&lt;=15,"Mid-Level","Senior"))</f>
        <v>Mid-Level</v>
      </c>
      <c r="AN646" s="11" t="str">
        <f>IF(HR_Data[[#This Row],[PerformanceRating]]=3,"Standard","Excellent")</f>
        <v>Standard</v>
      </c>
      <c r="AO646" s="11" t="str">
        <f>IF(HR_Data[[#This Row],[JobSatisfaction]]&lt;=2,"Low","High")</f>
        <v>High</v>
      </c>
      <c r="AP646" s="11" t="str">
        <f>IF(AND(HR_Data[[#This Row],[OverTime]]="Yes",HR_Data[[#This Row],[JobSatisfaction]]&lt;=2,HR_Data[[#This Row],[YearsAtCompany]]&lt;=2),"High Risk","Normal")</f>
        <v>Normal</v>
      </c>
    </row>
    <row r="647" spans="1:42" x14ac:dyDescent="0.25">
      <c r="A647" s="6">
        <v>29</v>
      </c>
      <c r="B647" s="4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s="11" t="str">
        <f>IF(HR_Data[[#This Row],[Age]]&lt;=25,"18-25",IF(HR_Data[[#This Row],[Age]]&lt;=35,"26-35",IF(HR_Data[[#This Row],[Age]]&lt;=45,"36-45",IF(HR_Data[[#This Row],[Age]]&lt;=55,"46-55","56+"))))</f>
        <v>26-35</v>
      </c>
      <c r="AK647" s="11" t="str">
        <f>IF(HR_Data[[#This Row],[MonthlyIncome]]&lt;3000,"Low",IF(HR_Data[[#This Row],[MonthlyIncome]]&lt;6000,"Medium",IF(HR_Data[[#This Row],[MonthlyIncome]]&lt;10000,"High","Very High")))</f>
        <v>Low</v>
      </c>
      <c r="AL64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47" t="str">
        <f>IF(HR_Data[[#This Row],[TotalWorkingYears]]&lt;=5,"Junior",IF(HR_Data[[#This Row],[TotalWorkingYears]]&lt;=15,"Mid-Level","Senior"))</f>
        <v>Junior</v>
      </c>
      <c r="AN647" s="11" t="str">
        <f>IF(HR_Data[[#This Row],[PerformanceRating]]=3,"Standard","Excellent")</f>
        <v>Standard</v>
      </c>
      <c r="AO647" s="11" t="str">
        <f>IF(HR_Data[[#This Row],[JobSatisfaction]]&lt;=2,"Low","High")</f>
        <v>High</v>
      </c>
      <c r="AP647" s="11" t="str">
        <f>IF(AND(HR_Data[[#This Row],[OverTime]]="Yes",HR_Data[[#This Row],[JobSatisfaction]]&lt;=2,HR_Data[[#This Row],[YearsAtCompany]]&lt;=2),"High Risk","Normal")</f>
        <v>Normal</v>
      </c>
    </row>
    <row r="648" spans="1:42" x14ac:dyDescent="0.25">
      <c r="A648" s="6">
        <v>53</v>
      </c>
      <c r="B648" s="4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s="11" t="str">
        <f>IF(HR_Data[[#This Row],[Age]]&lt;=25,"18-25",IF(HR_Data[[#This Row],[Age]]&lt;=35,"26-35",IF(HR_Data[[#This Row],[Age]]&lt;=45,"36-45",IF(HR_Data[[#This Row],[Age]]&lt;=55,"46-55","56+"))))</f>
        <v>46-55</v>
      </c>
      <c r="AK648" s="11" t="str">
        <f>IF(HR_Data[[#This Row],[MonthlyIncome]]&lt;3000,"Low",IF(HR_Data[[#This Row],[MonthlyIncome]]&lt;6000,"Medium",IF(HR_Data[[#This Row],[MonthlyIncome]]&lt;10000,"High","Very High")))</f>
        <v>Very High</v>
      </c>
      <c r="AL64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48" t="str">
        <f>IF(HR_Data[[#This Row],[TotalWorkingYears]]&lt;=5,"Junior",IF(HR_Data[[#This Row],[TotalWorkingYears]]&lt;=15,"Mid-Level","Senior"))</f>
        <v>Senior</v>
      </c>
      <c r="AN648" s="11" t="str">
        <f>IF(HR_Data[[#This Row],[PerformanceRating]]=3,"Standard","Excellent")</f>
        <v>Standard</v>
      </c>
      <c r="AO648" s="11" t="str">
        <f>IF(HR_Data[[#This Row],[JobSatisfaction]]&lt;=2,"Low","High")</f>
        <v>High</v>
      </c>
      <c r="AP648" s="11" t="str">
        <f>IF(AND(HR_Data[[#This Row],[OverTime]]="Yes",HR_Data[[#This Row],[JobSatisfaction]]&lt;=2,HR_Data[[#This Row],[YearsAtCompany]]&lt;=2),"High Risk","Normal")</f>
        <v>Normal</v>
      </c>
    </row>
    <row r="649" spans="1:42" x14ac:dyDescent="0.25">
      <c r="A649" s="6">
        <v>35</v>
      </c>
      <c r="B649" s="4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s="11" t="str">
        <f>IF(HR_Data[[#This Row],[Age]]&lt;=25,"18-25",IF(HR_Data[[#This Row],[Age]]&lt;=35,"26-35",IF(HR_Data[[#This Row],[Age]]&lt;=45,"36-45",IF(HR_Data[[#This Row],[Age]]&lt;=55,"46-55","56+"))))</f>
        <v>26-35</v>
      </c>
      <c r="AK649" s="11" t="str">
        <f>IF(HR_Data[[#This Row],[MonthlyIncome]]&lt;3000,"Low",IF(HR_Data[[#This Row],[MonthlyIncome]]&lt;6000,"Medium",IF(HR_Data[[#This Row],[MonthlyIncome]]&lt;10000,"High","Very High")))</f>
        <v>Very High</v>
      </c>
      <c r="AL64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649" t="str">
        <f>IF(HR_Data[[#This Row],[TotalWorkingYears]]&lt;=5,"Junior",IF(HR_Data[[#This Row],[TotalWorkingYears]]&lt;=15,"Mid-Level","Senior"))</f>
        <v>Senior</v>
      </c>
      <c r="AN649" s="11" t="str">
        <f>IF(HR_Data[[#This Row],[PerformanceRating]]=3,"Standard","Excellent")</f>
        <v>Standard</v>
      </c>
      <c r="AO649" s="11" t="str">
        <f>IF(HR_Data[[#This Row],[JobSatisfaction]]&lt;=2,"Low","High")</f>
        <v>Low</v>
      </c>
      <c r="AP649" s="11" t="str">
        <f>IF(AND(HR_Data[[#This Row],[OverTime]]="Yes",HR_Data[[#This Row],[JobSatisfaction]]&lt;=2,HR_Data[[#This Row],[YearsAtCompany]]&lt;=2),"High Risk","Normal")</f>
        <v>Normal</v>
      </c>
    </row>
    <row r="650" spans="1:42" x14ac:dyDescent="0.25">
      <c r="A650" s="6">
        <v>37</v>
      </c>
      <c r="B650" s="4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s="11" t="str">
        <f>IF(HR_Data[[#This Row],[Age]]&lt;=25,"18-25",IF(HR_Data[[#This Row],[Age]]&lt;=35,"26-35",IF(HR_Data[[#This Row],[Age]]&lt;=45,"36-45",IF(HR_Data[[#This Row],[Age]]&lt;=55,"46-55","56+"))))</f>
        <v>36-45</v>
      </c>
      <c r="AK650" s="11" t="str">
        <f>IF(HR_Data[[#This Row],[MonthlyIncome]]&lt;3000,"Low",IF(HR_Data[[#This Row],[MonthlyIncome]]&lt;6000,"Medium",IF(HR_Data[[#This Row],[MonthlyIncome]]&lt;10000,"High","Very High")))</f>
        <v>Low</v>
      </c>
      <c r="AL65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50" t="str">
        <f>IF(HR_Data[[#This Row],[TotalWorkingYears]]&lt;=5,"Junior",IF(HR_Data[[#This Row],[TotalWorkingYears]]&lt;=15,"Mid-Level","Senior"))</f>
        <v>Mid-Level</v>
      </c>
      <c r="AN650" s="11" t="str">
        <f>IF(HR_Data[[#This Row],[PerformanceRating]]=3,"Standard","Excellent")</f>
        <v>Standard</v>
      </c>
      <c r="AO650" s="11" t="str">
        <f>IF(HR_Data[[#This Row],[JobSatisfaction]]&lt;=2,"Low","High")</f>
        <v>High</v>
      </c>
      <c r="AP650" s="11" t="str">
        <f>IF(AND(HR_Data[[#This Row],[OverTime]]="Yes",HR_Data[[#This Row],[JobSatisfaction]]&lt;=2,HR_Data[[#This Row],[YearsAtCompany]]&lt;=2),"High Risk","Normal")</f>
        <v>Normal</v>
      </c>
    </row>
    <row r="651" spans="1:42" x14ac:dyDescent="0.25">
      <c r="A651" s="6">
        <v>53</v>
      </c>
      <c r="B651" s="4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s="11" t="str">
        <f>IF(HR_Data[[#This Row],[Age]]&lt;=25,"18-25",IF(HR_Data[[#This Row],[Age]]&lt;=35,"26-35",IF(HR_Data[[#This Row],[Age]]&lt;=45,"36-45",IF(HR_Data[[#This Row],[Age]]&lt;=55,"46-55","56+"))))</f>
        <v>46-55</v>
      </c>
      <c r="AK651" s="11" t="str">
        <f>IF(HR_Data[[#This Row],[MonthlyIncome]]&lt;3000,"Low",IF(HR_Data[[#This Row],[MonthlyIncome]]&lt;6000,"Medium",IF(HR_Data[[#This Row],[MonthlyIncome]]&lt;10000,"High","Very High")))</f>
        <v>Very High</v>
      </c>
      <c r="AL651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651" t="str">
        <f>IF(HR_Data[[#This Row],[TotalWorkingYears]]&lt;=5,"Junior",IF(HR_Data[[#This Row],[TotalWorkingYears]]&lt;=15,"Mid-Level","Senior"))</f>
        <v>Senior</v>
      </c>
      <c r="AN651" s="11" t="str">
        <f>IF(HR_Data[[#This Row],[PerformanceRating]]=3,"Standard","Excellent")</f>
        <v>Standard</v>
      </c>
      <c r="AO651" s="11" t="str">
        <f>IF(HR_Data[[#This Row],[JobSatisfaction]]&lt;=2,"Low","High")</f>
        <v>High</v>
      </c>
      <c r="AP651" s="11" t="str">
        <f>IF(AND(HR_Data[[#This Row],[OverTime]]="Yes",HR_Data[[#This Row],[JobSatisfaction]]&lt;=2,HR_Data[[#This Row],[YearsAtCompany]]&lt;=2),"High Risk","Normal")</f>
        <v>Normal</v>
      </c>
    </row>
    <row r="652" spans="1:42" x14ac:dyDescent="0.25">
      <c r="A652" s="6">
        <v>43</v>
      </c>
      <c r="B652" s="4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s="11" t="str">
        <f>IF(HR_Data[[#This Row],[Age]]&lt;=25,"18-25",IF(HR_Data[[#This Row],[Age]]&lt;=35,"26-35",IF(HR_Data[[#This Row],[Age]]&lt;=45,"36-45",IF(HR_Data[[#This Row],[Age]]&lt;=55,"46-55","56+"))))</f>
        <v>36-45</v>
      </c>
      <c r="AK652" s="11" t="str">
        <f>IF(HR_Data[[#This Row],[MonthlyIncome]]&lt;3000,"Low",IF(HR_Data[[#This Row],[MonthlyIncome]]&lt;6000,"Medium",IF(HR_Data[[#This Row],[MonthlyIncome]]&lt;10000,"High","Very High")))</f>
        <v>Medium</v>
      </c>
      <c r="AL65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52" t="str">
        <f>IF(HR_Data[[#This Row],[TotalWorkingYears]]&lt;=5,"Junior",IF(HR_Data[[#This Row],[TotalWorkingYears]]&lt;=15,"Mid-Level","Senior"))</f>
        <v>Mid-Level</v>
      </c>
      <c r="AN652" s="11" t="str">
        <f>IF(HR_Data[[#This Row],[PerformanceRating]]=3,"Standard","Excellent")</f>
        <v>Standard</v>
      </c>
      <c r="AO652" s="11" t="str">
        <f>IF(HR_Data[[#This Row],[JobSatisfaction]]&lt;=2,"Low","High")</f>
        <v>High</v>
      </c>
      <c r="AP652" s="11" t="str">
        <f>IF(AND(HR_Data[[#This Row],[OverTime]]="Yes",HR_Data[[#This Row],[JobSatisfaction]]&lt;=2,HR_Data[[#This Row],[YearsAtCompany]]&lt;=2),"High Risk","Normal")</f>
        <v>Normal</v>
      </c>
    </row>
    <row r="653" spans="1:42" x14ac:dyDescent="0.25">
      <c r="A653" s="6">
        <v>47</v>
      </c>
      <c r="B653" s="4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s="11" t="str">
        <f>IF(HR_Data[[#This Row],[Age]]&lt;=25,"18-25",IF(HR_Data[[#This Row],[Age]]&lt;=35,"26-35",IF(HR_Data[[#This Row],[Age]]&lt;=45,"36-45",IF(HR_Data[[#This Row],[Age]]&lt;=55,"46-55","56+"))))</f>
        <v>46-55</v>
      </c>
      <c r="AK653" s="11" t="str">
        <f>IF(HR_Data[[#This Row],[MonthlyIncome]]&lt;3000,"Low",IF(HR_Data[[#This Row],[MonthlyIncome]]&lt;6000,"Medium",IF(HR_Data[[#This Row],[MonthlyIncome]]&lt;10000,"High","Very High")))</f>
        <v>Medium</v>
      </c>
      <c r="AL65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53" t="str">
        <f>IF(HR_Data[[#This Row],[TotalWorkingYears]]&lt;=5,"Junior",IF(HR_Data[[#This Row],[TotalWorkingYears]]&lt;=15,"Mid-Level","Senior"))</f>
        <v>Mid-Level</v>
      </c>
      <c r="AN653" s="11" t="str">
        <f>IF(HR_Data[[#This Row],[PerformanceRating]]=3,"Standard","Excellent")</f>
        <v>Excellent</v>
      </c>
      <c r="AO653" s="11" t="str">
        <f>IF(HR_Data[[#This Row],[JobSatisfaction]]&lt;=2,"Low","High")</f>
        <v>High</v>
      </c>
      <c r="AP653" s="11" t="str">
        <f>IF(AND(HR_Data[[#This Row],[OverTime]]="Yes",HR_Data[[#This Row],[JobSatisfaction]]&lt;=2,HR_Data[[#This Row],[YearsAtCompany]]&lt;=2),"High Risk","Normal")</f>
        <v>Normal</v>
      </c>
    </row>
    <row r="654" spans="1:42" x14ac:dyDescent="0.25">
      <c r="A654" s="6">
        <v>37</v>
      </c>
      <c r="B654" s="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s="11" t="str">
        <f>IF(HR_Data[[#This Row],[Age]]&lt;=25,"18-25",IF(HR_Data[[#This Row],[Age]]&lt;=35,"26-35",IF(HR_Data[[#This Row],[Age]]&lt;=45,"36-45",IF(HR_Data[[#This Row],[Age]]&lt;=55,"46-55","56+"))))</f>
        <v>36-45</v>
      </c>
      <c r="AK654" s="11" t="str">
        <f>IF(HR_Data[[#This Row],[MonthlyIncome]]&lt;3000,"Low",IF(HR_Data[[#This Row],[MonthlyIncome]]&lt;6000,"Medium",IF(HR_Data[[#This Row],[MonthlyIncome]]&lt;10000,"High","Very High")))</f>
        <v>High</v>
      </c>
      <c r="AL65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54" t="str">
        <f>IF(HR_Data[[#This Row],[TotalWorkingYears]]&lt;=5,"Junior",IF(HR_Data[[#This Row],[TotalWorkingYears]]&lt;=15,"Mid-Level","Senior"))</f>
        <v>Mid-Level</v>
      </c>
      <c r="AN654" s="11" t="str">
        <f>IF(HR_Data[[#This Row],[PerformanceRating]]=3,"Standard","Excellent")</f>
        <v>Standard</v>
      </c>
      <c r="AO654" s="11" t="str">
        <f>IF(HR_Data[[#This Row],[JobSatisfaction]]&lt;=2,"Low","High")</f>
        <v>Low</v>
      </c>
      <c r="AP654" s="11" t="str">
        <f>IF(AND(HR_Data[[#This Row],[OverTime]]="Yes",HR_Data[[#This Row],[JobSatisfaction]]&lt;=2,HR_Data[[#This Row],[YearsAtCompany]]&lt;=2),"High Risk","Normal")</f>
        <v>Normal</v>
      </c>
    </row>
    <row r="655" spans="1:42" x14ac:dyDescent="0.25">
      <c r="A655" s="6">
        <v>50</v>
      </c>
      <c r="B655" s="4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s="11" t="str">
        <f>IF(HR_Data[[#This Row],[Age]]&lt;=25,"18-25",IF(HR_Data[[#This Row],[Age]]&lt;=35,"26-35",IF(HR_Data[[#This Row],[Age]]&lt;=45,"36-45",IF(HR_Data[[#This Row],[Age]]&lt;=55,"46-55","56+"))))</f>
        <v>46-55</v>
      </c>
      <c r="AK655" s="11" t="str">
        <f>IF(HR_Data[[#This Row],[MonthlyIncome]]&lt;3000,"Low",IF(HR_Data[[#This Row],[MonthlyIncome]]&lt;6000,"Medium",IF(HR_Data[[#This Row],[MonthlyIncome]]&lt;10000,"High","Very High")))</f>
        <v>Very High</v>
      </c>
      <c r="AL65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655" t="str">
        <f>IF(HR_Data[[#This Row],[TotalWorkingYears]]&lt;=5,"Junior",IF(HR_Data[[#This Row],[TotalWorkingYears]]&lt;=15,"Mid-Level","Senior"))</f>
        <v>Senior</v>
      </c>
      <c r="AN655" s="11" t="str">
        <f>IF(HR_Data[[#This Row],[PerformanceRating]]=3,"Standard","Excellent")</f>
        <v>Standard</v>
      </c>
      <c r="AO655" s="11" t="str">
        <f>IF(HR_Data[[#This Row],[JobSatisfaction]]&lt;=2,"Low","High")</f>
        <v>Low</v>
      </c>
      <c r="AP655" s="11" t="str">
        <f>IF(AND(HR_Data[[#This Row],[OverTime]]="Yes",HR_Data[[#This Row],[JobSatisfaction]]&lt;=2,HR_Data[[#This Row],[YearsAtCompany]]&lt;=2),"High Risk","Normal")</f>
        <v>Normal</v>
      </c>
    </row>
    <row r="656" spans="1:42" x14ac:dyDescent="0.25">
      <c r="A656" s="6">
        <v>39</v>
      </c>
      <c r="B656" s="4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s="11" t="str">
        <f>IF(HR_Data[[#This Row],[Age]]&lt;=25,"18-25",IF(HR_Data[[#This Row],[Age]]&lt;=35,"26-35",IF(HR_Data[[#This Row],[Age]]&lt;=45,"36-45",IF(HR_Data[[#This Row],[Age]]&lt;=55,"46-55","56+"))))</f>
        <v>36-45</v>
      </c>
      <c r="AK656" s="11" t="str">
        <f>IF(HR_Data[[#This Row],[MonthlyIncome]]&lt;3000,"Low",IF(HR_Data[[#This Row],[MonthlyIncome]]&lt;6000,"Medium",IF(HR_Data[[#This Row],[MonthlyIncome]]&lt;10000,"High","Very High")))</f>
        <v>Medium</v>
      </c>
      <c r="AL65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56" t="str">
        <f>IF(HR_Data[[#This Row],[TotalWorkingYears]]&lt;=5,"Junior",IF(HR_Data[[#This Row],[TotalWorkingYears]]&lt;=15,"Mid-Level","Senior"))</f>
        <v>Mid-Level</v>
      </c>
      <c r="AN656" s="11" t="str">
        <f>IF(HR_Data[[#This Row],[PerformanceRating]]=3,"Standard","Excellent")</f>
        <v>Standard</v>
      </c>
      <c r="AO656" s="11" t="str">
        <f>IF(HR_Data[[#This Row],[JobSatisfaction]]&lt;=2,"Low","High")</f>
        <v>High</v>
      </c>
      <c r="AP656" s="11" t="str">
        <f>IF(AND(HR_Data[[#This Row],[OverTime]]="Yes",HR_Data[[#This Row],[JobSatisfaction]]&lt;=2,HR_Data[[#This Row],[YearsAtCompany]]&lt;=2),"High Risk","Normal")</f>
        <v>Normal</v>
      </c>
    </row>
    <row r="657" spans="1:42" x14ac:dyDescent="0.25">
      <c r="A657" s="6">
        <v>33</v>
      </c>
      <c r="B657" s="4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s="11" t="str">
        <f>IF(HR_Data[[#This Row],[Age]]&lt;=25,"18-25",IF(HR_Data[[#This Row],[Age]]&lt;=35,"26-35",IF(HR_Data[[#This Row],[Age]]&lt;=45,"36-45",IF(HR_Data[[#This Row],[Age]]&lt;=55,"46-55","56+"))))</f>
        <v>26-35</v>
      </c>
      <c r="AK657" s="11" t="str">
        <f>IF(HR_Data[[#This Row],[MonthlyIncome]]&lt;3000,"Low",IF(HR_Data[[#This Row],[MonthlyIncome]]&lt;6000,"Medium",IF(HR_Data[[#This Row],[MonthlyIncome]]&lt;10000,"High","Very High")))</f>
        <v>Low</v>
      </c>
      <c r="AL65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57" t="str">
        <f>IF(HR_Data[[#This Row],[TotalWorkingYears]]&lt;=5,"Junior",IF(HR_Data[[#This Row],[TotalWorkingYears]]&lt;=15,"Mid-Level","Senior"))</f>
        <v>Mid-Level</v>
      </c>
      <c r="AN657" s="11" t="str">
        <f>IF(HR_Data[[#This Row],[PerformanceRating]]=3,"Standard","Excellent")</f>
        <v>Standard</v>
      </c>
      <c r="AO657" s="11" t="str">
        <f>IF(HR_Data[[#This Row],[JobSatisfaction]]&lt;=2,"Low","High")</f>
        <v>Low</v>
      </c>
      <c r="AP657" s="11" t="str">
        <f>IF(AND(HR_Data[[#This Row],[OverTime]]="Yes",HR_Data[[#This Row],[JobSatisfaction]]&lt;=2,HR_Data[[#This Row],[YearsAtCompany]]&lt;=2),"High Risk","Normal")</f>
        <v>Normal</v>
      </c>
    </row>
    <row r="658" spans="1:42" x14ac:dyDescent="0.25">
      <c r="A658" s="6">
        <v>32</v>
      </c>
      <c r="B658" s="4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s="11" t="str">
        <f>IF(HR_Data[[#This Row],[Age]]&lt;=25,"18-25",IF(HR_Data[[#This Row],[Age]]&lt;=35,"26-35",IF(HR_Data[[#This Row],[Age]]&lt;=45,"36-45",IF(HR_Data[[#This Row],[Age]]&lt;=55,"46-55","56+"))))</f>
        <v>26-35</v>
      </c>
      <c r="AK658" s="11" t="str">
        <f>IF(HR_Data[[#This Row],[MonthlyIncome]]&lt;3000,"Low",IF(HR_Data[[#This Row],[MonthlyIncome]]&lt;6000,"Medium",IF(HR_Data[[#This Row],[MonthlyIncome]]&lt;10000,"High","Very High")))</f>
        <v>Low</v>
      </c>
      <c r="AL65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58" t="str">
        <f>IF(HR_Data[[#This Row],[TotalWorkingYears]]&lt;=5,"Junior",IF(HR_Data[[#This Row],[TotalWorkingYears]]&lt;=15,"Mid-Level","Senior"))</f>
        <v>Junior</v>
      </c>
      <c r="AN658" s="11" t="str">
        <f>IF(HR_Data[[#This Row],[PerformanceRating]]=3,"Standard","Excellent")</f>
        <v>Excellent</v>
      </c>
      <c r="AO658" s="11" t="str">
        <f>IF(HR_Data[[#This Row],[JobSatisfaction]]&lt;=2,"Low","High")</f>
        <v>High</v>
      </c>
      <c r="AP658" s="11" t="str">
        <f>IF(AND(HR_Data[[#This Row],[OverTime]]="Yes",HR_Data[[#This Row],[JobSatisfaction]]&lt;=2,HR_Data[[#This Row],[YearsAtCompany]]&lt;=2),"High Risk","Normal")</f>
        <v>Normal</v>
      </c>
    </row>
    <row r="659" spans="1:42" x14ac:dyDescent="0.25">
      <c r="A659" s="6">
        <v>29</v>
      </c>
      <c r="B659" s="4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s="11" t="str">
        <f>IF(HR_Data[[#This Row],[Age]]&lt;=25,"18-25",IF(HR_Data[[#This Row],[Age]]&lt;=35,"26-35",IF(HR_Data[[#This Row],[Age]]&lt;=45,"36-45",IF(HR_Data[[#This Row],[Age]]&lt;=55,"46-55","56+"))))</f>
        <v>26-35</v>
      </c>
      <c r="AK659" s="11" t="str">
        <f>IF(HR_Data[[#This Row],[MonthlyIncome]]&lt;3000,"Low",IF(HR_Data[[#This Row],[MonthlyIncome]]&lt;6000,"Medium",IF(HR_Data[[#This Row],[MonthlyIncome]]&lt;10000,"High","Very High")))</f>
        <v>Low</v>
      </c>
      <c r="AL65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59" t="str">
        <f>IF(HR_Data[[#This Row],[TotalWorkingYears]]&lt;=5,"Junior",IF(HR_Data[[#This Row],[TotalWorkingYears]]&lt;=15,"Mid-Level","Senior"))</f>
        <v>Mid-Level</v>
      </c>
      <c r="AN659" s="11" t="str">
        <f>IF(HR_Data[[#This Row],[PerformanceRating]]=3,"Standard","Excellent")</f>
        <v>Standard</v>
      </c>
      <c r="AO659" s="11" t="str">
        <f>IF(HR_Data[[#This Row],[JobSatisfaction]]&lt;=2,"Low","High")</f>
        <v>High</v>
      </c>
      <c r="AP659" s="11" t="str">
        <f>IF(AND(HR_Data[[#This Row],[OverTime]]="Yes",HR_Data[[#This Row],[JobSatisfaction]]&lt;=2,HR_Data[[#This Row],[YearsAtCompany]]&lt;=2),"High Risk","Normal")</f>
        <v>Normal</v>
      </c>
    </row>
    <row r="660" spans="1:42" x14ac:dyDescent="0.25">
      <c r="A660" s="6">
        <v>44</v>
      </c>
      <c r="B660" s="4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s="11" t="str">
        <f>IF(HR_Data[[#This Row],[Age]]&lt;=25,"18-25",IF(HR_Data[[#This Row],[Age]]&lt;=35,"26-35",IF(HR_Data[[#This Row],[Age]]&lt;=45,"36-45",IF(HR_Data[[#This Row],[Age]]&lt;=55,"46-55","56+"))))</f>
        <v>36-45</v>
      </c>
      <c r="AK660" s="11" t="str">
        <f>IF(HR_Data[[#This Row],[MonthlyIncome]]&lt;3000,"Low",IF(HR_Data[[#This Row],[MonthlyIncome]]&lt;6000,"Medium",IF(HR_Data[[#This Row],[MonthlyIncome]]&lt;10000,"High","Very High")))</f>
        <v>Low</v>
      </c>
      <c r="AL66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60" t="str">
        <f>IF(HR_Data[[#This Row],[TotalWorkingYears]]&lt;=5,"Junior",IF(HR_Data[[#This Row],[TotalWorkingYears]]&lt;=15,"Mid-Level","Senior"))</f>
        <v>Mid-Level</v>
      </c>
      <c r="AN660" s="11" t="str">
        <f>IF(HR_Data[[#This Row],[PerformanceRating]]=3,"Standard","Excellent")</f>
        <v>Standard</v>
      </c>
      <c r="AO660" s="11" t="str">
        <f>IF(HR_Data[[#This Row],[JobSatisfaction]]&lt;=2,"Low","High")</f>
        <v>Low</v>
      </c>
      <c r="AP660" s="11" t="str">
        <f>IF(AND(HR_Data[[#This Row],[OverTime]]="Yes",HR_Data[[#This Row],[JobSatisfaction]]&lt;=2,HR_Data[[#This Row],[YearsAtCompany]]&lt;=2),"High Risk","Normal")</f>
        <v>Normal</v>
      </c>
    </row>
    <row r="661" spans="1:42" x14ac:dyDescent="0.25">
      <c r="A661" s="6">
        <v>28</v>
      </c>
      <c r="B661" s="4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s="11" t="str">
        <f>IF(HR_Data[[#This Row],[Age]]&lt;=25,"18-25",IF(HR_Data[[#This Row],[Age]]&lt;=35,"26-35",IF(HR_Data[[#This Row],[Age]]&lt;=45,"36-45",IF(HR_Data[[#This Row],[Age]]&lt;=55,"46-55","56+"))))</f>
        <v>26-35</v>
      </c>
      <c r="AK661" s="11" t="str">
        <f>IF(HR_Data[[#This Row],[MonthlyIncome]]&lt;3000,"Low",IF(HR_Data[[#This Row],[MonthlyIncome]]&lt;6000,"Medium",IF(HR_Data[[#This Row],[MonthlyIncome]]&lt;10000,"High","Very High")))</f>
        <v>Medium</v>
      </c>
      <c r="AL66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61" t="str">
        <f>IF(HR_Data[[#This Row],[TotalWorkingYears]]&lt;=5,"Junior",IF(HR_Data[[#This Row],[TotalWorkingYears]]&lt;=15,"Mid-Level","Senior"))</f>
        <v>Junior</v>
      </c>
      <c r="AN661" s="11" t="str">
        <f>IF(HR_Data[[#This Row],[PerformanceRating]]=3,"Standard","Excellent")</f>
        <v>Standard</v>
      </c>
      <c r="AO661" s="11" t="str">
        <f>IF(HR_Data[[#This Row],[JobSatisfaction]]&lt;=2,"Low","High")</f>
        <v>High</v>
      </c>
      <c r="AP661" s="11" t="str">
        <f>IF(AND(HR_Data[[#This Row],[OverTime]]="Yes",HR_Data[[#This Row],[JobSatisfaction]]&lt;=2,HR_Data[[#This Row],[YearsAtCompany]]&lt;=2),"High Risk","Normal")</f>
        <v>Normal</v>
      </c>
    </row>
    <row r="662" spans="1:42" x14ac:dyDescent="0.25">
      <c r="A662" s="6">
        <v>58</v>
      </c>
      <c r="B662" s="4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s="11" t="str">
        <f>IF(HR_Data[[#This Row],[Age]]&lt;=25,"18-25",IF(HR_Data[[#This Row],[Age]]&lt;=35,"26-35",IF(HR_Data[[#This Row],[Age]]&lt;=45,"36-45",IF(HR_Data[[#This Row],[Age]]&lt;=55,"46-55","56+"))))</f>
        <v>56+</v>
      </c>
      <c r="AK662" s="11" t="str">
        <f>IF(HR_Data[[#This Row],[MonthlyIncome]]&lt;3000,"Low",IF(HR_Data[[#This Row],[MonthlyIncome]]&lt;6000,"Medium",IF(HR_Data[[#This Row],[MonthlyIncome]]&lt;10000,"High","Very High")))</f>
        <v>Low</v>
      </c>
      <c r="AL66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62" t="str">
        <f>IF(HR_Data[[#This Row],[TotalWorkingYears]]&lt;=5,"Junior",IF(HR_Data[[#This Row],[TotalWorkingYears]]&lt;=15,"Mid-Level","Senior"))</f>
        <v>Junior</v>
      </c>
      <c r="AN662" s="11" t="str">
        <f>IF(HR_Data[[#This Row],[PerformanceRating]]=3,"Standard","Excellent")</f>
        <v>Standard</v>
      </c>
      <c r="AO662" s="11" t="str">
        <f>IF(HR_Data[[#This Row],[JobSatisfaction]]&lt;=2,"Low","High")</f>
        <v>High</v>
      </c>
      <c r="AP662" s="11" t="str">
        <f>IF(AND(HR_Data[[#This Row],[OverTime]]="Yes",HR_Data[[#This Row],[JobSatisfaction]]&lt;=2,HR_Data[[#This Row],[YearsAtCompany]]&lt;=2),"High Risk","Normal")</f>
        <v>Normal</v>
      </c>
    </row>
    <row r="663" spans="1:42" x14ac:dyDescent="0.25">
      <c r="A663" s="6">
        <v>43</v>
      </c>
      <c r="B663" s="4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s="11" t="str">
        <f>IF(HR_Data[[#This Row],[Age]]&lt;=25,"18-25",IF(HR_Data[[#This Row],[Age]]&lt;=35,"26-35",IF(HR_Data[[#This Row],[Age]]&lt;=45,"36-45",IF(HR_Data[[#This Row],[Age]]&lt;=55,"46-55","56+"))))</f>
        <v>36-45</v>
      </c>
      <c r="AK663" s="11" t="str">
        <f>IF(HR_Data[[#This Row],[MonthlyIncome]]&lt;3000,"Low",IF(HR_Data[[#This Row],[MonthlyIncome]]&lt;6000,"Medium",IF(HR_Data[[#This Row],[MonthlyIncome]]&lt;10000,"High","Very High")))</f>
        <v>Medium</v>
      </c>
      <c r="AL66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63" t="str">
        <f>IF(HR_Data[[#This Row],[TotalWorkingYears]]&lt;=5,"Junior",IF(HR_Data[[#This Row],[TotalWorkingYears]]&lt;=15,"Mid-Level","Senior"))</f>
        <v>Junior</v>
      </c>
      <c r="AN663" s="11" t="str">
        <f>IF(HR_Data[[#This Row],[PerformanceRating]]=3,"Standard","Excellent")</f>
        <v>Excellent</v>
      </c>
      <c r="AO663" s="11" t="str">
        <f>IF(HR_Data[[#This Row],[JobSatisfaction]]&lt;=2,"Low","High")</f>
        <v>Low</v>
      </c>
      <c r="AP663" s="11" t="str">
        <f>IF(AND(HR_Data[[#This Row],[OverTime]]="Yes",HR_Data[[#This Row],[JobSatisfaction]]&lt;=2,HR_Data[[#This Row],[YearsAtCompany]]&lt;=2),"High Risk","Normal")</f>
        <v>Normal</v>
      </c>
    </row>
    <row r="664" spans="1:42" x14ac:dyDescent="0.25">
      <c r="A664" s="6">
        <v>20</v>
      </c>
      <c r="B664" s="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s="11" t="str">
        <f>IF(HR_Data[[#This Row],[Age]]&lt;=25,"18-25",IF(HR_Data[[#This Row],[Age]]&lt;=35,"26-35",IF(HR_Data[[#This Row],[Age]]&lt;=45,"36-45",IF(HR_Data[[#This Row],[Age]]&lt;=55,"46-55","56+"))))</f>
        <v>18-25</v>
      </c>
      <c r="AK664" s="11" t="str">
        <f>IF(HR_Data[[#This Row],[MonthlyIncome]]&lt;3000,"Low",IF(HR_Data[[#This Row],[MonthlyIncome]]&lt;6000,"Medium",IF(HR_Data[[#This Row],[MonthlyIncome]]&lt;10000,"High","Very High")))</f>
        <v>Low</v>
      </c>
      <c r="AL66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64" t="str">
        <f>IF(HR_Data[[#This Row],[TotalWorkingYears]]&lt;=5,"Junior",IF(HR_Data[[#This Row],[TotalWorkingYears]]&lt;=15,"Mid-Level","Senior"))</f>
        <v>Junior</v>
      </c>
      <c r="AN664" s="11" t="str">
        <f>IF(HR_Data[[#This Row],[PerformanceRating]]=3,"Standard","Excellent")</f>
        <v>Standard</v>
      </c>
      <c r="AO664" s="11" t="str">
        <f>IF(HR_Data[[#This Row],[JobSatisfaction]]&lt;=2,"Low","High")</f>
        <v>High</v>
      </c>
      <c r="AP664" s="11" t="str">
        <f>IF(AND(HR_Data[[#This Row],[OverTime]]="Yes",HR_Data[[#This Row],[JobSatisfaction]]&lt;=2,HR_Data[[#This Row],[YearsAtCompany]]&lt;=2),"High Risk","Normal")</f>
        <v>Normal</v>
      </c>
    </row>
    <row r="665" spans="1:42" x14ac:dyDescent="0.25">
      <c r="A665" s="6">
        <v>21</v>
      </c>
      <c r="B665" s="4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s="11" t="str">
        <f>IF(HR_Data[[#This Row],[Age]]&lt;=25,"18-25",IF(HR_Data[[#This Row],[Age]]&lt;=35,"26-35",IF(HR_Data[[#This Row],[Age]]&lt;=45,"36-45",IF(HR_Data[[#This Row],[Age]]&lt;=55,"46-55","56+"))))</f>
        <v>18-25</v>
      </c>
      <c r="AK665" s="11" t="str">
        <f>IF(HR_Data[[#This Row],[MonthlyIncome]]&lt;3000,"Low",IF(HR_Data[[#This Row],[MonthlyIncome]]&lt;6000,"Medium",IF(HR_Data[[#This Row],[MonthlyIncome]]&lt;10000,"High","Very High")))</f>
        <v>Low</v>
      </c>
      <c r="AL66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65" t="str">
        <f>IF(HR_Data[[#This Row],[TotalWorkingYears]]&lt;=5,"Junior",IF(HR_Data[[#This Row],[TotalWorkingYears]]&lt;=15,"Mid-Level","Senior"))</f>
        <v>Junior</v>
      </c>
      <c r="AN665" s="11" t="str">
        <f>IF(HR_Data[[#This Row],[PerformanceRating]]=3,"Standard","Excellent")</f>
        <v>Standard</v>
      </c>
      <c r="AO665" s="11" t="str">
        <f>IF(HR_Data[[#This Row],[JobSatisfaction]]&lt;=2,"Low","High")</f>
        <v>High</v>
      </c>
      <c r="AP665" s="11" t="str">
        <f>IF(AND(HR_Data[[#This Row],[OverTime]]="Yes",HR_Data[[#This Row],[JobSatisfaction]]&lt;=2,HR_Data[[#This Row],[YearsAtCompany]]&lt;=2),"High Risk","Normal")</f>
        <v>Normal</v>
      </c>
    </row>
    <row r="666" spans="1:42" x14ac:dyDescent="0.25">
      <c r="A666" s="6">
        <v>36</v>
      </c>
      <c r="B666" s="4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s="11" t="str">
        <f>IF(HR_Data[[#This Row],[Age]]&lt;=25,"18-25",IF(HR_Data[[#This Row],[Age]]&lt;=35,"26-35",IF(HR_Data[[#This Row],[Age]]&lt;=45,"36-45",IF(HR_Data[[#This Row],[Age]]&lt;=55,"46-55","56+"))))</f>
        <v>36-45</v>
      </c>
      <c r="AK666" s="11" t="str">
        <f>IF(HR_Data[[#This Row],[MonthlyIncome]]&lt;3000,"Low",IF(HR_Data[[#This Row],[MonthlyIncome]]&lt;6000,"Medium",IF(HR_Data[[#This Row],[MonthlyIncome]]&lt;10000,"High","Very High")))</f>
        <v>High</v>
      </c>
      <c r="AL66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666" t="str">
        <f>IF(HR_Data[[#This Row],[TotalWorkingYears]]&lt;=5,"Junior",IF(HR_Data[[#This Row],[TotalWorkingYears]]&lt;=15,"Mid-Level","Senior"))</f>
        <v>Senior</v>
      </c>
      <c r="AN666" s="11" t="str">
        <f>IF(HR_Data[[#This Row],[PerformanceRating]]=3,"Standard","Excellent")</f>
        <v>Standard</v>
      </c>
      <c r="AO666" s="11" t="str">
        <f>IF(HR_Data[[#This Row],[JobSatisfaction]]&lt;=2,"Low","High")</f>
        <v>High</v>
      </c>
      <c r="AP666" s="11" t="str">
        <f>IF(AND(HR_Data[[#This Row],[OverTime]]="Yes",HR_Data[[#This Row],[JobSatisfaction]]&lt;=2,HR_Data[[#This Row],[YearsAtCompany]]&lt;=2),"High Risk","Normal")</f>
        <v>Normal</v>
      </c>
    </row>
    <row r="667" spans="1:42" x14ac:dyDescent="0.25">
      <c r="A667" s="6">
        <v>47</v>
      </c>
      <c r="B667" s="4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s="11" t="str">
        <f>IF(HR_Data[[#This Row],[Age]]&lt;=25,"18-25",IF(HR_Data[[#This Row],[Age]]&lt;=35,"26-35",IF(HR_Data[[#This Row],[Age]]&lt;=45,"36-45",IF(HR_Data[[#This Row],[Age]]&lt;=55,"46-55","56+"))))</f>
        <v>46-55</v>
      </c>
      <c r="AK667" s="11" t="str">
        <f>IF(HR_Data[[#This Row],[MonthlyIncome]]&lt;3000,"Low",IF(HR_Data[[#This Row],[MonthlyIncome]]&lt;6000,"Medium",IF(HR_Data[[#This Row],[MonthlyIncome]]&lt;10000,"High","Very High")))</f>
        <v>Medium</v>
      </c>
      <c r="AL66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67" t="str">
        <f>IF(HR_Data[[#This Row],[TotalWorkingYears]]&lt;=5,"Junior",IF(HR_Data[[#This Row],[TotalWorkingYears]]&lt;=15,"Mid-Level","Senior"))</f>
        <v>Junior</v>
      </c>
      <c r="AN667" s="11" t="str">
        <f>IF(HR_Data[[#This Row],[PerformanceRating]]=3,"Standard","Excellent")</f>
        <v>Standard</v>
      </c>
      <c r="AO667" s="11" t="str">
        <f>IF(HR_Data[[#This Row],[JobSatisfaction]]&lt;=2,"Low","High")</f>
        <v>High</v>
      </c>
      <c r="AP667" s="11" t="str">
        <f>IF(AND(HR_Data[[#This Row],[OverTime]]="Yes",HR_Data[[#This Row],[JobSatisfaction]]&lt;=2,HR_Data[[#This Row],[YearsAtCompany]]&lt;=2),"High Risk","Normal")</f>
        <v>Normal</v>
      </c>
    </row>
    <row r="668" spans="1:42" x14ac:dyDescent="0.25">
      <c r="A668" s="6">
        <v>22</v>
      </c>
      <c r="B668" s="4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s="11" t="str">
        <f>IF(HR_Data[[#This Row],[Age]]&lt;=25,"18-25",IF(HR_Data[[#This Row],[Age]]&lt;=35,"26-35",IF(HR_Data[[#This Row],[Age]]&lt;=45,"36-45",IF(HR_Data[[#This Row],[Age]]&lt;=55,"46-55","56+"))))</f>
        <v>18-25</v>
      </c>
      <c r="AK668" s="11" t="str">
        <f>IF(HR_Data[[#This Row],[MonthlyIncome]]&lt;3000,"Low",IF(HR_Data[[#This Row],[MonthlyIncome]]&lt;6000,"Medium",IF(HR_Data[[#This Row],[MonthlyIncome]]&lt;10000,"High","Very High")))</f>
        <v>Medium</v>
      </c>
      <c r="AL66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68" t="str">
        <f>IF(HR_Data[[#This Row],[TotalWorkingYears]]&lt;=5,"Junior",IF(HR_Data[[#This Row],[TotalWorkingYears]]&lt;=15,"Mid-Level","Senior"))</f>
        <v>Junior</v>
      </c>
      <c r="AN668" s="11" t="str">
        <f>IF(HR_Data[[#This Row],[PerformanceRating]]=3,"Standard","Excellent")</f>
        <v>Standard</v>
      </c>
      <c r="AO668" s="11" t="str">
        <f>IF(HR_Data[[#This Row],[JobSatisfaction]]&lt;=2,"Low","High")</f>
        <v>High</v>
      </c>
      <c r="AP668" s="11" t="str">
        <f>IF(AND(HR_Data[[#This Row],[OverTime]]="Yes",HR_Data[[#This Row],[JobSatisfaction]]&lt;=2,HR_Data[[#This Row],[YearsAtCompany]]&lt;=2),"High Risk","Normal")</f>
        <v>Normal</v>
      </c>
    </row>
    <row r="669" spans="1:42" x14ac:dyDescent="0.25">
      <c r="A669" s="6">
        <v>41</v>
      </c>
      <c r="B669" s="4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s="11" t="str">
        <f>IF(HR_Data[[#This Row],[Age]]&lt;=25,"18-25",IF(HR_Data[[#This Row],[Age]]&lt;=35,"26-35",IF(HR_Data[[#This Row],[Age]]&lt;=45,"36-45",IF(HR_Data[[#This Row],[Age]]&lt;=55,"46-55","56+"))))</f>
        <v>36-45</v>
      </c>
      <c r="AK669" s="11" t="str">
        <f>IF(HR_Data[[#This Row],[MonthlyIncome]]&lt;3000,"Low",IF(HR_Data[[#This Row],[MonthlyIncome]]&lt;6000,"Medium",IF(HR_Data[[#This Row],[MonthlyIncome]]&lt;10000,"High","Very High")))</f>
        <v>Low</v>
      </c>
      <c r="AL66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69" t="str">
        <f>IF(HR_Data[[#This Row],[TotalWorkingYears]]&lt;=5,"Junior",IF(HR_Data[[#This Row],[TotalWorkingYears]]&lt;=15,"Mid-Level","Senior"))</f>
        <v>Mid-Level</v>
      </c>
      <c r="AN669" s="11" t="str">
        <f>IF(HR_Data[[#This Row],[PerformanceRating]]=3,"Standard","Excellent")</f>
        <v>Standard</v>
      </c>
      <c r="AO669" s="11" t="str">
        <f>IF(HR_Data[[#This Row],[JobSatisfaction]]&lt;=2,"Low","High")</f>
        <v>High</v>
      </c>
      <c r="AP669" s="11" t="str">
        <f>IF(AND(HR_Data[[#This Row],[OverTime]]="Yes",HR_Data[[#This Row],[JobSatisfaction]]&lt;=2,HR_Data[[#This Row],[YearsAtCompany]]&lt;=2),"High Risk","Normal")</f>
        <v>Normal</v>
      </c>
    </row>
    <row r="670" spans="1:42" x14ac:dyDescent="0.25">
      <c r="A670" s="6">
        <v>28</v>
      </c>
      <c r="B670" s="4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s="11" t="str">
        <f>IF(HR_Data[[#This Row],[Age]]&lt;=25,"18-25",IF(HR_Data[[#This Row],[Age]]&lt;=35,"26-35",IF(HR_Data[[#This Row],[Age]]&lt;=45,"36-45",IF(HR_Data[[#This Row],[Age]]&lt;=55,"46-55","56+"))))</f>
        <v>26-35</v>
      </c>
      <c r="AK670" s="11" t="str">
        <f>IF(HR_Data[[#This Row],[MonthlyIncome]]&lt;3000,"Low",IF(HR_Data[[#This Row],[MonthlyIncome]]&lt;6000,"Medium",IF(HR_Data[[#This Row],[MonthlyIncome]]&lt;10000,"High","Very High")))</f>
        <v>Low</v>
      </c>
      <c r="AL67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70" t="str">
        <f>IF(HR_Data[[#This Row],[TotalWorkingYears]]&lt;=5,"Junior",IF(HR_Data[[#This Row],[TotalWorkingYears]]&lt;=15,"Mid-Level","Senior"))</f>
        <v>Mid-Level</v>
      </c>
      <c r="AN670" s="11" t="str">
        <f>IF(HR_Data[[#This Row],[PerformanceRating]]=3,"Standard","Excellent")</f>
        <v>Standard</v>
      </c>
      <c r="AO670" s="11" t="str">
        <f>IF(HR_Data[[#This Row],[JobSatisfaction]]&lt;=2,"Low","High")</f>
        <v>High</v>
      </c>
      <c r="AP670" s="11" t="str">
        <f>IF(AND(HR_Data[[#This Row],[OverTime]]="Yes",HR_Data[[#This Row],[JobSatisfaction]]&lt;=2,HR_Data[[#This Row],[YearsAtCompany]]&lt;=2),"High Risk","Normal")</f>
        <v>Normal</v>
      </c>
    </row>
    <row r="671" spans="1:42" x14ac:dyDescent="0.25">
      <c r="A671" s="6">
        <v>39</v>
      </c>
      <c r="B671" s="4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s="11" t="str">
        <f>IF(HR_Data[[#This Row],[Age]]&lt;=25,"18-25",IF(HR_Data[[#This Row],[Age]]&lt;=35,"26-35",IF(HR_Data[[#This Row],[Age]]&lt;=45,"36-45",IF(HR_Data[[#This Row],[Age]]&lt;=55,"46-55","56+"))))</f>
        <v>36-45</v>
      </c>
      <c r="AK671" s="11" t="str">
        <f>IF(HR_Data[[#This Row],[MonthlyIncome]]&lt;3000,"Low",IF(HR_Data[[#This Row],[MonthlyIncome]]&lt;6000,"Medium",IF(HR_Data[[#This Row],[MonthlyIncome]]&lt;10000,"High","Very High")))</f>
        <v>Low</v>
      </c>
      <c r="AL67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71" t="str">
        <f>IF(HR_Data[[#This Row],[TotalWorkingYears]]&lt;=5,"Junior",IF(HR_Data[[#This Row],[TotalWorkingYears]]&lt;=15,"Mid-Level","Senior"))</f>
        <v>Mid-Level</v>
      </c>
      <c r="AN671" s="11" t="str">
        <f>IF(HR_Data[[#This Row],[PerformanceRating]]=3,"Standard","Excellent")</f>
        <v>Excellent</v>
      </c>
      <c r="AO671" s="11" t="str">
        <f>IF(HR_Data[[#This Row],[JobSatisfaction]]&lt;=2,"Low","High")</f>
        <v>Low</v>
      </c>
      <c r="AP671" s="11" t="str">
        <f>IF(AND(HR_Data[[#This Row],[OverTime]]="Yes",HR_Data[[#This Row],[JobSatisfaction]]&lt;=2,HR_Data[[#This Row],[YearsAtCompany]]&lt;=2),"High Risk","Normal")</f>
        <v>High Risk</v>
      </c>
    </row>
    <row r="672" spans="1:42" x14ac:dyDescent="0.25">
      <c r="A672" s="6">
        <v>27</v>
      </c>
      <c r="B672" s="4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s="11" t="str">
        <f>IF(HR_Data[[#This Row],[Age]]&lt;=25,"18-25",IF(HR_Data[[#This Row],[Age]]&lt;=35,"26-35",IF(HR_Data[[#This Row],[Age]]&lt;=45,"36-45",IF(HR_Data[[#This Row],[Age]]&lt;=55,"46-55","56+"))))</f>
        <v>26-35</v>
      </c>
      <c r="AK672" s="11" t="str">
        <f>IF(HR_Data[[#This Row],[MonthlyIncome]]&lt;3000,"Low",IF(HR_Data[[#This Row],[MonthlyIncome]]&lt;6000,"Medium",IF(HR_Data[[#This Row],[MonthlyIncome]]&lt;10000,"High","Very High")))</f>
        <v>Low</v>
      </c>
      <c r="AL67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72" t="str">
        <f>IF(HR_Data[[#This Row],[TotalWorkingYears]]&lt;=5,"Junior",IF(HR_Data[[#This Row],[TotalWorkingYears]]&lt;=15,"Mid-Level","Senior"))</f>
        <v>Junior</v>
      </c>
      <c r="AN672" s="11" t="str">
        <f>IF(HR_Data[[#This Row],[PerformanceRating]]=3,"Standard","Excellent")</f>
        <v>Standard</v>
      </c>
      <c r="AO672" s="11" t="str">
        <f>IF(HR_Data[[#This Row],[JobSatisfaction]]&lt;=2,"Low","High")</f>
        <v>High</v>
      </c>
      <c r="AP672" s="11" t="str">
        <f>IF(AND(HR_Data[[#This Row],[OverTime]]="Yes",HR_Data[[#This Row],[JobSatisfaction]]&lt;=2,HR_Data[[#This Row],[YearsAtCompany]]&lt;=2),"High Risk","Normal")</f>
        <v>Normal</v>
      </c>
    </row>
    <row r="673" spans="1:42" x14ac:dyDescent="0.25">
      <c r="A673" s="6">
        <v>34</v>
      </c>
      <c r="B673" s="4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s="11" t="str">
        <f>IF(HR_Data[[#This Row],[Age]]&lt;=25,"18-25",IF(HR_Data[[#This Row],[Age]]&lt;=35,"26-35",IF(HR_Data[[#This Row],[Age]]&lt;=45,"36-45",IF(HR_Data[[#This Row],[Age]]&lt;=55,"46-55","56+"))))</f>
        <v>26-35</v>
      </c>
      <c r="AK673" s="11" t="str">
        <f>IF(HR_Data[[#This Row],[MonthlyIncome]]&lt;3000,"Low",IF(HR_Data[[#This Row],[MonthlyIncome]]&lt;6000,"Medium",IF(HR_Data[[#This Row],[MonthlyIncome]]&lt;10000,"High","Very High")))</f>
        <v>Low</v>
      </c>
      <c r="AL67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73" t="str">
        <f>IF(HR_Data[[#This Row],[TotalWorkingYears]]&lt;=5,"Junior",IF(HR_Data[[#This Row],[TotalWorkingYears]]&lt;=15,"Mid-Level","Senior"))</f>
        <v>Junior</v>
      </c>
      <c r="AN673" s="11" t="str">
        <f>IF(HR_Data[[#This Row],[PerformanceRating]]=3,"Standard","Excellent")</f>
        <v>Standard</v>
      </c>
      <c r="AO673" s="11" t="str">
        <f>IF(HR_Data[[#This Row],[JobSatisfaction]]&lt;=2,"Low","High")</f>
        <v>Low</v>
      </c>
      <c r="AP673" s="11" t="str">
        <f>IF(AND(HR_Data[[#This Row],[OverTime]]="Yes",HR_Data[[#This Row],[JobSatisfaction]]&lt;=2,HR_Data[[#This Row],[YearsAtCompany]]&lt;=2),"High Risk","Normal")</f>
        <v>Normal</v>
      </c>
    </row>
    <row r="674" spans="1:42" x14ac:dyDescent="0.25">
      <c r="A674" s="6">
        <v>42</v>
      </c>
      <c r="B674" s="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s="11" t="str">
        <f>IF(HR_Data[[#This Row],[Age]]&lt;=25,"18-25",IF(HR_Data[[#This Row],[Age]]&lt;=35,"26-35",IF(HR_Data[[#This Row],[Age]]&lt;=45,"36-45",IF(HR_Data[[#This Row],[Age]]&lt;=55,"46-55","56+"))))</f>
        <v>36-45</v>
      </c>
      <c r="AK674" s="11" t="str">
        <f>IF(HR_Data[[#This Row],[MonthlyIncome]]&lt;3000,"Low",IF(HR_Data[[#This Row],[MonthlyIncome]]&lt;6000,"Medium",IF(HR_Data[[#This Row],[MonthlyIncome]]&lt;10000,"High","Very High")))</f>
        <v>High</v>
      </c>
      <c r="AL67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74" t="str">
        <f>IF(HR_Data[[#This Row],[TotalWorkingYears]]&lt;=5,"Junior",IF(HR_Data[[#This Row],[TotalWorkingYears]]&lt;=15,"Mid-Level","Senior"))</f>
        <v>Mid-Level</v>
      </c>
      <c r="AN674" s="11" t="str">
        <f>IF(HR_Data[[#This Row],[PerformanceRating]]=3,"Standard","Excellent")</f>
        <v>Standard</v>
      </c>
      <c r="AO674" s="11" t="str">
        <f>IF(HR_Data[[#This Row],[JobSatisfaction]]&lt;=2,"Low","High")</f>
        <v>High</v>
      </c>
      <c r="AP674" s="11" t="str">
        <f>IF(AND(HR_Data[[#This Row],[OverTime]]="Yes",HR_Data[[#This Row],[JobSatisfaction]]&lt;=2,HR_Data[[#This Row],[YearsAtCompany]]&lt;=2),"High Risk","Normal")</f>
        <v>Normal</v>
      </c>
    </row>
    <row r="675" spans="1:42" x14ac:dyDescent="0.25">
      <c r="A675" s="6">
        <v>33</v>
      </c>
      <c r="B675" s="4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s="11" t="str">
        <f>IF(HR_Data[[#This Row],[Age]]&lt;=25,"18-25",IF(HR_Data[[#This Row],[Age]]&lt;=35,"26-35",IF(HR_Data[[#This Row],[Age]]&lt;=45,"36-45",IF(HR_Data[[#This Row],[Age]]&lt;=55,"46-55","56+"))))</f>
        <v>26-35</v>
      </c>
      <c r="AK675" s="11" t="str">
        <f>IF(HR_Data[[#This Row],[MonthlyIncome]]&lt;3000,"Low",IF(HR_Data[[#This Row],[MonthlyIncome]]&lt;6000,"Medium",IF(HR_Data[[#This Row],[MonthlyIncome]]&lt;10000,"High","Very High")))</f>
        <v>Low</v>
      </c>
      <c r="AL67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75" t="str">
        <f>IF(HR_Data[[#This Row],[TotalWorkingYears]]&lt;=5,"Junior",IF(HR_Data[[#This Row],[TotalWorkingYears]]&lt;=15,"Mid-Level","Senior"))</f>
        <v>Mid-Level</v>
      </c>
      <c r="AN675" s="11" t="str">
        <f>IF(HR_Data[[#This Row],[PerformanceRating]]=3,"Standard","Excellent")</f>
        <v>Standard</v>
      </c>
      <c r="AO675" s="11" t="str">
        <f>IF(HR_Data[[#This Row],[JobSatisfaction]]&lt;=2,"Low","High")</f>
        <v>Low</v>
      </c>
      <c r="AP675" s="11" t="str">
        <f>IF(AND(HR_Data[[#This Row],[OverTime]]="Yes",HR_Data[[#This Row],[JobSatisfaction]]&lt;=2,HR_Data[[#This Row],[YearsAtCompany]]&lt;=2),"High Risk","Normal")</f>
        <v>Normal</v>
      </c>
    </row>
    <row r="676" spans="1:42" x14ac:dyDescent="0.25">
      <c r="A676" s="6">
        <v>58</v>
      </c>
      <c r="B676" s="4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s="11" t="str">
        <f>IF(HR_Data[[#This Row],[Age]]&lt;=25,"18-25",IF(HR_Data[[#This Row],[Age]]&lt;=35,"26-35",IF(HR_Data[[#This Row],[Age]]&lt;=45,"36-45",IF(HR_Data[[#This Row],[Age]]&lt;=55,"46-55","56+"))))</f>
        <v>56+</v>
      </c>
      <c r="AK676" s="11" t="str">
        <f>IF(HR_Data[[#This Row],[MonthlyIncome]]&lt;3000,"Low",IF(HR_Data[[#This Row],[MonthlyIncome]]&lt;6000,"Medium",IF(HR_Data[[#This Row],[MonthlyIncome]]&lt;10000,"High","Very High")))</f>
        <v>Very High</v>
      </c>
      <c r="AL67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76" t="str">
        <f>IF(HR_Data[[#This Row],[TotalWorkingYears]]&lt;=5,"Junior",IF(HR_Data[[#This Row],[TotalWorkingYears]]&lt;=15,"Mid-Level","Senior"))</f>
        <v>Senior</v>
      </c>
      <c r="AN676" s="11" t="str">
        <f>IF(HR_Data[[#This Row],[PerformanceRating]]=3,"Standard","Excellent")</f>
        <v>Standard</v>
      </c>
      <c r="AO676" s="11" t="str">
        <f>IF(HR_Data[[#This Row],[JobSatisfaction]]&lt;=2,"Low","High")</f>
        <v>Low</v>
      </c>
      <c r="AP676" s="11" t="str">
        <f>IF(AND(HR_Data[[#This Row],[OverTime]]="Yes",HR_Data[[#This Row],[JobSatisfaction]]&lt;=2,HR_Data[[#This Row],[YearsAtCompany]]&lt;=2),"High Risk","Normal")</f>
        <v>Normal</v>
      </c>
    </row>
    <row r="677" spans="1:42" x14ac:dyDescent="0.25">
      <c r="A677" s="6">
        <v>31</v>
      </c>
      <c r="B677" s="4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s="11" t="str">
        <f>IF(HR_Data[[#This Row],[Age]]&lt;=25,"18-25",IF(HR_Data[[#This Row],[Age]]&lt;=35,"26-35",IF(HR_Data[[#This Row],[Age]]&lt;=45,"36-45",IF(HR_Data[[#This Row],[Age]]&lt;=55,"46-55","56+"))))</f>
        <v>26-35</v>
      </c>
      <c r="AK677" s="11" t="str">
        <f>IF(HR_Data[[#This Row],[MonthlyIncome]]&lt;3000,"Low",IF(HR_Data[[#This Row],[MonthlyIncome]]&lt;6000,"Medium",IF(HR_Data[[#This Row],[MonthlyIncome]]&lt;10000,"High","Very High")))</f>
        <v>Low</v>
      </c>
      <c r="AL67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77" t="str">
        <f>IF(HR_Data[[#This Row],[TotalWorkingYears]]&lt;=5,"Junior",IF(HR_Data[[#This Row],[TotalWorkingYears]]&lt;=15,"Mid-Level","Senior"))</f>
        <v>Mid-Level</v>
      </c>
      <c r="AN677" s="11" t="str">
        <f>IF(HR_Data[[#This Row],[PerformanceRating]]=3,"Standard","Excellent")</f>
        <v>Standard</v>
      </c>
      <c r="AO677" s="11" t="str">
        <f>IF(HR_Data[[#This Row],[JobSatisfaction]]&lt;=2,"Low","High")</f>
        <v>High</v>
      </c>
      <c r="AP677" s="11" t="str">
        <f>IF(AND(HR_Data[[#This Row],[OverTime]]="Yes",HR_Data[[#This Row],[JobSatisfaction]]&lt;=2,HR_Data[[#This Row],[YearsAtCompany]]&lt;=2),"High Risk","Normal")</f>
        <v>Normal</v>
      </c>
    </row>
    <row r="678" spans="1:42" x14ac:dyDescent="0.25">
      <c r="A678" s="6">
        <v>35</v>
      </c>
      <c r="B678" s="4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s="11" t="str">
        <f>IF(HR_Data[[#This Row],[Age]]&lt;=25,"18-25",IF(HR_Data[[#This Row],[Age]]&lt;=35,"26-35",IF(HR_Data[[#This Row],[Age]]&lt;=45,"36-45",IF(HR_Data[[#This Row],[Age]]&lt;=55,"46-55","56+"))))</f>
        <v>26-35</v>
      </c>
      <c r="AK678" s="11" t="str">
        <f>IF(HR_Data[[#This Row],[MonthlyIncome]]&lt;3000,"Low",IF(HR_Data[[#This Row],[MonthlyIncome]]&lt;6000,"Medium",IF(HR_Data[[#This Row],[MonthlyIncome]]&lt;10000,"High","Very High")))</f>
        <v>Medium</v>
      </c>
      <c r="AL67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78" t="str">
        <f>IF(HR_Data[[#This Row],[TotalWorkingYears]]&lt;=5,"Junior",IF(HR_Data[[#This Row],[TotalWorkingYears]]&lt;=15,"Mid-Level","Senior"))</f>
        <v>Mid-Level</v>
      </c>
      <c r="AN678" s="11" t="str">
        <f>IF(HR_Data[[#This Row],[PerformanceRating]]=3,"Standard","Excellent")</f>
        <v>Excellent</v>
      </c>
      <c r="AO678" s="11" t="str">
        <f>IF(HR_Data[[#This Row],[JobSatisfaction]]&lt;=2,"Low","High")</f>
        <v>High</v>
      </c>
      <c r="AP678" s="11" t="str">
        <f>IF(AND(HR_Data[[#This Row],[OverTime]]="Yes",HR_Data[[#This Row],[JobSatisfaction]]&lt;=2,HR_Data[[#This Row],[YearsAtCompany]]&lt;=2),"High Risk","Normal")</f>
        <v>Normal</v>
      </c>
    </row>
    <row r="679" spans="1:42" x14ac:dyDescent="0.25">
      <c r="A679" s="6">
        <v>49</v>
      </c>
      <c r="B679" s="4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s="11" t="str">
        <f>IF(HR_Data[[#This Row],[Age]]&lt;=25,"18-25",IF(HR_Data[[#This Row],[Age]]&lt;=35,"26-35",IF(HR_Data[[#This Row],[Age]]&lt;=45,"36-45",IF(HR_Data[[#This Row],[Age]]&lt;=55,"46-55","56+"))))</f>
        <v>46-55</v>
      </c>
      <c r="AK679" s="11" t="str">
        <f>IF(HR_Data[[#This Row],[MonthlyIncome]]&lt;3000,"Low",IF(HR_Data[[#This Row],[MonthlyIncome]]&lt;6000,"Medium",IF(HR_Data[[#This Row],[MonthlyIncome]]&lt;10000,"High","Very High")))</f>
        <v>High</v>
      </c>
      <c r="AL67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679" t="str">
        <f>IF(HR_Data[[#This Row],[TotalWorkingYears]]&lt;=5,"Junior",IF(HR_Data[[#This Row],[TotalWorkingYears]]&lt;=15,"Mid-Level","Senior"))</f>
        <v>Senior</v>
      </c>
      <c r="AN679" s="11" t="str">
        <f>IF(HR_Data[[#This Row],[PerformanceRating]]=3,"Standard","Excellent")</f>
        <v>Standard</v>
      </c>
      <c r="AO679" s="11" t="str">
        <f>IF(HR_Data[[#This Row],[JobSatisfaction]]&lt;=2,"Low","High")</f>
        <v>Low</v>
      </c>
      <c r="AP679" s="11" t="str">
        <f>IF(AND(HR_Data[[#This Row],[OverTime]]="Yes",HR_Data[[#This Row],[JobSatisfaction]]&lt;=2,HR_Data[[#This Row],[YearsAtCompany]]&lt;=2),"High Risk","Normal")</f>
        <v>Normal</v>
      </c>
    </row>
    <row r="680" spans="1:42" x14ac:dyDescent="0.25">
      <c r="A680" s="6">
        <v>48</v>
      </c>
      <c r="B680" s="4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s="11" t="str">
        <f>IF(HR_Data[[#This Row],[Age]]&lt;=25,"18-25",IF(HR_Data[[#This Row],[Age]]&lt;=35,"26-35",IF(HR_Data[[#This Row],[Age]]&lt;=45,"36-45",IF(HR_Data[[#This Row],[Age]]&lt;=55,"46-55","56+"))))</f>
        <v>46-55</v>
      </c>
      <c r="AK680" s="11" t="str">
        <f>IF(HR_Data[[#This Row],[MonthlyIncome]]&lt;3000,"Low",IF(HR_Data[[#This Row],[MonthlyIncome]]&lt;6000,"Medium",IF(HR_Data[[#This Row],[MonthlyIncome]]&lt;10000,"High","Very High")))</f>
        <v>Low</v>
      </c>
      <c r="AL68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80" t="str">
        <f>IF(HR_Data[[#This Row],[TotalWorkingYears]]&lt;=5,"Junior",IF(HR_Data[[#This Row],[TotalWorkingYears]]&lt;=15,"Mid-Level","Senior"))</f>
        <v>Mid-Level</v>
      </c>
      <c r="AN680" s="11" t="str">
        <f>IF(HR_Data[[#This Row],[PerformanceRating]]=3,"Standard","Excellent")</f>
        <v>Standard</v>
      </c>
      <c r="AO680" s="11" t="str">
        <f>IF(HR_Data[[#This Row],[JobSatisfaction]]&lt;=2,"Low","High")</f>
        <v>High</v>
      </c>
      <c r="AP680" s="11" t="str">
        <f>IF(AND(HR_Data[[#This Row],[OverTime]]="Yes",HR_Data[[#This Row],[JobSatisfaction]]&lt;=2,HR_Data[[#This Row],[YearsAtCompany]]&lt;=2),"High Risk","Normal")</f>
        <v>Normal</v>
      </c>
    </row>
    <row r="681" spans="1:42" x14ac:dyDescent="0.25">
      <c r="A681" s="6">
        <v>31</v>
      </c>
      <c r="B681" s="4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s="11" t="str">
        <f>IF(HR_Data[[#This Row],[Age]]&lt;=25,"18-25",IF(HR_Data[[#This Row],[Age]]&lt;=35,"26-35",IF(HR_Data[[#This Row],[Age]]&lt;=45,"36-45",IF(HR_Data[[#This Row],[Age]]&lt;=55,"46-55","56+"))))</f>
        <v>26-35</v>
      </c>
      <c r="AK681" s="11" t="str">
        <f>IF(HR_Data[[#This Row],[MonthlyIncome]]&lt;3000,"Low",IF(HR_Data[[#This Row],[MonthlyIncome]]&lt;6000,"Medium",IF(HR_Data[[#This Row],[MonthlyIncome]]&lt;10000,"High","Very High")))</f>
        <v>High</v>
      </c>
      <c r="AL68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81" t="str">
        <f>IF(HR_Data[[#This Row],[TotalWorkingYears]]&lt;=5,"Junior",IF(HR_Data[[#This Row],[TotalWorkingYears]]&lt;=15,"Mid-Level","Senior"))</f>
        <v>Mid-Level</v>
      </c>
      <c r="AN681" s="11" t="str">
        <f>IF(HR_Data[[#This Row],[PerformanceRating]]=3,"Standard","Excellent")</f>
        <v>Standard</v>
      </c>
      <c r="AO681" s="11" t="str">
        <f>IF(HR_Data[[#This Row],[JobSatisfaction]]&lt;=2,"Low","High")</f>
        <v>High</v>
      </c>
      <c r="AP681" s="11" t="str">
        <f>IF(AND(HR_Data[[#This Row],[OverTime]]="Yes",HR_Data[[#This Row],[JobSatisfaction]]&lt;=2,HR_Data[[#This Row],[YearsAtCompany]]&lt;=2),"High Risk","Normal")</f>
        <v>Normal</v>
      </c>
    </row>
    <row r="682" spans="1:42" x14ac:dyDescent="0.25">
      <c r="A682" s="6">
        <v>36</v>
      </c>
      <c r="B682" s="4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s="11" t="str">
        <f>IF(HR_Data[[#This Row],[Age]]&lt;=25,"18-25",IF(HR_Data[[#This Row],[Age]]&lt;=35,"26-35",IF(HR_Data[[#This Row],[Age]]&lt;=45,"36-45",IF(HR_Data[[#This Row],[Age]]&lt;=55,"46-55","56+"))))</f>
        <v>36-45</v>
      </c>
      <c r="AK682" s="11" t="str">
        <f>IF(HR_Data[[#This Row],[MonthlyIncome]]&lt;3000,"Low",IF(HR_Data[[#This Row],[MonthlyIncome]]&lt;6000,"Medium",IF(HR_Data[[#This Row],[MonthlyIncome]]&lt;10000,"High","Very High")))</f>
        <v>Medium</v>
      </c>
      <c r="AL68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82" t="str">
        <f>IF(HR_Data[[#This Row],[TotalWorkingYears]]&lt;=5,"Junior",IF(HR_Data[[#This Row],[TotalWorkingYears]]&lt;=15,"Mid-Level","Senior"))</f>
        <v>Mid-Level</v>
      </c>
      <c r="AN682" s="11" t="str">
        <f>IF(HR_Data[[#This Row],[PerformanceRating]]=3,"Standard","Excellent")</f>
        <v>Standard</v>
      </c>
      <c r="AO682" s="11" t="str">
        <f>IF(HR_Data[[#This Row],[JobSatisfaction]]&lt;=2,"Low","High")</f>
        <v>High</v>
      </c>
      <c r="AP682" s="11" t="str">
        <f>IF(AND(HR_Data[[#This Row],[OverTime]]="Yes",HR_Data[[#This Row],[JobSatisfaction]]&lt;=2,HR_Data[[#This Row],[YearsAtCompany]]&lt;=2),"High Risk","Normal")</f>
        <v>Normal</v>
      </c>
    </row>
    <row r="683" spans="1:42" x14ac:dyDescent="0.25">
      <c r="A683" s="6">
        <v>38</v>
      </c>
      <c r="B683" s="4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s="11" t="str">
        <f>IF(HR_Data[[#This Row],[Age]]&lt;=25,"18-25",IF(HR_Data[[#This Row],[Age]]&lt;=35,"26-35",IF(HR_Data[[#This Row],[Age]]&lt;=45,"36-45",IF(HR_Data[[#This Row],[Age]]&lt;=55,"46-55","56+"))))</f>
        <v>36-45</v>
      </c>
      <c r="AK683" s="11" t="str">
        <f>IF(HR_Data[[#This Row],[MonthlyIncome]]&lt;3000,"Low",IF(HR_Data[[#This Row],[MonthlyIncome]]&lt;6000,"Medium",IF(HR_Data[[#This Row],[MonthlyIncome]]&lt;10000,"High","Very High")))</f>
        <v>Very High</v>
      </c>
      <c r="AL683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683" t="str">
        <f>IF(HR_Data[[#This Row],[TotalWorkingYears]]&lt;=5,"Junior",IF(HR_Data[[#This Row],[TotalWorkingYears]]&lt;=15,"Mid-Level","Senior"))</f>
        <v>Mid-Level</v>
      </c>
      <c r="AN683" s="11" t="str">
        <f>IF(HR_Data[[#This Row],[PerformanceRating]]=3,"Standard","Excellent")</f>
        <v>Standard</v>
      </c>
      <c r="AO683" s="11" t="str">
        <f>IF(HR_Data[[#This Row],[JobSatisfaction]]&lt;=2,"Low","High")</f>
        <v>Low</v>
      </c>
      <c r="AP683" s="11" t="str">
        <f>IF(AND(HR_Data[[#This Row],[OverTime]]="Yes",HR_Data[[#This Row],[JobSatisfaction]]&lt;=2,HR_Data[[#This Row],[YearsAtCompany]]&lt;=2),"High Risk","Normal")</f>
        <v>Normal</v>
      </c>
    </row>
    <row r="684" spans="1:42" x14ac:dyDescent="0.25">
      <c r="A684" s="6">
        <v>32</v>
      </c>
      <c r="B684" s="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s="11" t="str">
        <f>IF(HR_Data[[#This Row],[Age]]&lt;=25,"18-25",IF(HR_Data[[#This Row],[Age]]&lt;=35,"26-35",IF(HR_Data[[#This Row],[Age]]&lt;=45,"36-45",IF(HR_Data[[#This Row],[Age]]&lt;=55,"46-55","56+"))))</f>
        <v>26-35</v>
      </c>
      <c r="AK684" s="11" t="str">
        <f>IF(HR_Data[[#This Row],[MonthlyIncome]]&lt;3000,"Low",IF(HR_Data[[#This Row],[MonthlyIncome]]&lt;6000,"Medium",IF(HR_Data[[#This Row],[MonthlyIncome]]&lt;10000,"High","Very High")))</f>
        <v>Low</v>
      </c>
      <c r="AL68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84" t="str">
        <f>IF(HR_Data[[#This Row],[TotalWorkingYears]]&lt;=5,"Junior",IF(HR_Data[[#This Row],[TotalWorkingYears]]&lt;=15,"Mid-Level","Senior"))</f>
        <v>Junior</v>
      </c>
      <c r="AN684" s="11" t="str">
        <f>IF(HR_Data[[#This Row],[PerformanceRating]]=3,"Standard","Excellent")</f>
        <v>Excellent</v>
      </c>
      <c r="AO684" s="11" t="str">
        <f>IF(HR_Data[[#This Row],[JobSatisfaction]]&lt;=2,"Low","High")</f>
        <v>Low</v>
      </c>
      <c r="AP684" s="11" t="str">
        <f>IF(AND(HR_Data[[#This Row],[OverTime]]="Yes",HR_Data[[#This Row],[JobSatisfaction]]&lt;=2,HR_Data[[#This Row],[YearsAtCompany]]&lt;=2),"High Risk","Normal")</f>
        <v>Normal</v>
      </c>
    </row>
    <row r="685" spans="1:42" x14ac:dyDescent="0.25">
      <c r="A685" s="6">
        <v>25</v>
      </c>
      <c r="B685" s="4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s="11" t="str">
        <f>IF(HR_Data[[#This Row],[Age]]&lt;=25,"18-25",IF(HR_Data[[#This Row],[Age]]&lt;=35,"26-35",IF(HR_Data[[#This Row],[Age]]&lt;=45,"36-45",IF(HR_Data[[#This Row],[Age]]&lt;=55,"46-55","56+"))))</f>
        <v>18-25</v>
      </c>
      <c r="AK685" s="11" t="str">
        <f>IF(HR_Data[[#This Row],[MonthlyIncome]]&lt;3000,"Low",IF(HR_Data[[#This Row],[MonthlyIncome]]&lt;6000,"Medium",IF(HR_Data[[#This Row],[MonthlyIncome]]&lt;10000,"High","Very High")))</f>
        <v>Low</v>
      </c>
      <c r="AL68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85" t="str">
        <f>IF(HR_Data[[#This Row],[TotalWorkingYears]]&lt;=5,"Junior",IF(HR_Data[[#This Row],[TotalWorkingYears]]&lt;=15,"Mid-Level","Senior"))</f>
        <v>Junior</v>
      </c>
      <c r="AN685" s="11" t="str">
        <f>IF(HR_Data[[#This Row],[PerformanceRating]]=3,"Standard","Excellent")</f>
        <v>Standard</v>
      </c>
      <c r="AO685" s="11" t="str">
        <f>IF(HR_Data[[#This Row],[JobSatisfaction]]&lt;=2,"Low","High")</f>
        <v>Low</v>
      </c>
      <c r="AP685" s="11" t="str">
        <f>IF(AND(HR_Data[[#This Row],[OverTime]]="Yes",HR_Data[[#This Row],[JobSatisfaction]]&lt;=2,HR_Data[[#This Row],[YearsAtCompany]]&lt;=2),"High Risk","Normal")</f>
        <v>High Risk</v>
      </c>
    </row>
    <row r="686" spans="1:42" x14ac:dyDescent="0.25">
      <c r="A686" s="6">
        <v>40</v>
      </c>
      <c r="B686" s="4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s="11" t="str">
        <f>IF(HR_Data[[#This Row],[Age]]&lt;=25,"18-25",IF(HR_Data[[#This Row],[Age]]&lt;=35,"26-35",IF(HR_Data[[#This Row],[Age]]&lt;=45,"36-45",IF(HR_Data[[#This Row],[Age]]&lt;=55,"46-55","56+"))))</f>
        <v>36-45</v>
      </c>
      <c r="AK686" s="11" t="str">
        <f>IF(HR_Data[[#This Row],[MonthlyIncome]]&lt;3000,"Low",IF(HR_Data[[#This Row],[MonthlyIncome]]&lt;6000,"Medium",IF(HR_Data[[#This Row],[MonthlyIncome]]&lt;10000,"High","Very High")))</f>
        <v>High</v>
      </c>
      <c r="AL68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86" t="str">
        <f>IF(HR_Data[[#This Row],[TotalWorkingYears]]&lt;=5,"Junior",IF(HR_Data[[#This Row],[TotalWorkingYears]]&lt;=15,"Mid-Level","Senior"))</f>
        <v>Mid-Level</v>
      </c>
      <c r="AN686" s="11" t="str">
        <f>IF(HR_Data[[#This Row],[PerformanceRating]]=3,"Standard","Excellent")</f>
        <v>Standard</v>
      </c>
      <c r="AO686" s="11" t="str">
        <f>IF(HR_Data[[#This Row],[JobSatisfaction]]&lt;=2,"Low","High")</f>
        <v>Low</v>
      </c>
      <c r="AP686" s="11" t="str">
        <f>IF(AND(HR_Data[[#This Row],[OverTime]]="Yes",HR_Data[[#This Row],[JobSatisfaction]]&lt;=2,HR_Data[[#This Row],[YearsAtCompany]]&lt;=2),"High Risk","Normal")</f>
        <v>Normal</v>
      </c>
    </row>
    <row r="687" spans="1:42" x14ac:dyDescent="0.25">
      <c r="A687" s="6">
        <v>26</v>
      </c>
      <c r="B687" s="4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s="11" t="str">
        <f>IF(HR_Data[[#This Row],[Age]]&lt;=25,"18-25",IF(HR_Data[[#This Row],[Age]]&lt;=35,"26-35",IF(HR_Data[[#This Row],[Age]]&lt;=45,"36-45",IF(HR_Data[[#This Row],[Age]]&lt;=55,"46-55","56+"))))</f>
        <v>26-35</v>
      </c>
      <c r="AK687" s="11" t="str">
        <f>IF(HR_Data[[#This Row],[MonthlyIncome]]&lt;3000,"Low",IF(HR_Data[[#This Row],[MonthlyIncome]]&lt;6000,"Medium",IF(HR_Data[[#This Row],[MonthlyIncome]]&lt;10000,"High","Very High")))</f>
        <v>Medium</v>
      </c>
      <c r="AL68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87" t="str">
        <f>IF(HR_Data[[#This Row],[TotalWorkingYears]]&lt;=5,"Junior",IF(HR_Data[[#This Row],[TotalWorkingYears]]&lt;=15,"Mid-Level","Senior"))</f>
        <v>Mid-Level</v>
      </c>
      <c r="AN687" s="11" t="str">
        <f>IF(HR_Data[[#This Row],[PerformanceRating]]=3,"Standard","Excellent")</f>
        <v>Standard</v>
      </c>
      <c r="AO687" s="11" t="str">
        <f>IF(HR_Data[[#This Row],[JobSatisfaction]]&lt;=2,"Low","High")</f>
        <v>Low</v>
      </c>
      <c r="AP687" s="11" t="str">
        <f>IF(AND(HR_Data[[#This Row],[OverTime]]="Yes",HR_Data[[#This Row],[JobSatisfaction]]&lt;=2,HR_Data[[#This Row],[YearsAtCompany]]&lt;=2),"High Risk","Normal")</f>
        <v>Normal</v>
      </c>
    </row>
    <row r="688" spans="1:42" x14ac:dyDescent="0.25">
      <c r="A688" s="6">
        <v>41</v>
      </c>
      <c r="B688" s="4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s="11" t="str">
        <f>IF(HR_Data[[#This Row],[Age]]&lt;=25,"18-25",IF(HR_Data[[#This Row],[Age]]&lt;=35,"26-35",IF(HR_Data[[#This Row],[Age]]&lt;=45,"36-45",IF(HR_Data[[#This Row],[Age]]&lt;=55,"46-55","56+"))))</f>
        <v>36-45</v>
      </c>
      <c r="AK688" s="11" t="str">
        <f>IF(HR_Data[[#This Row],[MonthlyIncome]]&lt;3000,"Low",IF(HR_Data[[#This Row],[MonthlyIncome]]&lt;6000,"Medium",IF(HR_Data[[#This Row],[MonthlyIncome]]&lt;10000,"High","Very High")))</f>
        <v>Medium</v>
      </c>
      <c r="AL68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688" t="str">
        <f>IF(HR_Data[[#This Row],[TotalWorkingYears]]&lt;=5,"Junior",IF(HR_Data[[#This Row],[TotalWorkingYears]]&lt;=15,"Mid-Level","Senior"))</f>
        <v>Senior</v>
      </c>
      <c r="AN688" s="11" t="str">
        <f>IF(HR_Data[[#This Row],[PerformanceRating]]=3,"Standard","Excellent")</f>
        <v>Standard</v>
      </c>
      <c r="AO688" s="11" t="str">
        <f>IF(HR_Data[[#This Row],[JobSatisfaction]]&lt;=2,"Low","High")</f>
        <v>Low</v>
      </c>
      <c r="AP688" s="11" t="str">
        <f>IF(AND(HR_Data[[#This Row],[OverTime]]="Yes",HR_Data[[#This Row],[JobSatisfaction]]&lt;=2,HR_Data[[#This Row],[YearsAtCompany]]&lt;=2),"High Risk","Normal")</f>
        <v>Normal</v>
      </c>
    </row>
    <row r="689" spans="1:42" x14ac:dyDescent="0.25">
      <c r="A689" s="6">
        <v>36</v>
      </c>
      <c r="B689" s="4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s="11" t="str">
        <f>IF(HR_Data[[#This Row],[Age]]&lt;=25,"18-25",IF(HR_Data[[#This Row],[Age]]&lt;=35,"26-35",IF(HR_Data[[#This Row],[Age]]&lt;=45,"36-45",IF(HR_Data[[#This Row],[Age]]&lt;=55,"46-55","56+"))))</f>
        <v>36-45</v>
      </c>
      <c r="AK689" s="11" t="str">
        <f>IF(HR_Data[[#This Row],[MonthlyIncome]]&lt;3000,"Low",IF(HR_Data[[#This Row],[MonthlyIncome]]&lt;6000,"Medium",IF(HR_Data[[#This Row],[MonthlyIncome]]&lt;10000,"High","Very High")))</f>
        <v>Low</v>
      </c>
      <c r="AL68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689" t="str">
        <f>IF(HR_Data[[#This Row],[TotalWorkingYears]]&lt;=5,"Junior",IF(HR_Data[[#This Row],[TotalWorkingYears]]&lt;=15,"Mid-Level","Senior"))</f>
        <v>Senior</v>
      </c>
      <c r="AN689" s="11" t="str">
        <f>IF(HR_Data[[#This Row],[PerformanceRating]]=3,"Standard","Excellent")</f>
        <v>Excellent</v>
      </c>
      <c r="AO689" s="11" t="str">
        <f>IF(HR_Data[[#This Row],[JobSatisfaction]]&lt;=2,"Low","High")</f>
        <v>High</v>
      </c>
      <c r="AP689" s="11" t="str">
        <f>IF(AND(HR_Data[[#This Row],[OverTime]]="Yes",HR_Data[[#This Row],[JobSatisfaction]]&lt;=2,HR_Data[[#This Row],[YearsAtCompany]]&lt;=2),"High Risk","Normal")</f>
        <v>Normal</v>
      </c>
    </row>
    <row r="690" spans="1:42" x14ac:dyDescent="0.25">
      <c r="A690" s="6">
        <v>19</v>
      </c>
      <c r="B690" s="4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s="11" t="str">
        <f>IF(HR_Data[[#This Row],[Age]]&lt;=25,"18-25",IF(HR_Data[[#This Row],[Age]]&lt;=35,"26-35",IF(HR_Data[[#This Row],[Age]]&lt;=45,"36-45",IF(HR_Data[[#This Row],[Age]]&lt;=55,"46-55","56+"))))</f>
        <v>18-25</v>
      </c>
      <c r="AK690" s="11" t="str">
        <f>IF(HR_Data[[#This Row],[MonthlyIncome]]&lt;3000,"Low",IF(HR_Data[[#This Row],[MonthlyIncome]]&lt;6000,"Medium",IF(HR_Data[[#This Row],[MonthlyIncome]]&lt;10000,"High","Very High")))</f>
        <v>Low</v>
      </c>
      <c r="AL69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90" t="str">
        <f>IF(HR_Data[[#This Row],[TotalWorkingYears]]&lt;=5,"Junior",IF(HR_Data[[#This Row],[TotalWorkingYears]]&lt;=15,"Mid-Level","Senior"))</f>
        <v>Junior</v>
      </c>
      <c r="AN690" s="11" t="str">
        <f>IF(HR_Data[[#This Row],[PerformanceRating]]=3,"Standard","Excellent")</f>
        <v>Standard</v>
      </c>
      <c r="AO690" s="11" t="str">
        <f>IF(HR_Data[[#This Row],[JobSatisfaction]]&lt;=2,"Low","High")</f>
        <v>Low</v>
      </c>
      <c r="AP690" s="11" t="str">
        <f>IF(AND(HR_Data[[#This Row],[OverTime]]="Yes",HR_Data[[#This Row],[JobSatisfaction]]&lt;=2,HR_Data[[#This Row],[YearsAtCompany]]&lt;=2),"High Risk","Normal")</f>
        <v>High Risk</v>
      </c>
    </row>
    <row r="691" spans="1:42" x14ac:dyDescent="0.25">
      <c r="A691" s="6">
        <v>20</v>
      </c>
      <c r="B691" s="4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s="11" t="str">
        <f>IF(HR_Data[[#This Row],[Age]]&lt;=25,"18-25",IF(HR_Data[[#This Row],[Age]]&lt;=35,"26-35",IF(HR_Data[[#This Row],[Age]]&lt;=45,"36-45",IF(HR_Data[[#This Row],[Age]]&lt;=55,"46-55","56+"))))</f>
        <v>18-25</v>
      </c>
      <c r="AK691" s="11" t="str">
        <f>IF(HR_Data[[#This Row],[MonthlyIncome]]&lt;3000,"Low",IF(HR_Data[[#This Row],[MonthlyIncome]]&lt;6000,"Medium",IF(HR_Data[[#This Row],[MonthlyIncome]]&lt;10000,"High","Very High")))</f>
        <v>Low</v>
      </c>
      <c r="AL69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91" t="str">
        <f>IF(HR_Data[[#This Row],[TotalWorkingYears]]&lt;=5,"Junior",IF(HR_Data[[#This Row],[TotalWorkingYears]]&lt;=15,"Mid-Level","Senior"))</f>
        <v>Junior</v>
      </c>
      <c r="AN691" s="11" t="str">
        <f>IF(HR_Data[[#This Row],[PerformanceRating]]=3,"Standard","Excellent")</f>
        <v>Standard</v>
      </c>
      <c r="AO691" s="11" t="str">
        <f>IF(HR_Data[[#This Row],[JobSatisfaction]]&lt;=2,"Low","High")</f>
        <v>Low</v>
      </c>
      <c r="AP691" s="11" t="str">
        <f>IF(AND(HR_Data[[#This Row],[OverTime]]="Yes",HR_Data[[#This Row],[JobSatisfaction]]&lt;=2,HR_Data[[#This Row],[YearsAtCompany]]&lt;=2),"High Risk","Normal")</f>
        <v>Normal</v>
      </c>
    </row>
    <row r="692" spans="1:42" x14ac:dyDescent="0.25">
      <c r="A692" s="6">
        <v>31</v>
      </c>
      <c r="B692" s="4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s="11" t="str">
        <f>IF(HR_Data[[#This Row],[Age]]&lt;=25,"18-25",IF(HR_Data[[#This Row],[Age]]&lt;=35,"26-35",IF(HR_Data[[#This Row],[Age]]&lt;=45,"36-45",IF(HR_Data[[#This Row],[Age]]&lt;=55,"46-55","56+"))))</f>
        <v>26-35</v>
      </c>
      <c r="AK692" s="11" t="str">
        <f>IF(HR_Data[[#This Row],[MonthlyIncome]]&lt;3000,"Low",IF(HR_Data[[#This Row],[MonthlyIncome]]&lt;6000,"Medium",IF(HR_Data[[#This Row],[MonthlyIncome]]&lt;10000,"High","Very High")))</f>
        <v>Medium</v>
      </c>
      <c r="AL69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92" t="str">
        <f>IF(HR_Data[[#This Row],[TotalWorkingYears]]&lt;=5,"Junior",IF(HR_Data[[#This Row],[TotalWorkingYears]]&lt;=15,"Mid-Level","Senior"))</f>
        <v>Mid-Level</v>
      </c>
      <c r="AN692" s="11" t="str">
        <f>IF(HR_Data[[#This Row],[PerformanceRating]]=3,"Standard","Excellent")</f>
        <v>Standard</v>
      </c>
      <c r="AO692" s="11" t="str">
        <f>IF(HR_Data[[#This Row],[JobSatisfaction]]&lt;=2,"Low","High")</f>
        <v>High</v>
      </c>
      <c r="AP692" s="11" t="str">
        <f>IF(AND(HR_Data[[#This Row],[OverTime]]="Yes",HR_Data[[#This Row],[JobSatisfaction]]&lt;=2,HR_Data[[#This Row],[YearsAtCompany]]&lt;=2),"High Risk","Normal")</f>
        <v>Normal</v>
      </c>
    </row>
    <row r="693" spans="1:42" x14ac:dyDescent="0.25">
      <c r="A693" s="6">
        <v>40</v>
      </c>
      <c r="B693" s="4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s="11" t="str">
        <f>IF(HR_Data[[#This Row],[Age]]&lt;=25,"18-25",IF(HR_Data[[#This Row],[Age]]&lt;=35,"26-35",IF(HR_Data[[#This Row],[Age]]&lt;=45,"36-45",IF(HR_Data[[#This Row],[Age]]&lt;=55,"46-55","56+"))))</f>
        <v>36-45</v>
      </c>
      <c r="AK693" s="11" t="str">
        <f>IF(HR_Data[[#This Row],[MonthlyIncome]]&lt;3000,"Low",IF(HR_Data[[#This Row],[MonthlyIncome]]&lt;6000,"Medium",IF(HR_Data[[#This Row],[MonthlyIncome]]&lt;10000,"High","Very High")))</f>
        <v>Medium</v>
      </c>
      <c r="AL69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693" t="str">
        <f>IF(HR_Data[[#This Row],[TotalWorkingYears]]&lt;=5,"Junior",IF(HR_Data[[#This Row],[TotalWorkingYears]]&lt;=15,"Mid-Level","Senior"))</f>
        <v>Junior</v>
      </c>
      <c r="AN693" s="11" t="str">
        <f>IF(HR_Data[[#This Row],[PerformanceRating]]=3,"Standard","Excellent")</f>
        <v>Standard</v>
      </c>
      <c r="AO693" s="11" t="str">
        <f>IF(HR_Data[[#This Row],[JobSatisfaction]]&lt;=2,"Low","High")</f>
        <v>Low</v>
      </c>
      <c r="AP693" s="11" t="str">
        <f>IF(AND(HR_Data[[#This Row],[OverTime]]="Yes",HR_Data[[#This Row],[JobSatisfaction]]&lt;=2,HR_Data[[#This Row],[YearsAtCompany]]&lt;=2),"High Risk","Normal")</f>
        <v>High Risk</v>
      </c>
    </row>
    <row r="694" spans="1:42" x14ac:dyDescent="0.25">
      <c r="A694" s="6">
        <v>32</v>
      </c>
      <c r="B694" s="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s="11" t="str">
        <f>IF(HR_Data[[#This Row],[Age]]&lt;=25,"18-25",IF(HR_Data[[#This Row],[Age]]&lt;=35,"26-35",IF(HR_Data[[#This Row],[Age]]&lt;=45,"36-45",IF(HR_Data[[#This Row],[Age]]&lt;=55,"46-55","56+"))))</f>
        <v>26-35</v>
      </c>
      <c r="AK694" s="11" t="str">
        <f>IF(HR_Data[[#This Row],[MonthlyIncome]]&lt;3000,"Low",IF(HR_Data[[#This Row],[MonthlyIncome]]&lt;6000,"Medium",IF(HR_Data[[#This Row],[MonthlyIncome]]&lt;10000,"High","Very High")))</f>
        <v>High</v>
      </c>
      <c r="AL69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94" t="str">
        <f>IF(HR_Data[[#This Row],[TotalWorkingYears]]&lt;=5,"Junior",IF(HR_Data[[#This Row],[TotalWorkingYears]]&lt;=15,"Mid-Level","Senior"))</f>
        <v>Mid-Level</v>
      </c>
      <c r="AN694" s="11" t="str">
        <f>IF(HR_Data[[#This Row],[PerformanceRating]]=3,"Standard","Excellent")</f>
        <v>Standard</v>
      </c>
      <c r="AO694" s="11" t="str">
        <f>IF(HR_Data[[#This Row],[JobSatisfaction]]&lt;=2,"Low","High")</f>
        <v>Low</v>
      </c>
      <c r="AP694" s="11" t="str">
        <f>IF(AND(HR_Data[[#This Row],[OverTime]]="Yes",HR_Data[[#This Row],[JobSatisfaction]]&lt;=2,HR_Data[[#This Row],[YearsAtCompany]]&lt;=2),"High Risk","Normal")</f>
        <v>Normal</v>
      </c>
    </row>
    <row r="695" spans="1:42" x14ac:dyDescent="0.25">
      <c r="A695" s="6">
        <v>36</v>
      </c>
      <c r="B695" s="4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s="11" t="str">
        <f>IF(HR_Data[[#This Row],[Age]]&lt;=25,"18-25",IF(HR_Data[[#This Row],[Age]]&lt;=35,"26-35",IF(HR_Data[[#This Row],[Age]]&lt;=45,"36-45",IF(HR_Data[[#This Row],[Age]]&lt;=55,"46-55","56+"))))</f>
        <v>36-45</v>
      </c>
      <c r="AK695" s="11" t="str">
        <f>IF(HR_Data[[#This Row],[MonthlyIncome]]&lt;3000,"Low",IF(HR_Data[[#This Row],[MonthlyIncome]]&lt;6000,"Medium",IF(HR_Data[[#This Row],[MonthlyIncome]]&lt;10000,"High","Very High")))</f>
        <v>Very High</v>
      </c>
      <c r="AL69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695" t="str">
        <f>IF(HR_Data[[#This Row],[TotalWorkingYears]]&lt;=5,"Junior",IF(HR_Data[[#This Row],[TotalWorkingYears]]&lt;=15,"Mid-Level","Senior"))</f>
        <v>Senior</v>
      </c>
      <c r="AN695" s="11" t="str">
        <f>IF(HR_Data[[#This Row],[PerformanceRating]]=3,"Standard","Excellent")</f>
        <v>Standard</v>
      </c>
      <c r="AO695" s="11" t="str">
        <f>IF(HR_Data[[#This Row],[JobSatisfaction]]&lt;=2,"Low","High")</f>
        <v>High</v>
      </c>
      <c r="AP695" s="11" t="str">
        <f>IF(AND(HR_Data[[#This Row],[OverTime]]="Yes",HR_Data[[#This Row],[JobSatisfaction]]&lt;=2,HR_Data[[#This Row],[YearsAtCompany]]&lt;=2),"High Risk","Normal")</f>
        <v>Normal</v>
      </c>
    </row>
    <row r="696" spans="1:42" x14ac:dyDescent="0.25">
      <c r="A696" s="6">
        <v>33</v>
      </c>
      <c r="B696" s="4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s="11" t="str">
        <f>IF(HR_Data[[#This Row],[Age]]&lt;=25,"18-25",IF(HR_Data[[#This Row],[Age]]&lt;=35,"26-35",IF(HR_Data[[#This Row],[Age]]&lt;=45,"36-45",IF(HR_Data[[#This Row],[Age]]&lt;=55,"46-55","56+"))))</f>
        <v>26-35</v>
      </c>
      <c r="AK696" s="11" t="str">
        <f>IF(HR_Data[[#This Row],[MonthlyIncome]]&lt;3000,"Low",IF(HR_Data[[#This Row],[MonthlyIncome]]&lt;6000,"Medium",IF(HR_Data[[#This Row],[MonthlyIncome]]&lt;10000,"High","Very High")))</f>
        <v>High</v>
      </c>
      <c r="AL69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96" t="str">
        <f>IF(HR_Data[[#This Row],[TotalWorkingYears]]&lt;=5,"Junior",IF(HR_Data[[#This Row],[TotalWorkingYears]]&lt;=15,"Mid-Level","Senior"))</f>
        <v>Mid-Level</v>
      </c>
      <c r="AN696" s="11" t="str">
        <f>IF(HR_Data[[#This Row],[PerformanceRating]]=3,"Standard","Excellent")</f>
        <v>Standard</v>
      </c>
      <c r="AO696" s="11" t="str">
        <f>IF(HR_Data[[#This Row],[JobSatisfaction]]&lt;=2,"Low","High")</f>
        <v>High</v>
      </c>
      <c r="AP696" s="11" t="str">
        <f>IF(AND(HR_Data[[#This Row],[OverTime]]="Yes",HR_Data[[#This Row],[JobSatisfaction]]&lt;=2,HR_Data[[#This Row],[YearsAtCompany]]&lt;=2),"High Risk","Normal")</f>
        <v>Normal</v>
      </c>
    </row>
    <row r="697" spans="1:42" x14ac:dyDescent="0.25">
      <c r="A697" s="6">
        <v>37</v>
      </c>
      <c r="B697" s="4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s="11" t="str">
        <f>IF(HR_Data[[#This Row],[Age]]&lt;=25,"18-25",IF(HR_Data[[#This Row],[Age]]&lt;=35,"26-35",IF(HR_Data[[#This Row],[Age]]&lt;=45,"36-45",IF(HR_Data[[#This Row],[Age]]&lt;=55,"46-55","56+"))))</f>
        <v>36-45</v>
      </c>
      <c r="AK697" s="11" t="str">
        <f>IF(HR_Data[[#This Row],[MonthlyIncome]]&lt;3000,"Low",IF(HR_Data[[#This Row],[MonthlyIncome]]&lt;6000,"Medium",IF(HR_Data[[#This Row],[MonthlyIncome]]&lt;10000,"High","Very High")))</f>
        <v>Very High</v>
      </c>
      <c r="AL697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697" t="str">
        <f>IF(HR_Data[[#This Row],[TotalWorkingYears]]&lt;=5,"Junior",IF(HR_Data[[#This Row],[TotalWorkingYears]]&lt;=15,"Mid-Level","Senior"))</f>
        <v>Senior</v>
      </c>
      <c r="AN697" s="11" t="str">
        <f>IF(HR_Data[[#This Row],[PerformanceRating]]=3,"Standard","Excellent")</f>
        <v>Standard</v>
      </c>
      <c r="AO697" s="11" t="str">
        <f>IF(HR_Data[[#This Row],[JobSatisfaction]]&lt;=2,"Low","High")</f>
        <v>High</v>
      </c>
      <c r="AP697" s="11" t="str">
        <f>IF(AND(HR_Data[[#This Row],[OverTime]]="Yes",HR_Data[[#This Row],[JobSatisfaction]]&lt;=2,HR_Data[[#This Row],[YearsAtCompany]]&lt;=2),"High Risk","Normal")</f>
        <v>Normal</v>
      </c>
    </row>
    <row r="698" spans="1:42" x14ac:dyDescent="0.25">
      <c r="A698" s="6">
        <v>45</v>
      </c>
      <c r="B698" s="4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s="11" t="str">
        <f>IF(HR_Data[[#This Row],[Age]]&lt;=25,"18-25",IF(HR_Data[[#This Row],[Age]]&lt;=35,"26-35",IF(HR_Data[[#This Row],[Age]]&lt;=45,"36-45",IF(HR_Data[[#This Row],[Age]]&lt;=55,"46-55","56+"))))</f>
        <v>36-45</v>
      </c>
      <c r="AK698" s="11" t="str">
        <f>IF(HR_Data[[#This Row],[MonthlyIncome]]&lt;3000,"Low",IF(HR_Data[[#This Row],[MonthlyIncome]]&lt;6000,"Medium",IF(HR_Data[[#This Row],[MonthlyIncome]]&lt;10000,"High","Very High")))</f>
        <v>Medium</v>
      </c>
      <c r="AL69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698" t="str">
        <f>IF(HR_Data[[#This Row],[TotalWorkingYears]]&lt;=5,"Junior",IF(HR_Data[[#This Row],[TotalWorkingYears]]&lt;=15,"Mid-Level","Senior"))</f>
        <v>Mid-Level</v>
      </c>
      <c r="AN698" s="11" t="str">
        <f>IF(HR_Data[[#This Row],[PerformanceRating]]=3,"Standard","Excellent")</f>
        <v>Standard</v>
      </c>
      <c r="AO698" s="11" t="str">
        <f>IF(HR_Data[[#This Row],[JobSatisfaction]]&lt;=2,"Low","High")</f>
        <v>Low</v>
      </c>
      <c r="AP698" s="11" t="str">
        <f>IF(AND(HR_Data[[#This Row],[OverTime]]="Yes",HR_Data[[#This Row],[JobSatisfaction]]&lt;=2,HR_Data[[#This Row],[YearsAtCompany]]&lt;=2),"High Risk","Normal")</f>
        <v>Normal</v>
      </c>
    </row>
    <row r="699" spans="1:42" x14ac:dyDescent="0.25">
      <c r="A699" s="6">
        <v>29</v>
      </c>
      <c r="B699" s="4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s="11" t="str">
        <f>IF(HR_Data[[#This Row],[Age]]&lt;=25,"18-25",IF(HR_Data[[#This Row],[Age]]&lt;=35,"26-35",IF(HR_Data[[#This Row],[Age]]&lt;=45,"36-45",IF(HR_Data[[#This Row],[Age]]&lt;=55,"46-55","56+"))))</f>
        <v>26-35</v>
      </c>
      <c r="AK699" s="11" t="str">
        <f>IF(HR_Data[[#This Row],[MonthlyIncome]]&lt;3000,"Low",IF(HR_Data[[#This Row],[MonthlyIncome]]&lt;6000,"Medium",IF(HR_Data[[#This Row],[MonthlyIncome]]&lt;10000,"High","Very High")))</f>
        <v>Low</v>
      </c>
      <c r="AL69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699" t="str">
        <f>IF(HR_Data[[#This Row],[TotalWorkingYears]]&lt;=5,"Junior",IF(HR_Data[[#This Row],[TotalWorkingYears]]&lt;=15,"Mid-Level","Senior"))</f>
        <v>Junior</v>
      </c>
      <c r="AN699" s="11" t="str">
        <f>IF(HR_Data[[#This Row],[PerformanceRating]]=3,"Standard","Excellent")</f>
        <v>Standard</v>
      </c>
      <c r="AO699" s="11" t="str">
        <f>IF(HR_Data[[#This Row],[JobSatisfaction]]&lt;=2,"Low","High")</f>
        <v>High</v>
      </c>
      <c r="AP699" s="11" t="str">
        <f>IF(AND(HR_Data[[#This Row],[OverTime]]="Yes",HR_Data[[#This Row],[JobSatisfaction]]&lt;=2,HR_Data[[#This Row],[YearsAtCompany]]&lt;=2),"High Risk","Normal")</f>
        <v>Normal</v>
      </c>
    </row>
    <row r="700" spans="1:42" x14ac:dyDescent="0.25">
      <c r="A700" s="6">
        <v>35</v>
      </c>
      <c r="B700" s="4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s="11" t="str">
        <f>IF(HR_Data[[#This Row],[Age]]&lt;=25,"18-25",IF(HR_Data[[#This Row],[Age]]&lt;=35,"26-35",IF(HR_Data[[#This Row],[Age]]&lt;=45,"36-45",IF(HR_Data[[#This Row],[Age]]&lt;=55,"46-55","56+"))))</f>
        <v>26-35</v>
      </c>
      <c r="AK700" s="11" t="str">
        <f>IF(HR_Data[[#This Row],[MonthlyIncome]]&lt;3000,"Low",IF(HR_Data[[#This Row],[MonthlyIncome]]&lt;6000,"Medium",IF(HR_Data[[#This Row],[MonthlyIncome]]&lt;10000,"High","Very High")))</f>
        <v>Medium</v>
      </c>
      <c r="AL70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00" t="str">
        <f>IF(HR_Data[[#This Row],[TotalWorkingYears]]&lt;=5,"Junior",IF(HR_Data[[#This Row],[TotalWorkingYears]]&lt;=15,"Mid-Level","Senior"))</f>
        <v>Junior</v>
      </c>
      <c r="AN700" s="11" t="str">
        <f>IF(HR_Data[[#This Row],[PerformanceRating]]=3,"Standard","Excellent")</f>
        <v>Standard</v>
      </c>
      <c r="AO700" s="11" t="str">
        <f>IF(HR_Data[[#This Row],[JobSatisfaction]]&lt;=2,"Low","High")</f>
        <v>High</v>
      </c>
      <c r="AP700" s="11" t="str">
        <f>IF(AND(HR_Data[[#This Row],[OverTime]]="Yes",HR_Data[[#This Row],[JobSatisfaction]]&lt;=2,HR_Data[[#This Row],[YearsAtCompany]]&lt;=2),"High Risk","Normal")</f>
        <v>Normal</v>
      </c>
    </row>
    <row r="701" spans="1:42" x14ac:dyDescent="0.25">
      <c r="A701" s="6">
        <v>52</v>
      </c>
      <c r="B701" s="4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s="11" t="str">
        <f>IF(HR_Data[[#This Row],[Age]]&lt;=25,"18-25",IF(HR_Data[[#This Row],[Age]]&lt;=35,"26-35",IF(HR_Data[[#This Row],[Age]]&lt;=45,"36-45",IF(HR_Data[[#This Row],[Age]]&lt;=55,"46-55","56+"))))</f>
        <v>46-55</v>
      </c>
      <c r="AK701" s="11" t="str">
        <f>IF(HR_Data[[#This Row],[MonthlyIncome]]&lt;3000,"Low",IF(HR_Data[[#This Row],[MonthlyIncome]]&lt;6000,"Medium",IF(HR_Data[[#This Row],[MonthlyIncome]]&lt;10000,"High","Very High")))</f>
        <v>Very High</v>
      </c>
      <c r="AL70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01" t="str">
        <f>IF(HR_Data[[#This Row],[TotalWorkingYears]]&lt;=5,"Junior",IF(HR_Data[[#This Row],[TotalWorkingYears]]&lt;=15,"Mid-Level","Senior"))</f>
        <v>Senior</v>
      </c>
      <c r="AN701" s="11" t="str">
        <f>IF(HR_Data[[#This Row],[PerformanceRating]]=3,"Standard","Excellent")</f>
        <v>Standard</v>
      </c>
      <c r="AO701" s="11" t="str">
        <f>IF(HR_Data[[#This Row],[JobSatisfaction]]&lt;=2,"Low","High")</f>
        <v>High</v>
      </c>
      <c r="AP701" s="11" t="str">
        <f>IF(AND(HR_Data[[#This Row],[OverTime]]="Yes",HR_Data[[#This Row],[JobSatisfaction]]&lt;=2,HR_Data[[#This Row],[YearsAtCompany]]&lt;=2),"High Risk","Normal")</f>
        <v>Normal</v>
      </c>
    </row>
    <row r="702" spans="1:42" x14ac:dyDescent="0.25">
      <c r="A702" s="6">
        <v>58</v>
      </c>
      <c r="B702" s="4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s="11" t="str">
        <f>IF(HR_Data[[#This Row],[Age]]&lt;=25,"18-25",IF(HR_Data[[#This Row],[Age]]&lt;=35,"26-35",IF(HR_Data[[#This Row],[Age]]&lt;=45,"36-45",IF(HR_Data[[#This Row],[Age]]&lt;=55,"46-55","56+"))))</f>
        <v>56+</v>
      </c>
      <c r="AK702" s="11" t="str">
        <f>IF(HR_Data[[#This Row],[MonthlyIncome]]&lt;3000,"Low",IF(HR_Data[[#This Row],[MonthlyIncome]]&lt;6000,"Medium",IF(HR_Data[[#This Row],[MonthlyIncome]]&lt;10000,"High","Very High")))</f>
        <v>Low</v>
      </c>
      <c r="AL70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02" t="str">
        <f>IF(HR_Data[[#This Row],[TotalWorkingYears]]&lt;=5,"Junior",IF(HR_Data[[#This Row],[TotalWorkingYears]]&lt;=15,"Mid-Level","Senior"))</f>
        <v>Mid-Level</v>
      </c>
      <c r="AN702" s="11" t="str">
        <f>IF(HR_Data[[#This Row],[PerformanceRating]]=3,"Standard","Excellent")</f>
        <v>Excellent</v>
      </c>
      <c r="AO702" s="11" t="str">
        <f>IF(HR_Data[[#This Row],[JobSatisfaction]]&lt;=2,"Low","High")</f>
        <v>High</v>
      </c>
      <c r="AP702" s="11" t="str">
        <f>IF(AND(HR_Data[[#This Row],[OverTime]]="Yes",HR_Data[[#This Row],[JobSatisfaction]]&lt;=2,HR_Data[[#This Row],[YearsAtCompany]]&lt;=2),"High Risk","Normal")</f>
        <v>Normal</v>
      </c>
    </row>
    <row r="703" spans="1:42" x14ac:dyDescent="0.25">
      <c r="A703" s="6">
        <v>53</v>
      </c>
      <c r="B703" s="4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s="11" t="str">
        <f>IF(HR_Data[[#This Row],[Age]]&lt;=25,"18-25",IF(HR_Data[[#This Row],[Age]]&lt;=35,"26-35",IF(HR_Data[[#This Row],[Age]]&lt;=45,"36-45",IF(HR_Data[[#This Row],[Age]]&lt;=55,"46-55","56+"))))</f>
        <v>46-55</v>
      </c>
      <c r="AK703" s="11" t="str">
        <f>IF(HR_Data[[#This Row],[MonthlyIncome]]&lt;3000,"Low",IF(HR_Data[[#This Row],[MonthlyIncome]]&lt;6000,"Medium",IF(HR_Data[[#This Row],[MonthlyIncome]]&lt;10000,"High","Very High")))</f>
        <v>Very High</v>
      </c>
      <c r="AL70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03" t="str">
        <f>IF(HR_Data[[#This Row],[TotalWorkingYears]]&lt;=5,"Junior",IF(HR_Data[[#This Row],[TotalWorkingYears]]&lt;=15,"Mid-Level","Senior"))</f>
        <v>Senior</v>
      </c>
      <c r="AN703" s="11" t="str">
        <f>IF(HR_Data[[#This Row],[PerformanceRating]]=3,"Standard","Excellent")</f>
        <v>Standard</v>
      </c>
      <c r="AO703" s="11" t="str">
        <f>IF(HR_Data[[#This Row],[JobSatisfaction]]&lt;=2,"Low","High")</f>
        <v>High</v>
      </c>
      <c r="AP703" s="11" t="str">
        <f>IF(AND(HR_Data[[#This Row],[OverTime]]="Yes",HR_Data[[#This Row],[JobSatisfaction]]&lt;=2,HR_Data[[#This Row],[YearsAtCompany]]&lt;=2),"High Risk","Normal")</f>
        <v>Normal</v>
      </c>
    </row>
    <row r="704" spans="1:42" x14ac:dyDescent="0.25">
      <c r="A704" s="6">
        <v>30</v>
      </c>
      <c r="B704" s="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s="11" t="str">
        <f>IF(HR_Data[[#This Row],[Age]]&lt;=25,"18-25",IF(HR_Data[[#This Row],[Age]]&lt;=35,"26-35",IF(HR_Data[[#This Row],[Age]]&lt;=45,"36-45",IF(HR_Data[[#This Row],[Age]]&lt;=55,"46-55","56+"))))</f>
        <v>26-35</v>
      </c>
      <c r="AK704" s="11" t="str">
        <f>IF(HR_Data[[#This Row],[MonthlyIncome]]&lt;3000,"Low",IF(HR_Data[[#This Row],[MonthlyIncome]]&lt;6000,"Medium",IF(HR_Data[[#This Row],[MonthlyIncome]]&lt;10000,"High","Very High")))</f>
        <v>High</v>
      </c>
      <c r="AL70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04" t="str">
        <f>IF(HR_Data[[#This Row],[TotalWorkingYears]]&lt;=5,"Junior",IF(HR_Data[[#This Row],[TotalWorkingYears]]&lt;=15,"Mid-Level","Senior"))</f>
        <v>Mid-Level</v>
      </c>
      <c r="AN704" s="11" t="str">
        <f>IF(HR_Data[[#This Row],[PerformanceRating]]=3,"Standard","Excellent")</f>
        <v>Standard</v>
      </c>
      <c r="AO704" s="11" t="str">
        <f>IF(HR_Data[[#This Row],[JobSatisfaction]]&lt;=2,"Low","High")</f>
        <v>High</v>
      </c>
      <c r="AP704" s="11" t="str">
        <f>IF(AND(HR_Data[[#This Row],[OverTime]]="Yes",HR_Data[[#This Row],[JobSatisfaction]]&lt;=2,HR_Data[[#This Row],[YearsAtCompany]]&lt;=2),"High Risk","Normal")</f>
        <v>Normal</v>
      </c>
    </row>
    <row r="705" spans="1:42" x14ac:dyDescent="0.25">
      <c r="A705" s="6">
        <v>38</v>
      </c>
      <c r="B705" s="4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s="11" t="str">
        <f>IF(HR_Data[[#This Row],[Age]]&lt;=25,"18-25",IF(HR_Data[[#This Row],[Age]]&lt;=35,"26-35",IF(HR_Data[[#This Row],[Age]]&lt;=45,"36-45",IF(HR_Data[[#This Row],[Age]]&lt;=55,"46-55","56+"))))</f>
        <v>36-45</v>
      </c>
      <c r="AK705" s="11" t="str">
        <f>IF(HR_Data[[#This Row],[MonthlyIncome]]&lt;3000,"Low",IF(HR_Data[[#This Row],[MonthlyIncome]]&lt;6000,"Medium",IF(HR_Data[[#This Row],[MonthlyIncome]]&lt;10000,"High","Very High")))</f>
        <v>Medium</v>
      </c>
      <c r="AL70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05" t="str">
        <f>IF(HR_Data[[#This Row],[TotalWorkingYears]]&lt;=5,"Junior",IF(HR_Data[[#This Row],[TotalWorkingYears]]&lt;=15,"Mid-Level","Senior"))</f>
        <v>Mid-Level</v>
      </c>
      <c r="AN705" s="11" t="str">
        <f>IF(HR_Data[[#This Row],[PerformanceRating]]=3,"Standard","Excellent")</f>
        <v>Standard</v>
      </c>
      <c r="AO705" s="11" t="str">
        <f>IF(HR_Data[[#This Row],[JobSatisfaction]]&lt;=2,"Low","High")</f>
        <v>High</v>
      </c>
      <c r="AP705" s="11" t="str">
        <f>IF(AND(HR_Data[[#This Row],[OverTime]]="Yes",HR_Data[[#This Row],[JobSatisfaction]]&lt;=2,HR_Data[[#This Row],[YearsAtCompany]]&lt;=2),"High Risk","Normal")</f>
        <v>Normal</v>
      </c>
    </row>
    <row r="706" spans="1:42" x14ac:dyDescent="0.25">
      <c r="A706" s="6">
        <v>35</v>
      </c>
      <c r="B706" s="4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s="11" t="str">
        <f>IF(HR_Data[[#This Row],[Age]]&lt;=25,"18-25",IF(HR_Data[[#This Row],[Age]]&lt;=35,"26-35",IF(HR_Data[[#This Row],[Age]]&lt;=45,"36-45",IF(HR_Data[[#This Row],[Age]]&lt;=55,"46-55","56+"))))</f>
        <v>26-35</v>
      </c>
      <c r="AK706" s="11" t="str">
        <f>IF(HR_Data[[#This Row],[MonthlyIncome]]&lt;3000,"Low",IF(HR_Data[[#This Row],[MonthlyIncome]]&lt;6000,"Medium",IF(HR_Data[[#This Row],[MonthlyIncome]]&lt;10000,"High","Very High")))</f>
        <v>High</v>
      </c>
      <c r="AL70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06" t="str">
        <f>IF(HR_Data[[#This Row],[TotalWorkingYears]]&lt;=5,"Junior",IF(HR_Data[[#This Row],[TotalWorkingYears]]&lt;=15,"Mid-Level","Senior"))</f>
        <v>Mid-Level</v>
      </c>
      <c r="AN706" s="11" t="str">
        <f>IF(HR_Data[[#This Row],[PerformanceRating]]=3,"Standard","Excellent")</f>
        <v>Standard</v>
      </c>
      <c r="AO706" s="11" t="str">
        <f>IF(HR_Data[[#This Row],[JobSatisfaction]]&lt;=2,"Low","High")</f>
        <v>High</v>
      </c>
      <c r="AP706" s="11" t="str">
        <f>IF(AND(HR_Data[[#This Row],[OverTime]]="Yes",HR_Data[[#This Row],[JobSatisfaction]]&lt;=2,HR_Data[[#This Row],[YearsAtCompany]]&lt;=2),"High Risk","Normal")</f>
        <v>Normal</v>
      </c>
    </row>
    <row r="707" spans="1:42" x14ac:dyDescent="0.25">
      <c r="A707" s="6">
        <v>39</v>
      </c>
      <c r="B707" s="4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s="11" t="str">
        <f>IF(HR_Data[[#This Row],[Age]]&lt;=25,"18-25",IF(HR_Data[[#This Row],[Age]]&lt;=35,"26-35",IF(HR_Data[[#This Row],[Age]]&lt;=45,"36-45",IF(HR_Data[[#This Row],[Age]]&lt;=55,"46-55","56+"))))</f>
        <v>36-45</v>
      </c>
      <c r="AK707" s="11" t="str">
        <f>IF(HR_Data[[#This Row],[MonthlyIncome]]&lt;3000,"Low",IF(HR_Data[[#This Row],[MonthlyIncome]]&lt;6000,"Medium",IF(HR_Data[[#This Row],[MonthlyIncome]]&lt;10000,"High","Very High")))</f>
        <v>High</v>
      </c>
      <c r="AL70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07" t="str">
        <f>IF(HR_Data[[#This Row],[TotalWorkingYears]]&lt;=5,"Junior",IF(HR_Data[[#This Row],[TotalWorkingYears]]&lt;=15,"Mid-Level","Senior"))</f>
        <v>Mid-Level</v>
      </c>
      <c r="AN707" s="11" t="str">
        <f>IF(HR_Data[[#This Row],[PerformanceRating]]=3,"Standard","Excellent")</f>
        <v>Standard</v>
      </c>
      <c r="AO707" s="11" t="str">
        <f>IF(HR_Data[[#This Row],[JobSatisfaction]]&lt;=2,"Low","High")</f>
        <v>High</v>
      </c>
      <c r="AP707" s="11" t="str">
        <f>IF(AND(HR_Data[[#This Row],[OverTime]]="Yes",HR_Data[[#This Row],[JobSatisfaction]]&lt;=2,HR_Data[[#This Row],[YearsAtCompany]]&lt;=2),"High Risk","Normal")</f>
        <v>Normal</v>
      </c>
    </row>
    <row r="708" spans="1:42" x14ac:dyDescent="0.25">
      <c r="A708" s="6">
        <v>40</v>
      </c>
      <c r="B708" s="4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s="11" t="str">
        <f>IF(HR_Data[[#This Row],[Age]]&lt;=25,"18-25",IF(HR_Data[[#This Row],[Age]]&lt;=35,"26-35",IF(HR_Data[[#This Row],[Age]]&lt;=45,"36-45",IF(HR_Data[[#This Row],[Age]]&lt;=55,"46-55","56+"))))</f>
        <v>36-45</v>
      </c>
      <c r="AK708" s="11" t="str">
        <f>IF(HR_Data[[#This Row],[MonthlyIncome]]&lt;3000,"Low",IF(HR_Data[[#This Row],[MonthlyIncome]]&lt;6000,"Medium",IF(HR_Data[[#This Row],[MonthlyIncome]]&lt;10000,"High","Very High")))</f>
        <v>Very High</v>
      </c>
      <c r="AL70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08" t="str">
        <f>IF(HR_Data[[#This Row],[TotalWorkingYears]]&lt;=5,"Junior",IF(HR_Data[[#This Row],[TotalWorkingYears]]&lt;=15,"Mid-Level","Senior"))</f>
        <v>Senior</v>
      </c>
      <c r="AN708" s="11" t="str">
        <f>IF(HR_Data[[#This Row],[PerformanceRating]]=3,"Standard","Excellent")</f>
        <v>Standard</v>
      </c>
      <c r="AO708" s="11" t="str">
        <f>IF(HR_Data[[#This Row],[JobSatisfaction]]&lt;=2,"Low","High")</f>
        <v>Low</v>
      </c>
      <c r="AP708" s="11" t="str">
        <f>IF(AND(HR_Data[[#This Row],[OverTime]]="Yes",HR_Data[[#This Row],[JobSatisfaction]]&lt;=2,HR_Data[[#This Row],[YearsAtCompany]]&lt;=2),"High Risk","Normal")</f>
        <v>High Risk</v>
      </c>
    </row>
    <row r="709" spans="1:42" x14ac:dyDescent="0.25">
      <c r="A709" s="6">
        <v>47</v>
      </c>
      <c r="B709" s="4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s="11" t="str">
        <f>IF(HR_Data[[#This Row],[Age]]&lt;=25,"18-25",IF(HR_Data[[#This Row],[Age]]&lt;=35,"26-35",IF(HR_Data[[#This Row],[Age]]&lt;=45,"36-45",IF(HR_Data[[#This Row],[Age]]&lt;=55,"46-55","56+"))))</f>
        <v>46-55</v>
      </c>
      <c r="AK709" s="11" t="str">
        <f>IF(HR_Data[[#This Row],[MonthlyIncome]]&lt;3000,"Low",IF(HR_Data[[#This Row],[MonthlyIncome]]&lt;6000,"Medium",IF(HR_Data[[#This Row],[MonthlyIncome]]&lt;10000,"High","Very High")))</f>
        <v>Medium</v>
      </c>
      <c r="AL70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09" t="str">
        <f>IF(HR_Data[[#This Row],[TotalWorkingYears]]&lt;=5,"Junior",IF(HR_Data[[#This Row],[TotalWorkingYears]]&lt;=15,"Mid-Level","Senior"))</f>
        <v>Senior</v>
      </c>
      <c r="AN709" s="11" t="str">
        <f>IF(HR_Data[[#This Row],[PerformanceRating]]=3,"Standard","Excellent")</f>
        <v>Standard</v>
      </c>
      <c r="AO709" s="11" t="str">
        <f>IF(HR_Data[[#This Row],[JobSatisfaction]]&lt;=2,"Low","High")</f>
        <v>High</v>
      </c>
      <c r="AP709" s="11" t="str">
        <f>IF(AND(HR_Data[[#This Row],[OverTime]]="Yes",HR_Data[[#This Row],[JobSatisfaction]]&lt;=2,HR_Data[[#This Row],[YearsAtCompany]]&lt;=2),"High Risk","Normal")</f>
        <v>Normal</v>
      </c>
    </row>
    <row r="710" spans="1:42" x14ac:dyDescent="0.25">
      <c r="A710" s="6">
        <v>36</v>
      </c>
      <c r="B710" s="4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s="11" t="str">
        <f>IF(HR_Data[[#This Row],[Age]]&lt;=25,"18-25",IF(HR_Data[[#This Row],[Age]]&lt;=35,"26-35",IF(HR_Data[[#This Row],[Age]]&lt;=45,"36-45",IF(HR_Data[[#This Row],[Age]]&lt;=55,"46-55","56+"))))</f>
        <v>36-45</v>
      </c>
      <c r="AK710" s="11" t="str">
        <f>IF(HR_Data[[#This Row],[MonthlyIncome]]&lt;3000,"Low",IF(HR_Data[[#This Row],[MonthlyIncome]]&lt;6000,"Medium",IF(HR_Data[[#This Row],[MonthlyIncome]]&lt;10000,"High","Very High")))</f>
        <v>Medium</v>
      </c>
      <c r="AL71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10" t="str">
        <f>IF(HR_Data[[#This Row],[TotalWorkingYears]]&lt;=5,"Junior",IF(HR_Data[[#This Row],[TotalWorkingYears]]&lt;=15,"Mid-Level","Senior"))</f>
        <v>Mid-Level</v>
      </c>
      <c r="AN710" s="11" t="str">
        <f>IF(HR_Data[[#This Row],[PerformanceRating]]=3,"Standard","Excellent")</f>
        <v>Standard</v>
      </c>
      <c r="AO710" s="11" t="str">
        <f>IF(HR_Data[[#This Row],[JobSatisfaction]]&lt;=2,"Low","High")</f>
        <v>High</v>
      </c>
      <c r="AP710" s="11" t="str">
        <f>IF(AND(HR_Data[[#This Row],[OverTime]]="Yes",HR_Data[[#This Row],[JobSatisfaction]]&lt;=2,HR_Data[[#This Row],[YearsAtCompany]]&lt;=2),"High Risk","Normal")</f>
        <v>Normal</v>
      </c>
    </row>
    <row r="711" spans="1:42" x14ac:dyDescent="0.25">
      <c r="A711" s="6">
        <v>31</v>
      </c>
      <c r="B711" s="4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s="11" t="str">
        <f>IF(HR_Data[[#This Row],[Age]]&lt;=25,"18-25",IF(HR_Data[[#This Row],[Age]]&lt;=35,"26-35",IF(HR_Data[[#This Row],[Age]]&lt;=45,"36-45",IF(HR_Data[[#This Row],[Age]]&lt;=55,"46-55","56+"))))</f>
        <v>26-35</v>
      </c>
      <c r="AK711" s="11" t="str">
        <f>IF(HR_Data[[#This Row],[MonthlyIncome]]&lt;3000,"Low",IF(HR_Data[[#This Row],[MonthlyIncome]]&lt;6000,"Medium",IF(HR_Data[[#This Row],[MonthlyIncome]]&lt;10000,"High","Very High")))</f>
        <v>Low</v>
      </c>
      <c r="AL71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11" t="str">
        <f>IF(HR_Data[[#This Row],[TotalWorkingYears]]&lt;=5,"Junior",IF(HR_Data[[#This Row],[TotalWorkingYears]]&lt;=15,"Mid-Level","Senior"))</f>
        <v>Junior</v>
      </c>
      <c r="AN711" s="11" t="str">
        <f>IF(HR_Data[[#This Row],[PerformanceRating]]=3,"Standard","Excellent")</f>
        <v>Excellent</v>
      </c>
      <c r="AO711" s="11" t="str">
        <f>IF(HR_Data[[#This Row],[JobSatisfaction]]&lt;=2,"Low","High")</f>
        <v>Low</v>
      </c>
      <c r="AP711" s="11" t="str">
        <f>IF(AND(HR_Data[[#This Row],[OverTime]]="Yes",HR_Data[[#This Row],[JobSatisfaction]]&lt;=2,HR_Data[[#This Row],[YearsAtCompany]]&lt;=2),"High Risk","Normal")</f>
        <v>Normal</v>
      </c>
    </row>
    <row r="712" spans="1:42" x14ac:dyDescent="0.25">
      <c r="A712" s="6">
        <v>33</v>
      </c>
      <c r="B712" s="4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s="11" t="str">
        <f>IF(HR_Data[[#This Row],[Age]]&lt;=25,"18-25",IF(HR_Data[[#This Row],[Age]]&lt;=35,"26-35",IF(HR_Data[[#This Row],[Age]]&lt;=45,"36-45",IF(HR_Data[[#This Row],[Age]]&lt;=55,"46-55","56+"))))</f>
        <v>26-35</v>
      </c>
      <c r="AK712" s="11" t="str">
        <f>IF(HR_Data[[#This Row],[MonthlyIncome]]&lt;3000,"Low",IF(HR_Data[[#This Row],[MonthlyIncome]]&lt;6000,"Medium",IF(HR_Data[[#This Row],[MonthlyIncome]]&lt;10000,"High","Very High")))</f>
        <v>Very High</v>
      </c>
      <c r="AL71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12" t="str">
        <f>IF(HR_Data[[#This Row],[TotalWorkingYears]]&lt;=5,"Junior",IF(HR_Data[[#This Row],[TotalWorkingYears]]&lt;=15,"Mid-Level","Senior"))</f>
        <v>Mid-Level</v>
      </c>
      <c r="AN712" s="11" t="str">
        <f>IF(HR_Data[[#This Row],[PerformanceRating]]=3,"Standard","Excellent")</f>
        <v>Standard</v>
      </c>
      <c r="AO712" s="11" t="str">
        <f>IF(HR_Data[[#This Row],[JobSatisfaction]]&lt;=2,"Low","High")</f>
        <v>High</v>
      </c>
      <c r="AP712" s="11" t="str">
        <f>IF(AND(HR_Data[[#This Row],[OverTime]]="Yes",HR_Data[[#This Row],[JobSatisfaction]]&lt;=2,HR_Data[[#This Row],[YearsAtCompany]]&lt;=2),"High Risk","Normal")</f>
        <v>Normal</v>
      </c>
    </row>
    <row r="713" spans="1:42" x14ac:dyDescent="0.25">
      <c r="A713" s="6">
        <v>29</v>
      </c>
      <c r="B713" s="4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s="11" t="str">
        <f>IF(HR_Data[[#This Row],[Age]]&lt;=25,"18-25",IF(HR_Data[[#This Row],[Age]]&lt;=35,"26-35",IF(HR_Data[[#This Row],[Age]]&lt;=45,"36-45",IF(HR_Data[[#This Row],[Age]]&lt;=55,"46-55","56+"))))</f>
        <v>26-35</v>
      </c>
      <c r="AK713" s="11" t="str">
        <f>IF(HR_Data[[#This Row],[MonthlyIncome]]&lt;3000,"Low",IF(HR_Data[[#This Row],[MonthlyIncome]]&lt;6000,"Medium",IF(HR_Data[[#This Row],[MonthlyIncome]]&lt;10000,"High","Very High")))</f>
        <v>Low</v>
      </c>
      <c r="AL71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13" t="str">
        <f>IF(HR_Data[[#This Row],[TotalWorkingYears]]&lt;=5,"Junior",IF(HR_Data[[#This Row],[TotalWorkingYears]]&lt;=15,"Mid-Level","Senior"))</f>
        <v>Junior</v>
      </c>
      <c r="AN713" s="11" t="str">
        <f>IF(HR_Data[[#This Row],[PerformanceRating]]=3,"Standard","Excellent")</f>
        <v>Excellent</v>
      </c>
      <c r="AO713" s="11" t="str">
        <f>IF(HR_Data[[#This Row],[JobSatisfaction]]&lt;=2,"Low","High")</f>
        <v>Low</v>
      </c>
      <c r="AP713" s="11" t="str">
        <f>IF(AND(HR_Data[[#This Row],[OverTime]]="Yes",HR_Data[[#This Row],[JobSatisfaction]]&lt;=2,HR_Data[[#This Row],[YearsAtCompany]]&lt;=2),"High Risk","Normal")</f>
        <v>High Risk</v>
      </c>
    </row>
    <row r="714" spans="1:42" x14ac:dyDescent="0.25">
      <c r="A714" s="6">
        <v>33</v>
      </c>
      <c r="B714" s="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s="11" t="str">
        <f>IF(HR_Data[[#This Row],[Age]]&lt;=25,"18-25",IF(HR_Data[[#This Row],[Age]]&lt;=35,"26-35",IF(HR_Data[[#This Row],[Age]]&lt;=45,"36-45",IF(HR_Data[[#This Row],[Age]]&lt;=55,"46-55","56+"))))</f>
        <v>26-35</v>
      </c>
      <c r="AK714" s="11" t="str">
        <f>IF(HR_Data[[#This Row],[MonthlyIncome]]&lt;3000,"Low",IF(HR_Data[[#This Row],[MonthlyIncome]]&lt;6000,"Medium",IF(HR_Data[[#This Row],[MonthlyIncome]]&lt;10000,"High","Very High")))</f>
        <v>Medium</v>
      </c>
      <c r="AL71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14" t="str">
        <f>IF(HR_Data[[#This Row],[TotalWorkingYears]]&lt;=5,"Junior",IF(HR_Data[[#This Row],[TotalWorkingYears]]&lt;=15,"Mid-Level","Senior"))</f>
        <v>Junior</v>
      </c>
      <c r="AN714" s="11" t="str">
        <f>IF(HR_Data[[#This Row],[PerformanceRating]]=3,"Standard","Excellent")</f>
        <v>Standard</v>
      </c>
      <c r="AO714" s="11" t="str">
        <f>IF(HR_Data[[#This Row],[JobSatisfaction]]&lt;=2,"Low","High")</f>
        <v>High</v>
      </c>
      <c r="AP714" s="11" t="str">
        <f>IF(AND(HR_Data[[#This Row],[OverTime]]="Yes",HR_Data[[#This Row],[JobSatisfaction]]&lt;=2,HR_Data[[#This Row],[YearsAtCompany]]&lt;=2),"High Risk","Normal")</f>
        <v>Normal</v>
      </c>
    </row>
    <row r="715" spans="1:42" x14ac:dyDescent="0.25">
      <c r="A715" s="6">
        <v>45</v>
      </c>
      <c r="B715" s="4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s="11" t="str">
        <f>IF(HR_Data[[#This Row],[Age]]&lt;=25,"18-25",IF(HR_Data[[#This Row],[Age]]&lt;=35,"26-35",IF(HR_Data[[#This Row],[Age]]&lt;=45,"36-45",IF(HR_Data[[#This Row],[Age]]&lt;=55,"46-55","56+"))))</f>
        <v>36-45</v>
      </c>
      <c r="AK715" s="11" t="str">
        <f>IF(HR_Data[[#This Row],[MonthlyIncome]]&lt;3000,"Low",IF(HR_Data[[#This Row],[MonthlyIncome]]&lt;6000,"Medium",IF(HR_Data[[#This Row],[MonthlyIncome]]&lt;10000,"High","Very High")))</f>
        <v>Low</v>
      </c>
      <c r="AL71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15" t="str">
        <f>IF(HR_Data[[#This Row],[TotalWorkingYears]]&lt;=5,"Junior",IF(HR_Data[[#This Row],[TotalWorkingYears]]&lt;=15,"Mid-Level","Senior"))</f>
        <v>Mid-Level</v>
      </c>
      <c r="AN715" s="11" t="str">
        <f>IF(HR_Data[[#This Row],[PerformanceRating]]=3,"Standard","Excellent")</f>
        <v>Standard</v>
      </c>
      <c r="AO715" s="11" t="str">
        <f>IF(HR_Data[[#This Row],[JobSatisfaction]]&lt;=2,"Low","High")</f>
        <v>High</v>
      </c>
      <c r="AP715" s="11" t="str">
        <f>IF(AND(HR_Data[[#This Row],[OverTime]]="Yes",HR_Data[[#This Row],[JobSatisfaction]]&lt;=2,HR_Data[[#This Row],[YearsAtCompany]]&lt;=2),"High Risk","Normal")</f>
        <v>Normal</v>
      </c>
    </row>
    <row r="716" spans="1:42" x14ac:dyDescent="0.25">
      <c r="A716" s="6">
        <v>50</v>
      </c>
      <c r="B716" s="4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s="11" t="str">
        <f>IF(HR_Data[[#This Row],[Age]]&lt;=25,"18-25",IF(HR_Data[[#This Row],[Age]]&lt;=35,"26-35",IF(HR_Data[[#This Row],[Age]]&lt;=45,"36-45",IF(HR_Data[[#This Row],[Age]]&lt;=55,"46-55","56+"))))</f>
        <v>46-55</v>
      </c>
      <c r="AK716" s="11" t="str">
        <f>IF(HR_Data[[#This Row],[MonthlyIncome]]&lt;3000,"Low",IF(HR_Data[[#This Row],[MonthlyIncome]]&lt;6000,"Medium",IF(HR_Data[[#This Row],[MonthlyIncome]]&lt;10000,"High","Very High")))</f>
        <v>Very High</v>
      </c>
      <c r="AL71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16" t="str">
        <f>IF(HR_Data[[#This Row],[TotalWorkingYears]]&lt;=5,"Junior",IF(HR_Data[[#This Row],[TotalWorkingYears]]&lt;=15,"Mid-Level","Senior"))</f>
        <v>Senior</v>
      </c>
      <c r="AN716" s="11" t="str">
        <f>IF(HR_Data[[#This Row],[PerformanceRating]]=3,"Standard","Excellent")</f>
        <v>Excellent</v>
      </c>
      <c r="AO716" s="11" t="str">
        <f>IF(HR_Data[[#This Row],[JobSatisfaction]]&lt;=2,"Low","High")</f>
        <v>High</v>
      </c>
      <c r="AP716" s="11" t="str">
        <f>IF(AND(HR_Data[[#This Row],[OverTime]]="Yes",HR_Data[[#This Row],[JobSatisfaction]]&lt;=2,HR_Data[[#This Row],[YearsAtCompany]]&lt;=2),"High Risk","Normal")</f>
        <v>Normal</v>
      </c>
    </row>
    <row r="717" spans="1:42" x14ac:dyDescent="0.25">
      <c r="A717" s="6">
        <v>33</v>
      </c>
      <c r="B717" s="4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s="11" t="str">
        <f>IF(HR_Data[[#This Row],[Age]]&lt;=25,"18-25",IF(HR_Data[[#This Row],[Age]]&lt;=35,"26-35",IF(HR_Data[[#This Row],[Age]]&lt;=45,"36-45",IF(HR_Data[[#This Row],[Age]]&lt;=55,"46-55","56+"))))</f>
        <v>26-35</v>
      </c>
      <c r="AK717" s="11" t="str">
        <f>IF(HR_Data[[#This Row],[MonthlyIncome]]&lt;3000,"Low",IF(HR_Data[[#This Row],[MonthlyIncome]]&lt;6000,"Medium",IF(HR_Data[[#This Row],[MonthlyIncome]]&lt;10000,"High","Very High")))</f>
        <v>Medium</v>
      </c>
      <c r="AL71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17" t="str">
        <f>IF(HR_Data[[#This Row],[TotalWorkingYears]]&lt;=5,"Junior",IF(HR_Data[[#This Row],[TotalWorkingYears]]&lt;=15,"Mid-Level","Senior"))</f>
        <v>Mid-Level</v>
      </c>
      <c r="AN717" s="11" t="str">
        <f>IF(HR_Data[[#This Row],[PerformanceRating]]=3,"Standard","Excellent")</f>
        <v>Standard</v>
      </c>
      <c r="AO717" s="11" t="str">
        <f>IF(HR_Data[[#This Row],[JobSatisfaction]]&lt;=2,"Low","High")</f>
        <v>Low</v>
      </c>
      <c r="AP717" s="11" t="str">
        <f>IF(AND(HR_Data[[#This Row],[OverTime]]="Yes",HR_Data[[#This Row],[JobSatisfaction]]&lt;=2,HR_Data[[#This Row],[YearsAtCompany]]&lt;=2),"High Risk","Normal")</f>
        <v>Normal</v>
      </c>
    </row>
    <row r="718" spans="1:42" x14ac:dyDescent="0.25">
      <c r="A718" s="6">
        <v>41</v>
      </c>
      <c r="B718" s="4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s="11" t="str">
        <f>IF(HR_Data[[#This Row],[Age]]&lt;=25,"18-25",IF(HR_Data[[#This Row],[Age]]&lt;=35,"26-35",IF(HR_Data[[#This Row],[Age]]&lt;=45,"36-45",IF(HR_Data[[#This Row],[Age]]&lt;=55,"46-55","56+"))))</f>
        <v>36-45</v>
      </c>
      <c r="AK718" s="11" t="str">
        <f>IF(HR_Data[[#This Row],[MonthlyIncome]]&lt;3000,"Low",IF(HR_Data[[#This Row],[MonthlyIncome]]&lt;6000,"Medium",IF(HR_Data[[#This Row],[MonthlyIncome]]&lt;10000,"High","Very High")))</f>
        <v>Very High</v>
      </c>
      <c r="AL71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18" t="str">
        <f>IF(HR_Data[[#This Row],[TotalWorkingYears]]&lt;=5,"Junior",IF(HR_Data[[#This Row],[TotalWorkingYears]]&lt;=15,"Mid-Level","Senior"))</f>
        <v>Senior</v>
      </c>
      <c r="AN718" s="11" t="str">
        <f>IF(HR_Data[[#This Row],[PerformanceRating]]=3,"Standard","Excellent")</f>
        <v>Standard</v>
      </c>
      <c r="AO718" s="11" t="str">
        <f>IF(HR_Data[[#This Row],[JobSatisfaction]]&lt;=2,"Low","High")</f>
        <v>High</v>
      </c>
      <c r="AP718" s="11" t="str">
        <f>IF(AND(HR_Data[[#This Row],[OverTime]]="Yes",HR_Data[[#This Row],[JobSatisfaction]]&lt;=2,HR_Data[[#This Row],[YearsAtCompany]]&lt;=2),"High Risk","Normal")</f>
        <v>Normal</v>
      </c>
    </row>
    <row r="719" spans="1:42" x14ac:dyDescent="0.25">
      <c r="A719" s="6">
        <v>27</v>
      </c>
      <c r="B719" s="4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s="11" t="str">
        <f>IF(HR_Data[[#This Row],[Age]]&lt;=25,"18-25",IF(HR_Data[[#This Row],[Age]]&lt;=35,"26-35",IF(HR_Data[[#This Row],[Age]]&lt;=45,"36-45",IF(HR_Data[[#This Row],[Age]]&lt;=55,"46-55","56+"))))</f>
        <v>26-35</v>
      </c>
      <c r="AK719" s="11" t="str">
        <f>IF(HR_Data[[#This Row],[MonthlyIncome]]&lt;3000,"Low",IF(HR_Data[[#This Row],[MonthlyIncome]]&lt;6000,"Medium",IF(HR_Data[[#This Row],[MonthlyIncome]]&lt;10000,"High","Very High")))</f>
        <v>Low</v>
      </c>
      <c r="AL71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19" t="str">
        <f>IF(HR_Data[[#This Row],[TotalWorkingYears]]&lt;=5,"Junior",IF(HR_Data[[#This Row],[TotalWorkingYears]]&lt;=15,"Mid-Level","Senior"))</f>
        <v>Junior</v>
      </c>
      <c r="AN719" s="11" t="str">
        <f>IF(HR_Data[[#This Row],[PerformanceRating]]=3,"Standard","Excellent")</f>
        <v>Standard</v>
      </c>
      <c r="AO719" s="11" t="str">
        <f>IF(HR_Data[[#This Row],[JobSatisfaction]]&lt;=2,"Low","High")</f>
        <v>Low</v>
      </c>
      <c r="AP719" s="11" t="str">
        <f>IF(AND(HR_Data[[#This Row],[OverTime]]="Yes",HR_Data[[#This Row],[JobSatisfaction]]&lt;=2,HR_Data[[#This Row],[YearsAtCompany]]&lt;=2),"High Risk","Normal")</f>
        <v>Normal</v>
      </c>
    </row>
    <row r="720" spans="1:42" x14ac:dyDescent="0.25">
      <c r="A720" s="6">
        <v>45</v>
      </c>
      <c r="B720" s="4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s="11" t="str">
        <f>IF(HR_Data[[#This Row],[Age]]&lt;=25,"18-25",IF(HR_Data[[#This Row],[Age]]&lt;=35,"26-35",IF(HR_Data[[#This Row],[Age]]&lt;=45,"36-45",IF(HR_Data[[#This Row],[Age]]&lt;=55,"46-55","56+"))))</f>
        <v>36-45</v>
      </c>
      <c r="AK720" s="11" t="str">
        <f>IF(HR_Data[[#This Row],[MonthlyIncome]]&lt;3000,"Low",IF(HR_Data[[#This Row],[MonthlyIncome]]&lt;6000,"Medium",IF(HR_Data[[#This Row],[MonthlyIncome]]&lt;10000,"High","Very High")))</f>
        <v>Medium</v>
      </c>
      <c r="AL72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20" t="str">
        <f>IF(HR_Data[[#This Row],[TotalWorkingYears]]&lt;=5,"Junior",IF(HR_Data[[#This Row],[TotalWorkingYears]]&lt;=15,"Mid-Level","Senior"))</f>
        <v>Mid-Level</v>
      </c>
      <c r="AN720" s="11" t="str">
        <f>IF(HR_Data[[#This Row],[PerformanceRating]]=3,"Standard","Excellent")</f>
        <v>Standard</v>
      </c>
      <c r="AO720" s="11" t="str">
        <f>IF(HR_Data[[#This Row],[JobSatisfaction]]&lt;=2,"Low","High")</f>
        <v>Low</v>
      </c>
      <c r="AP720" s="11" t="str">
        <f>IF(AND(HR_Data[[#This Row],[OverTime]]="Yes",HR_Data[[#This Row],[JobSatisfaction]]&lt;=2,HR_Data[[#This Row],[YearsAtCompany]]&lt;=2),"High Risk","Normal")</f>
        <v>Normal</v>
      </c>
    </row>
    <row r="721" spans="1:42" x14ac:dyDescent="0.25">
      <c r="A721" s="6">
        <v>47</v>
      </c>
      <c r="B721" s="4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s="11" t="str">
        <f>IF(HR_Data[[#This Row],[Age]]&lt;=25,"18-25",IF(HR_Data[[#This Row],[Age]]&lt;=35,"26-35",IF(HR_Data[[#This Row],[Age]]&lt;=45,"36-45",IF(HR_Data[[#This Row],[Age]]&lt;=55,"46-55","56+"))))</f>
        <v>46-55</v>
      </c>
      <c r="AK721" s="11" t="str">
        <f>IF(HR_Data[[#This Row],[MonthlyIncome]]&lt;3000,"Low",IF(HR_Data[[#This Row],[MonthlyIncome]]&lt;6000,"Medium",IF(HR_Data[[#This Row],[MonthlyIncome]]&lt;10000,"High","Very High")))</f>
        <v>Medium</v>
      </c>
      <c r="AL72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21" t="str">
        <f>IF(HR_Data[[#This Row],[TotalWorkingYears]]&lt;=5,"Junior",IF(HR_Data[[#This Row],[TotalWorkingYears]]&lt;=15,"Mid-Level","Senior"))</f>
        <v>Mid-Level</v>
      </c>
      <c r="AN721" s="11" t="str">
        <f>IF(HR_Data[[#This Row],[PerformanceRating]]=3,"Standard","Excellent")</f>
        <v>Standard</v>
      </c>
      <c r="AO721" s="11" t="str">
        <f>IF(HR_Data[[#This Row],[JobSatisfaction]]&lt;=2,"Low","High")</f>
        <v>High</v>
      </c>
      <c r="AP721" s="11" t="str">
        <f>IF(AND(HR_Data[[#This Row],[OverTime]]="Yes",HR_Data[[#This Row],[JobSatisfaction]]&lt;=2,HR_Data[[#This Row],[YearsAtCompany]]&lt;=2),"High Risk","Normal")</f>
        <v>Normal</v>
      </c>
    </row>
    <row r="722" spans="1:42" x14ac:dyDescent="0.25">
      <c r="A722" s="6">
        <v>30</v>
      </c>
      <c r="B722" s="4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s="11" t="str">
        <f>IF(HR_Data[[#This Row],[Age]]&lt;=25,"18-25",IF(HR_Data[[#This Row],[Age]]&lt;=35,"26-35",IF(HR_Data[[#This Row],[Age]]&lt;=45,"36-45",IF(HR_Data[[#This Row],[Age]]&lt;=55,"46-55","56+"))))</f>
        <v>26-35</v>
      </c>
      <c r="AK722" s="11" t="str">
        <f>IF(HR_Data[[#This Row],[MonthlyIncome]]&lt;3000,"Low",IF(HR_Data[[#This Row],[MonthlyIncome]]&lt;6000,"Medium",IF(HR_Data[[#This Row],[MonthlyIncome]]&lt;10000,"High","Very High")))</f>
        <v>Low</v>
      </c>
      <c r="AL72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22" t="str">
        <f>IF(HR_Data[[#This Row],[TotalWorkingYears]]&lt;=5,"Junior",IF(HR_Data[[#This Row],[TotalWorkingYears]]&lt;=15,"Mid-Level","Senior"))</f>
        <v>Mid-Level</v>
      </c>
      <c r="AN722" s="11" t="str">
        <f>IF(HR_Data[[#This Row],[PerformanceRating]]=3,"Standard","Excellent")</f>
        <v>Standard</v>
      </c>
      <c r="AO722" s="11" t="str">
        <f>IF(HR_Data[[#This Row],[JobSatisfaction]]&lt;=2,"Low","High")</f>
        <v>High</v>
      </c>
      <c r="AP722" s="11" t="str">
        <f>IF(AND(HR_Data[[#This Row],[OverTime]]="Yes",HR_Data[[#This Row],[JobSatisfaction]]&lt;=2,HR_Data[[#This Row],[YearsAtCompany]]&lt;=2),"High Risk","Normal")</f>
        <v>Normal</v>
      </c>
    </row>
    <row r="723" spans="1:42" x14ac:dyDescent="0.25">
      <c r="A723" s="6">
        <v>50</v>
      </c>
      <c r="B723" s="4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s="11" t="str">
        <f>IF(HR_Data[[#This Row],[Age]]&lt;=25,"18-25",IF(HR_Data[[#This Row],[Age]]&lt;=35,"26-35",IF(HR_Data[[#This Row],[Age]]&lt;=45,"36-45",IF(HR_Data[[#This Row],[Age]]&lt;=55,"46-55","56+"))))</f>
        <v>46-55</v>
      </c>
      <c r="AK723" s="11" t="str">
        <f>IF(HR_Data[[#This Row],[MonthlyIncome]]&lt;3000,"Low",IF(HR_Data[[#This Row],[MonthlyIncome]]&lt;6000,"Medium",IF(HR_Data[[#This Row],[MonthlyIncome]]&lt;10000,"High","Very High")))</f>
        <v>Very High</v>
      </c>
      <c r="AL723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723" t="str">
        <f>IF(HR_Data[[#This Row],[TotalWorkingYears]]&lt;=5,"Junior",IF(HR_Data[[#This Row],[TotalWorkingYears]]&lt;=15,"Mid-Level","Senior"))</f>
        <v>Senior</v>
      </c>
      <c r="AN723" s="11" t="str">
        <f>IF(HR_Data[[#This Row],[PerformanceRating]]=3,"Standard","Excellent")</f>
        <v>Standard</v>
      </c>
      <c r="AO723" s="11" t="str">
        <f>IF(HR_Data[[#This Row],[JobSatisfaction]]&lt;=2,"Low","High")</f>
        <v>High</v>
      </c>
      <c r="AP723" s="11" t="str">
        <f>IF(AND(HR_Data[[#This Row],[OverTime]]="Yes",HR_Data[[#This Row],[JobSatisfaction]]&lt;=2,HR_Data[[#This Row],[YearsAtCompany]]&lt;=2),"High Risk","Normal")</f>
        <v>Normal</v>
      </c>
    </row>
    <row r="724" spans="1:42" x14ac:dyDescent="0.25">
      <c r="A724" s="6">
        <v>38</v>
      </c>
      <c r="B724" s="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s="11" t="str">
        <f>IF(HR_Data[[#This Row],[Age]]&lt;=25,"18-25",IF(HR_Data[[#This Row],[Age]]&lt;=35,"26-35",IF(HR_Data[[#This Row],[Age]]&lt;=45,"36-45",IF(HR_Data[[#This Row],[Age]]&lt;=55,"46-55","56+"))))</f>
        <v>36-45</v>
      </c>
      <c r="AK724" s="11" t="str">
        <f>IF(HR_Data[[#This Row],[MonthlyIncome]]&lt;3000,"Low",IF(HR_Data[[#This Row],[MonthlyIncome]]&lt;6000,"Medium",IF(HR_Data[[#This Row],[MonthlyIncome]]&lt;10000,"High","Very High")))</f>
        <v>Low</v>
      </c>
      <c r="AL72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24" t="str">
        <f>IF(HR_Data[[#This Row],[TotalWorkingYears]]&lt;=5,"Junior",IF(HR_Data[[#This Row],[TotalWorkingYears]]&lt;=15,"Mid-Level","Senior"))</f>
        <v>Junior</v>
      </c>
      <c r="AN724" s="11" t="str">
        <f>IF(HR_Data[[#This Row],[PerformanceRating]]=3,"Standard","Excellent")</f>
        <v>Standard</v>
      </c>
      <c r="AO724" s="11" t="str">
        <f>IF(HR_Data[[#This Row],[JobSatisfaction]]&lt;=2,"Low","High")</f>
        <v>High</v>
      </c>
      <c r="AP724" s="11" t="str">
        <f>IF(AND(HR_Data[[#This Row],[OverTime]]="Yes",HR_Data[[#This Row],[JobSatisfaction]]&lt;=2,HR_Data[[#This Row],[YearsAtCompany]]&lt;=2),"High Risk","Normal")</f>
        <v>Normal</v>
      </c>
    </row>
    <row r="725" spans="1:42" x14ac:dyDescent="0.25">
      <c r="A725" s="6">
        <v>46</v>
      </c>
      <c r="B725" s="4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s="11" t="str">
        <f>IF(HR_Data[[#This Row],[Age]]&lt;=25,"18-25",IF(HR_Data[[#This Row],[Age]]&lt;=35,"26-35",IF(HR_Data[[#This Row],[Age]]&lt;=45,"36-45",IF(HR_Data[[#This Row],[Age]]&lt;=55,"46-55","56+"))))</f>
        <v>46-55</v>
      </c>
      <c r="AK725" s="11" t="str">
        <f>IF(HR_Data[[#This Row],[MonthlyIncome]]&lt;3000,"Low",IF(HR_Data[[#This Row],[MonthlyIncome]]&lt;6000,"Medium",IF(HR_Data[[#This Row],[MonthlyIncome]]&lt;10000,"High","Very High")))</f>
        <v>Very High</v>
      </c>
      <c r="AL72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25" t="str">
        <f>IF(HR_Data[[#This Row],[TotalWorkingYears]]&lt;=5,"Junior",IF(HR_Data[[#This Row],[TotalWorkingYears]]&lt;=15,"Mid-Level","Senior"))</f>
        <v>Mid-Level</v>
      </c>
      <c r="AN725" s="11" t="str">
        <f>IF(HR_Data[[#This Row],[PerformanceRating]]=3,"Standard","Excellent")</f>
        <v>Standard</v>
      </c>
      <c r="AO725" s="11" t="str">
        <f>IF(HR_Data[[#This Row],[JobSatisfaction]]&lt;=2,"Low","High")</f>
        <v>High</v>
      </c>
      <c r="AP725" s="11" t="str">
        <f>IF(AND(HR_Data[[#This Row],[OverTime]]="Yes",HR_Data[[#This Row],[JobSatisfaction]]&lt;=2,HR_Data[[#This Row],[YearsAtCompany]]&lt;=2),"High Risk","Normal")</f>
        <v>Normal</v>
      </c>
    </row>
    <row r="726" spans="1:42" x14ac:dyDescent="0.25">
      <c r="A726" s="6">
        <v>24</v>
      </c>
      <c r="B726" s="4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s="11" t="str">
        <f>IF(HR_Data[[#This Row],[Age]]&lt;=25,"18-25",IF(HR_Data[[#This Row],[Age]]&lt;=35,"26-35",IF(HR_Data[[#This Row],[Age]]&lt;=45,"36-45",IF(HR_Data[[#This Row],[Age]]&lt;=55,"46-55","56+"))))</f>
        <v>18-25</v>
      </c>
      <c r="AK726" s="11" t="str">
        <f>IF(HR_Data[[#This Row],[MonthlyIncome]]&lt;3000,"Low",IF(HR_Data[[#This Row],[MonthlyIncome]]&lt;6000,"Medium",IF(HR_Data[[#This Row],[MonthlyIncome]]&lt;10000,"High","Very High")))</f>
        <v>Medium</v>
      </c>
      <c r="AL72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26" t="str">
        <f>IF(HR_Data[[#This Row],[TotalWorkingYears]]&lt;=5,"Junior",IF(HR_Data[[#This Row],[TotalWorkingYears]]&lt;=15,"Mid-Level","Senior"))</f>
        <v>Junior</v>
      </c>
      <c r="AN726" s="11" t="str">
        <f>IF(HR_Data[[#This Row],[PerformanceRating]]=3,"Standard","Excellent")</f>
        <v>Standard</v>
      </c>
      <c r="AO726" s="11" t="str">
        <f>IF(HR_Data[[#This Row],[JobSatisfaction]]&lt;=2,"Low","High")</f>
        <v>High</v>
      </c>
      <c r="AP726" s="11" t="str">
        <f>IF(AND(HR_Data[[#This Row],[OverTime]]="Yes",HR_Data[[#This Row],[JobSatisfaction]]&lt;=2,HR_Data[[#This Row],[YearsAtCompany]]&lt;=2),"High Risk","Normal")</f>
        <v>Normal</v>
      </c>
    </row>
    <row r="727" spans="1:42" x14ac:dyDescent="0.25">
      <c r="A727" s="6">
        <v>35</v>
      </c>
      <c r="B727" s="4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s="11" t="str">
        <f>IF(HR_Data[[#This Row],[Age]]&lt;=25,"18-25",IF(HR_Data[[#This Row],[Age]]&lt;=35,"26-35",IF(HR_Data[[#This Row],[Age]]&lt;=45,"36-45",IF(HR_Data[[#This Row],[Age]]&lt;=55,"46-55","56+"))))</f>
        <v>26-35</v>
      </c>
      <c r="AK727" s="11" t="str">
        <f>IF(HR_Data[[#This Row],[MonthlyIncome]]&lt;3000,"Low",IF(HR_Data[[#This Row],[MonthlyIncome]]&lt;6000,"Medium",IF(HR_Data[[#This Row],[MonthlyIncome]]&lt;10000,"High","Very High")))</f>
        <v>Medium</v>
      </c>
      <c r="AL72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27" t="str">
        <f>IF(HR_Data[[#This Row],[TotalWorkingYears]]&lt;=5,"Junior",IF(HR_Data[[#This Row],[TotalWorkingYears]]&lt;=15,"Mid-Level","Senior"))</f>
        <v>Junior</v>
      </c>
      <c r="AN727" s="11" t="str">
        <f>IF(HR_Data[[#This Row],[PerformanceRating]]=3,"Standard","Excellent")</f>
        <v>Excellent</v>
      </c>
      <c r="AO727" s="11" t="str">
        <f>IF(HR_Data[[#This Row],[JobSatisfaction]]&lt;=2,"Low","High")</f>
        <v>Low</v>
      </c>
      <c r="AP727" s="11" t="str">
        <f>IF(AND(HR_Data[[#This Row],[OverTime]]="Yes",HR_Data[[#This Row],[JobSatisfaction]]&lt;=2,HR_Data[[#This Row],[YearsAtCompany]]&lt;=2),"High Risk","Normal")</f>
        <v>Normal</v>
      </c>
    </row>
    <row r="728" spans="1:42" x14ac:dyDescent="0.25">
      <c r="A728" s="6">
        <v>31</v>
      </c>
      <c r="B728" s="4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s="11" t="str">
        <f>IF(HR_Data[[#This Row],[Age]]&lt;=25,"18-25",IF(HR_Data[[#This Row],[Age]]&lt;=35,"26-35",IF(HR_Data[[#This Row],[Age]]&lt;=45,"36-45",IF(HR_Data[[#This Row],[Age]]&lt;=55,"46-55","56+"))))</f>
        <v>26-35</v>
      </c>
      <c r="AK728" s="11" t="str">
        <f>IF(HR_Data[[#This Row],[MonthlyIncome]]&lt;3000,"Low",IF(HR_Data[[#This Row],[MonthlyIncome]]&lt;6000,"Medium",IF(HR_Data[[#This Row],[MonthlyIncome]]&lt;10000,"High","Very High")))</f>
        <v>Medium</v>
      </c>
      <c r="AL72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28" t="str">
        <f>IF(HR_Data[[#This Row],[TotalWorkingYears]]&lt;=5,"Junior",IF(HR_Data[[#This Row],[TotalWorkingYears]]&lt;=15,"Mid-Level","Senior"))</f>
        <v>Junior</v>
      </c>
      <c r="AN728" s="11" t="str">
        <f>IF(HR_Data[[#This Row],[PerformanceRating]]=3,"Standard","Excellent")</f>
        <v>Standard</v>
      </c>
      <c r="AO728" s="11" t="str">
        <f>IF(HR_Data[[#This Row],[JobSatisfaction]]&lt;=2,"Low","High")</f>
        <v>Low</v>
      </c>
      <c r="AP728" s="11" t="str">
        <f>IF(AND(HR_Data[[#This Row],[OverTime]]="Yes",HR_Data[[#This Row],[JobSatisfaction]]&lt;=2,HR_Data[[#This Row],[YearsAtCompany]]&lt;=2),"High Risk","Normal")</f>
        <v>Normal</v>
      </c>
    </row>
    <row r="729" spans="1:42" x14ac:dyDescent="0.25">
      <c r="A729" s="6">
        <v>18</v>
      </c>
      <c r="B729" s="4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s="11" t="str">
        <f>IF(HR_Data[[#This Row],[Age]]&lt;=25,"18-25",IF(HR_Data[[#This Row],[Age]]&lt;=35,"26-35",IF(HR_Data[[#This Row],[Age]]&lt;=45,"36-45",IF(HR_Data[[#This Row],[Age]]&lt;=55,"46-55","56+"))))</f>
        <v>18-25</v>
      </c>
      <c r="AK729" s="11" t="str">
        <f>IF(HR_Data[[#This Row],[MonthlyIncome]]&lt;3000,"Low",IF(HR_Data[[#This Row],[MonthlyIncome]]&lt;6000,"Medium",IF(HR_Data[[#This Row],[MonthlyIncome]]&lt;10000,"High","Very High")))</f>
        <v>Low</v>
      </c>
      <c r="AL72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29" t="str">
        <f>IF(HR_Data[[#This Row],[TotalWorkingYears]]&lt;=5,"Junior",IF(HR_Data[[#This Row],[TotalWorkingYears]]&lt;=15,"Mid-Level","Senior"))</f>
        <v>Junior</v>
      </c>
      <c r="AN729" s="11" t="str">
        <f>IF(HR_Data[[#This Row],[PerformanceRating]]=3,"Standard","Excellent")</f>
        <v>Standard</v>
      </c>
      <c r="AO729" s="11" t="str">
        <f>IF(HR_Data[[#This Row],[JobSatisfaction]]&lt;=2,"Low","High")</f>
        <v>High</v>
      </c>
      <c r="AP729" s="11" t="str">
        <f>IF(AND(HR_Data[[#This Row],[OverTime]]="Yes",HR_Data[[#This Row],[JobSatisfaction]]&lt;=2,HR_Data[[#This Row],[YearsAtCompany]]&lt;=2),"High Risk","Normal")</f>
        <v>Normal</v>
      </c>
    </row>
    <row r="730" spans="1:42" x14ac:dyDescent="0.25">
      <c r="A730" s="6">
        <v>54</v>
      </c>
      <c r="B730" s="4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s="11" t="str">
        <f>IF(HR_Data[[#This Row],[Age]]&lt;=25,"18-25",IF(HR_Data[[#This Row],[Age]]&lt;=35,"26-35",IF(HR_Data[[#This Row],[Age]]&lt;=45,"36-45",IF(HR_Data[[#This Row],[Age]]&lt;=55,"46-55","56+"))))</f>
        <v>46-55</v>
      </c>
      <c r="AK730" s="11" t="str">
        <f>IF(HR_Data[[#This Row],[MonthlyIncome]]&lt;3000,"Low",IF(HR_Data[[#This Row],[MonthlyIncome]]&lt;6000,"Medium",IF(HR_Data[[#This Row],[MonthlyIncome]]&lt;10000,"High","Very High")))</f>
        <v>Very High</v>
      </c>
      <c r="AL73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30" t="str">
        <f>IF(HR_Data[[#This Row],[TotalWorkingYears]]&lt;=5,"Junior",IF(HR_Data[[#This Row],[TotalWorkingYears]]&lt;=15,"Mid-Level","Senior"))</f>
        <v>Senior</v>
      </c>
      <c r="AN730" s="11" t="str">
        <f>IF(HR_Data[[#This Row],[PerformanceRating]]=3,"Standard","Excellent")</f>
        <v>Standard</v>
      </c>
      <c r="AO730" s="11" t="str">
        <f>IF(HR_Data[[#This Row],[JobSatisfaction]]&lt;=2,"Low","High")</f>
        <v>High</v>
      </c>
      <c r="AP730" s="11" t="str">
        <f>IF(AND(HR_Data[[#This Row],[OverTime]]="Yes",HR_Data[[#This Row],[JobSatisfaction]]&lt;=2,HR_Data[[#This Row],[YearsAtCompany]]&lt;=2),"High Risk","Normal")</f>
        <v>Normal</v>
      </c>
    </row>
    <row r="731" spans="1:42" x14ac:dyDescent="0.25">
      <c r="A731" s="6">
        <v>35</v>
      </c>
      <c r="B731" s="4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s="11" t="str">
        <f>IF(HR_Data[[#This Row],[Age]]&lt;=25,"18-25",IF(HR_Data[[#This Row],[Age]]&lt;=35,"26-35",IF(HR_Data[[#This Row],[Age]]&lt;=45,"36-45",IF(HR_Data[[#This Row],[Age]]&lt;=55,"46-55","56+"))))</f>
        <v>26-35</v>
      </c>
      <c r="AK731" s="11" t="str">
        <f>IF(HR_Data[[#This Row],[MonthlyIncome]]&lt;3000,"Low",IF(HR_Data[[#This Row],[MonthlyIncome]]&lt;6000,"Medium",IF(HR_Data[[#This Row],[MonthlyIncome]]&lt;10000,"High","Very High")))</f>
        <v>Very High</v>
      </c>
      <c r="AL731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31" t="str">
        <f>IF(HR_Data[[#This Row],[TotalWorkingYears]]&lt;=5,"Junior",IF(HR_Data[[#This Row],[TotalWorkingYears]]&lt;=15,"Mid-Level","Senior"))</f>
        <v>Senior</v>
      </c>
      <c r="AN731" s="11" t="str">
        <f>IF(HR_Data[[#This Row],[PerformanceRating]]=3,"Standard","Excellent")</f>
        <v>Standard</v>
      </c>
      <c r="AO731" s="11" t="str">
        <f>IF(HR_Data[[#This Row],[JobSatisfaction]]&lt;=2,"Low","High")</f>
        <v>High</v>
      </c>
      <c r="AP731" s="11" t="str">
        <f>IF(AND(HR_Data[[#This Row],[OverTime]]="Yes",HR_Data[[#This Row],[JobSatisfaction]]&lt;=2,HR_Data[[#This Row],[YearsAtCompany]]&lt;=2),"High Risk","Normal")</f>
        <v>Normal</v>
      </c>
    </row>
    <row r="732" spans="1:42" x14ac:dyDescent="0.25">
      <c r="A732" s="6">
        <v>30</v>
      </c>
      <c r="B732" s="4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s="11" t="str">
        <f>IF(HR_Data[[#This Row],[Age]]&lt;=25,"18-25",IF(HR_Data[[#This Row],[Age]]&lt;=35,"26-35",IF(HR_Data[[#This Row],[Age]]&lt;=45,"36-45",IF(HR_Data[[#This Row],[Age]]&lt;=55,"46-55","56+"))))</f>
        <v>26-35</v>
      </c>
      <c r="AK732" s="11" t="str">
        <f>IF(HR_Data[[#This Row],[MonthlyIncome]]&lt;3000,"Low",IF(HR_Data[[#This Row],[MonthlyIncome]]&lt;6000,"Medium",IF(HR_Data[[#This Row],[MonthlyIncome]]&lt;10000,"High","Very High")))</f>
        <v>Very High</v>
      </c>
      <c r="AL73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32" t="str">
        <f>IF(HR_Data[[#This Row],[TotalWorkingYears]]&lt;=5,"Junior",IF(HR_Data[[#This Row],[TotalWorkingYears]]&lt;=15,"Mid-Level","Senior"))</f>
        <v>Mid-Level</v>
      </c>
      <c r="AN732" s="11" t="str">
        <f>IF(HR_Data[[#This Row],[PerformanceRating]]=3,"Standard","Excellent")</f>
        <v>Standard</v>
      </c>
      <c r="AO732" s="11" t="str">
        <f>IF(HR_Data[[#This Row],[JobSatisfaction]]&lt;=2,"Low","High")</f>
        <v>Low</v>
      </c>
      <c r="AP732" s="11" t="str">
        <f>IF(AND(HR_Data[[#This Row],[OverTime]]="Yes",HR_Data[[#This Row],[JobSatisfaction]]&lt;=2,HR_Data[[#This Row],[YearsAtCompany]]&lt;=2),"High Risk","Normal")</f>
        <v>Normal</v>
      </c>
    </row>
    <row r="733" spans="1:42" x14ac:dyDescent="0.25">
      <c r="A733" s="6">
        <v>20</v>
      </c>
      <c r="B733" s="4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s="11" t="str">
        <f>IF(HR_Data[[#This Row],[Age]]&lt;=25,"18-25",IF(HR_Data[[#This Row],[Age]]&lt;=35,"26-35",IF(HR_Data[[#This Row],[Age]]&lt;=45,"36-45",IF(HR_Data[[#This Row],[Age]]&lt;=55,"46-55","56+"))))</f>
        <v>18-25</v>
      </c>
      <c r="AK733" s="11" t="str">
        <f>IF(HR_Data[[#This Row],[MonthlyIncome]]&lt;3000,"Low",IF(HR_Data[[#This Row],[MonthlyIncome]]&lt;6000,"Medium",IF(HR_Data[[#This Row],[MonthlyIncome]]&lt;10000,"High","Very High")))</f>
        <v>Low</v>
      </c>
      <c r="AL73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33" t="str">
        <f>IF(HR_Data[[#This Row],[TotalWorkingYears]]&lt;=5,"Junior",IF(HR_Data[[#This Row],[TotalWorkingYears]]&lt;=15,"Mid-Level","Senior"))</f>
        <v>Junior</v>
      </c>
      <c r="AN733" s="11" t="str">
        <f>IF(HR_Data[[#This Row],[PerformanceRating]]=3,"Standard","Excellent")</f>
        <v>Standard</v>
      </c>
      <c r="AO733" s="11" t="str">
        <f>IF(HR_Data[[#This Row],[JobSatisfaction]]&lt;=2,"Low","High")</f>
        <v>Low</v>
      </c>
      <c r="AP733" s="11" t="str">
        <f>IF(AND(HR_Data[[#This Row],[OverTime]]="Yes",HR_Data[[#This Row],[JobSatisfaction]]&lt;=2,HR_Data[[#This Row],[YearsAtCompany]]&lt;=2),"High Risk","Normal")</f>
        <v>High Risk</v>
      </c>
    </row>
    <row r="734" spans="1:42" x14ac:dyDescent="0.25">
      <c r="A734" s="6">
        <v>30</v>
      </c>
      <c r="B734" s="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s="11" t="str">
        <f>IF(HR_Data[[#This Row],[Age]]&lt;=25,"18-25",IF(HR_Data[[#This Row],[Age]]&lt;=35,"26-35",IF(HR_Data[[#This Row],[Age]]&lt;=45,"36-45",IF(HR_Data[[#This Row],[Age]]&lt;=55,"46-55","56+"))))</f>
        <v>26-35</v>
      </c>
      <c r="AK734" s="11" t="str">
        <f>IF(HR_Data[[#This Row],[MonthlyIncome]]&lt;3000,"Low",IF(HR_Data[[#This Row],[MonthlyIncome]]&lt;6000,"Medium",IF(HR_Data[[#This Row],[MonthlyIncome]]&lt;10000,"High","Very High")))</f>
        <v>Low</v>
      </c>
      <c r="AL73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34" t="str">
        <f>IF(HR_Data[[#This Row],[TotalWorkingYears]]&lt;=5,"Junior",IF(HR_Data[[#This Row],[TotalWorkingYears]]&lt;=15,"Mid-Level","Senior"))</f>
        <v>Junior</v>
      </c>
      <c r="AN734" s="11" t="str">
        <f>IF(HR_Data[[#This Row],[PerformanceRating]]=3,"Standard","Excellent")</f>
        <v>Standard</v>
      </c>
      <c r="AO734" s="11" t="str">
        <f>IF(HR_Data[[#This Row],[JobSatisfaction]]&lt;=2,"Low","High")</f>
        <v>Low</v>
      </c>
      <c r="AP734" s="11" t="str">
        <f>IF(AND(HR_Data[[#This Row],[OverTime]]="Yes",HR_Data[[#This Row],[JobSatisfaction]]&lt;=2,HR_Data[[#This Row],[YearsAtCompany]]&lt;=2),"High Risk","Normal")</f>
        <v>Normal</v>
      </c>
    </row>
    <row r="735" spans="1:42" x14ac:dyDescent="0.25">
      <c r="A735" s="6">
        <v>26</v>
      </c>
      <c r="B735" s="4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s="11" t="str">
        <f>IF(HR_Data[[#This Row],[Age]]&lt;=25,"18-25",IF(HR_Data[[#This Row],[Age]]&lt;=35,"26-35",IF(HR_Data[[#This Row],[Age]]&lt;=45,"36-45",IF(HR_Data[[#This Row],[Age]]&lt;=55,"46-55","56+"))))</f>
        <v>26-35</v>
      </c>
      <c r="AK735" s="11" t="str">
        <f>IF(HR_Data[[#This Row],[MonthlyIncome]]&lt;3000,"Low",IF(HR_Data[[#This Row],[MonthlyIncome]]&lt;6000,"Medium",IF(HR_Data[[#This Row],[MonthlyIncome]]&lt;10000,"High","Very High")))</f>
        <v>Medium</v>
      </c>
      <c r="AL73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35" t="str">
        <f>IF(HR_Data[[#This Row],[TotalWorkingYears]]&lt;=5,"Junior",IF(HR_Data[[#This Row],[TotalWorkingYears]]&lt;=15,"Mid-Level","Senior"))</f>
        <v>Mid-Level</v>
      </c>
      <c r="AN735" s="11" t="str">
        <f>IF(HR_Data[[#This Row],[PerformanceRating]]=3,"Standard","Excellent")</f>
        <v>Standard</v>
      </c>
      <c r="AO735" s="11" t="str">
        <f>IF(HR_Data[[#This Row],[JobSatisfaction]]&lt;=2,"Low","High")</f>
        <v>High</v>
      </c>
      <c r="AP735" s="11" t="str">
        <f>IF(AND(HR_Data[[#This Row],[OverTime]]="Yes",HR_Data[[#This Row],[JobSatisfaction]]&lt;=2,HR_Data[[#This Row],[YearsAtCompany]]&lt;=2),"High Risk","Normal")</f>
        <v>Normal</v>
      </c>
    </row>
    <row r="736" spans="1:42" x14ac:dyDescent="0.25">
      <c r="A736" s="6">
        <v>22</v>
      </c>
      <c r="B736" s="4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s="11" t="str">
        <f>IF(HR_Data[[#This Row],[Age]]&lt;=25,"18-25",IF(HR_Data[[#This Row],[Age]]&lt;=35,"26-35",IF(HR_Data[[#This Row],[Age]]&lt;=45,"36-45",IF(HR_Data[[#This Row],[Age]]&lt;=55,"46-55","56+"))))</f>
        <v>18-25</v>
      </c>
      <c r="AK736" s="11" t="str">
        <f>IF(HR_Data[[#This Row],[MonthlyIncome]]&lt;3000,"Low",IF(HR_Data[[#This Row],[MonthlyIncome]]&lt;6000,"Medium",IF(HR_Data[[#This Row],[MonthlyIncome]]&lt;10000,"High","Very High")))</f>
        <v>Low</v>
      </c>
      <c r="AL73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36" t="str">
        <f>IF(HR_Data[[#This Row],[TotalWorkingYears]]&lt;=5,"Junior",IF(HR_Data[[#This Row],[TotalWorkingYears]]&lt;=15,"Mid-Level","Senior"))</f>
        <v>Junior</v>
      </c>
      <c r="AN736" s="11" t="str">
        <f>IF(HR_Data[[#This Row],[PerformanceRating]]=3,"Standard","Excellent")</f>
        <v>Standard</v>
      </c>
      <c r="AO736" s="11" t="str">
        <f>IF(HR_Data[[#This Row],[JobSatisfaction]]&lt;=2,"Low","High")</f>
        <v>Low</v>
      </c>
      <c r="AP736" s="11" t="str">
        <f>IF(AND(HR_Data[[#This Row],[OverTime]]="Yes",HR_Data[[#This Row],[JobSatisfaction]]&lt;=2,HR_Data[[#This Row],[YearsAtCompany]]&lt;=2),"High Risk","Normal")</f>
        <v>Normal</v>
      </c>
    </row>
    <row r="737" spans="1:42" x14ac:dyDescent="0.25">
      <c r="A737" s="6">
        <v>48</v>
      </c>
      <c r="B737" s="4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s="11" t="str">
        <f>IF(HR_Data[[#This Row],[Age]]&lt;=25,"18-25",IF(HR_Data[[#This Row],[Age]]&lt;=35,"26-35",IF(HR_Data[[#This Row],[Age]]&lt;=45,"36-45",IF(HR_Data[[#This Row],[Age]]&lt;=55,"46-55","56+"))))</f>
        <v>46-55</v>
      </c>
      <c r="AK737" s="11" t="str">
        <f>IF(HR_Data[[#This Row],[MonthlyIncome]]&lt;3000,"Low",IF(HR_Data[[#This Row],[MonthlyIncome]]&lt;6000,"Medium",IF(HR_Data[[#This Row],[MonthlyIncome]]&lt;10000,"High","Very High")))</f>
        <v>Medium</v>
      </c>
      <c r="AL73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37" t="str">
        <f>IF(HR_Data[[#This Row],[TotalWorkingYears]]&lt;=5,"Junior",IF(HR_Data[[#This Row],[TotalWorkingYears]]&lt;=15,"Mid-Level","Senior"))</f>
        <v>Senior</v>
      </c>
      <c r="AN737" s="11" t="str">
        <f>IF(HR_Data[[#This Row],[PerformanceRating]]=3,"Standard","Excellent")</f>
        <v>Standard</v>
      </c>
      <c r="AO737" s="11" t="str">
        <f>IF(HR_Data[[#This Row],[JobSatisfaction]]&lt;=2,"Low","High")</f>
        <v>High</v>
      </c>
      <c r="AP737" s="11" t="str">
        <f>IF(AND(HR_Data[[#This Row],[OverTime]]="Yes",HR_Data[[#This Row],[JobSatisfaction]]&lt;=2,HR_Data[[#This Row],[YearsAtCompany]]&lt;=2),"High Risk","Normal")</f>
        <v>Normal</v>
      </c>
    </row>
    <row r="738" spans="1:42" x14ac:dyDescent="0.25">
      <c r="A738" s="6">
        <v>48</v>
      </c>
      <c r="B738" s="4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s="11" t="str">
        <f>IF(HR_Data[[#This Row],[Age]]&lt;=25,"18-25",IF(HR_Data[[#This Row],[Age]]&lt;=35,"26-35",IF(HR_Data[[#This Row],[Age]]&lt;=45,"36-45",IF(HR_Data[[#This Row],[Age]]&lt;=55,"46-55","56+"))))</f>
        <v>46-55</v>
      </c>
      <c r="AK738" s="11" t="str">
        <f>IF(HR_Data[[#This Row],[MonthlyIncome]]&lt;3000,"Low",IF(HR_Data[[#This Row],[MonthlyIncome]]&lt;6000,"Medium",IF(HR_Data[[#This Row],[MonthlyIncome]]&lt;10000,"High","Very High")))</f>
        <v>Very High</v>
      </c>
      <c r="AL73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738" t="str">
        <f>IF(HR_Data[[#This Row],[TotalWorkingYears]]&lt;=5,"Junior",IF(HR_Data[[#This Row],[TotalWorkingYears]]&lt;=15,"Mid-Level","Senior"))</f>
        <v>Senior</v>
      </c>
      <c r="AN738" s="11" t="str">
        <f>IF(HR_Data[[#This Row],[PerformanceRating]]=3,"Standard","Excellent")</f>
        <v>Standard</v>
      </c>
      <c r="AO738" s="11" t="str">
        <f>IF(HR_Data[[#This Row],[JobSatisfaction]]&lt;=2,"Low","High")</f>
        <v>High</v>
      </c>
      <c r="AP738" s="11" t="str">
        <f>IF(AND(HR_Data[[#This Row],[OverTime]]="Yes",HR_Data[[#This Row],[JobSatisfaction]]&lt;=2,HR_Data[[#This Row],[YearsAtCompany]]&lt;=2),"High Risk","Normal")</f>
        <v>Normal</v>
      </c>
    </row>
    <row r="739" spans="1:42" x14ac:dyDescent="0.25">
      <c r="A739" s="6">
        <v>41</v>
      </c>
      <c r="B739" s="4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s="11" t="str">
        <f>IF(HR_Data[[#This Row],[Age]]&lt;=25,"18-25",IF(HR_Data[[#This Row],[Age]]&lt;=35,"26-35",IF(HR_Data[[#This Row],[Age]]&lt;=45,"36-45",IF(HR_Data[[#This Row],[Age]]&lt;=55,"46-55","56+"))))</f>
        <v>36-45</v>
      </c>
      <c r="AK739" s="11" t="str">
        <f>IF(HR_Data[[#This Row],[MonthlyIncome]]&lt;3000,"Low",IF(HR_Data[[#This Row],[MonthlyIncome]]&lt;6000,"Medium",IF(HR_Data[[#This Row],[MonthlyIncome]]&lt;10000,"High","Very High")))</f>
        <v>Medium</v>
      </c>
      <c r="AL73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39" t="str">
        <f>IF(HR_Data[[#This Row],[TotalWorkingYears]]&lt;=5,"Junior",IF(HR_Data[[#This Row],[TotalWorkingYears]]&lt;=15,"Mid-Level","Senior"))</f>
        <v>Mid-Level</v>
      </c>
      <c r="AN739" s="11" t="str">
        <f>IF(HR_Data[[#This Row],[PerformanceRating]]=3,"Standard","Excellent")</f>
        <v>Standard</v>
      </c>
      <c r="AO739" s="11" t="str">
        <f>IF(HR_Data[[#This Row],[JobSatisfaction]]&lt;=2,"Low","High")</f>
        <v>High</v>
      </c>
      <c r="AP739" s="11" t="str">
        <f>IF(AND(HR_Data[[#This Row],[OverTime]]="Yes",HR_Data[[#This Row],[JobSatisfaction]]&lt;=2,HR_Data[[#This Row],[YearsAtCompany]]&lt;=2),"High Risk","Normal")</f>
        <v>Normal</v>
      </c>
    </row>
    <row r="740" spans="1:42" x14ac:dyDescent="0.25">
      <c r="A740" s="6">
        <v>39</v>
      </c>
      <c r="B740" s="4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s="11" t="str">
        <f>IF(HR_Data[[#This Row],[Age]]&lt;=25,"18-25",IF(HR_Data[[#This Row],[Age]]&lt;=35,"26-35",IF(HR_Data[[#This Row],[Age]]&lt;=45,"36-45",IF(HR_Data[[#This Row],[Age]]&lt;=55,"46-55","56+"))))</f>
        <v>36-45</v>
      </c>
      <c r="AK740" s="11" t="str">
        <f>IF(HR_Data[[#This Row],[MonthlyIncome]]&lt;3000,"Low",IF(HR_Data[[#This Row],[MonthlyIncome]]&lt;6000,"Medium",IF(HR_Data[[#This Row],[MonthlyIncome]]&lt;10000,"High","Very High")))</f>
        <v>Very High</v>
      </c>
      <c r="AL74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40" t="str">
        <f>IF(HR_Data[[#This Row],[TotalWorkingYears]]&lt;=5,"Junior",IF(HR_Data[[#This Row],[TotalWorkingYears]]&lt;=15,"Mid-Level","Senior"))</f>
        <v>Senior</v>
      </c>
      <c r="AN740" s="11" t="str">
        <f>IF(HR_Data[[#This Row],[PerformanceRating]]=3,"Standard","Excellent")</f>
        <v>Standard</v>
      </c>
      <c r="AO740" s="11" t="str">
        <f>IF(HR_Data[[#This Row],[JobSatisfaction]]&lt;=2,"Low","High")</f>
        <v>High</v>
      </c>
      <c r="AP740" s="11" t="str">
        <f>IF(AND(HR_Data[[#This Row],[OverTime]]="Yes",HR_Data[[#This Row],[JobSatisfaction]]&lt;=2,HR_Data[[#This Row],[YearsAtCompany]]&lt;=2),"High Risk","Normal")</f>
        <v>Normal</v>
      </c>
    </row>
    <row r="741" spans="1:42" x14ac:dyDescent="0.25">
      <c r="A741" s="6">
        <v>27</v>
      </c>
      <c r="B741" s="4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s="11" t="str">
        <f>IF(HR_Data[[#This Row],[Age]]&lt;=25,"18-25",IF(HR_Data[[#This Row],[Age]]&lt;=35,"26-35",IF(HR_Data[[#This Row],[Age]]&lt;=45,"36-45",IF(HR_Data[[#This Row],[Age]]&lt;=55,"46-55","56+"))))</f>
        <v>26-35</v>
      </c>
      <c r="AK741" s="11" t="str">
        <f>IF(HR_Data[[#This Row],[MonthlyIncome]]&lt;3000,"Low",IF(HR_Data[[#This Row],[MonthlyIncome]]&lt;6000,"Medium",IF(HR_Data[[#This Row],[MonthlyIncome]]&lt;10000,"High","Very High")))</f>
        <v>Medium</v>
      </c>
      <c r="AL74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41" t="str">
        <f>IF(HR_Data[[#This Row],[TotalWorkingYears]]&lt;=5,"Junior",IF(HR_Data[[#This Row],[TotalWorkingYears]]&lt;=15,"Mid-Level","Senior"))</f>
        <v>Junior</v>
      </c>
      <c r="AN741" s="11" t="str">
        <f>IF(HR_Data[[#This Row],[PerformanceRating]]=3,"Standard","Excellent")</f>
        <v>Standard</v>
      </c>
      <c r="AO741" s="11" t="str">
        <f>IF(HR_Data[[#This Row],[JobSatisfaction]]&lt;=2,"Low","High")</f>
        <v>High</v>
      </c>
      <c r="AP741" s="11" t="str">
        <f>IF(AND(HR_Data[[#This Row],[OverTime]]="Yes",HR_Data[[#This Row],[JobSatisfaction]]&lt;=2,HR_Data[[#This Row],[YearsAtCompany]]&lt;=2),"High Risk","Normal")</f>
        <v>Normal</v>
      </c>
    </row>
    <row r="742" spans="1:42" x14ac:dyDescent="0.25">
      <c r="A742" s="6">
        <v>35</v>
      </c>
      <c r="B742" s="4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s="11" t="str">
        <f>IF(HR_Data[[#This Row],[Age]]&lt;=25,"18-25",IF(HR_Data[[#This Row],[Age]]&lt;=35,"26-35",IF(HR_Data[[#This Row],[Age]]&lt;=45,"36-45",IF(HR_Data[[#This Row],[Age]]&lt;=55,"46-55","56+"))))</f>
        <v>26-35</v>
      </c>
      <c r="AK742" s="11" t="str">
        <f>IF(HR_Data[[#This Row],[MonthlyIncome]]&lt;3000,"Low",IF(HR_Data[[#This Row],[MonthlyIncome]]&lt;6000,"Medium",IF(HR_Data[[#This Row],[MonthlyIncome]]&lt;10000,"High","Very High")))</f>
        <v>Medium</v>
      </c>
      <c r="AL74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42" t="str">
        <f>IF(HR_Data[[#This Row],[TotalWorkingYears]]&lt;=5,"Junior",IF(HR_Data[[#This Row],[TotalWorkingYears]]&lt;=15,"Mid-Level","Senior"))</f>
        <v>Junior</v>
      </c>
      <c r="AN742" s="11" t="str">
        <f>IF(HR_Data[[#This Row],[PerformanceRating]]=3,"Standard","Excellent")</f>
        <v>Excellent</v>
      </c>
      <c r="AO742" s="11" t="str">
        <f>IF(HR_Data[[#This Row],[JobSatisfaction]]&lt;=2,"Low","High")</f>
        <v>High</v>
      </c>
      <c r="AP742" s="11" t="str">
        <f>IF(AND(HR_Data[[#This Row],[OverTime]]="Yes",HR_Data[[#This Row],[JobSatisfaction]]&lt;=2,HR_Data[[#This Row],[YearsAtCompany]]&lt;=2),"High Risk","Normal")</f>
        <v>Normal</v>
      </c>
    </row>
    <row r="743" spans="1:42" x14ac:dyDescent="0.25">
      <c r="A743" s="6">
        <v>42</v>
      </c>
      <c r="B743" s="4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s="11" t="str">
        <f>IF(HR_Data[[#This Row],[Age]]&lt;=25,"18-25",IF(HR_Data[[#This Row],[Age]]&lt;=35,"26-35",IF(HR_Data[[#This Row],[Age]]&lt;=45,"36-45",IF(HR_Data[[#This Row],[Age]]&lt;=55,"46-55","56+"))))</f>
        <v>36-45</v>
      </c>
      <c r="AK743" s="11" t="str">
        <f>IF(HR_Data[[#This Row],[MonthlyIncome]]&lt;3000,"Low",IF(HR_Data[[#This Row],[MonthlyIncome]]&lt;6000,"Medium",IF(HR_Data[[#This Row],[MonthlyIncome]]&lt;10000,"High","Very High")))</f>
        <v>Very High</v>
      </c>
      <c r="AL74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43" t="str">
        <f>IF(HR_Data[[#This Row],[TotalWorkingYears]]&lt;=5,"Junior",IF(HR_Data[[#This Row],[TotalWorkingYears]]&lt;=15,"Mid-Level","Senior"))</f>
        <v>Senior</v>
      </c>
      <c r="AN743" s="11" t="str">
        <f>IF(HR_Data[[#This Row],[PerformanceRating]]=3,"Standard","Excellent")</f>
        <v>Standard</v>
      </c>
      <c r="AO743" s="11" t="str">
        <f>IF(HR_Data[[#This Row],[JobSatisfaction]]&lt;=2,"Low","High")</f>
        <v>High</v>
      </c>
      <c r="AP743" s="11" t="str">
        <f>IF(AND(HR_Data[[#This Row],[OverTime]]="Yes",HR_Data[[#This Row],[JobSatisfaction]]&lt;=2,HR_Data[[#This Row],[YearsAtCompany]]&lt;=2),"High Risk","Normal")</f>
        <v>Normal</v>
      </c>
    </row>
    <row r="744" spans="1:42" x14ac:dyDescent="0.25">
      <c r="A744" s="6">
        <v>50</v>
      </c>
      <c r="B744" s="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s="11" t="str">
        <f>IF(HR_Data[[#This Row],[Age]]&lt;=25,"18-25",IF(HR_Data[[#This Row],[Age]]&lt;=35,"26-35",IF(HR_Data[[#This Row],[Age]]&lt;=45,"36-45",IF(HR_Data[[#This Row],[Age]]&lt;=55,"46-55","56+"))))</f>
        <v>46-55</v>
      </c>
      <c r="AK744" s="11" t="str">
        <f>IF(HR_Data[[#This Row],[MonthlyIncome]]&lt;3000,"Low",IF(HR_Data[[#This Row],[MonthlyIncome]]&lt;6000,"Medium",IF(HR_Data[[#This Row],[MonthlyIncome]]&lt;10000,"High","Very High")))</f>
        <v>Low</v>
      </c>
      <c r="AL74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44" t="str">
        <f>IF(HR_Data[[#This Row],[TotalWorkingYears]]&lt;=5,"Junior",IF(HR_Data[[#This Row],[TotalWorkingYears]]&lt;=15,"Mid-Level","Senior"))</f>
        <v>Mid-Level</v>
      </c>
      <c r="AN744" s="11" t="str">
        <f>IF(HR_Data[[#This Row],[PerformanceRating]]=3,"Standard","Excellent")</f>
        <v>Standard</v>
      </c>
      <c r="AO744" s="11" t="str">
        <f>IF(HR_Data[[#This Row],[JobSatisfaction]]&lt;=2,"Low","High")</f>
        <v>High</v>
      </c>
      <c r="AP744" s="11" t="str">
        <f>IF(AND(HR_Data[[#This Row],[OverTime]]="Yes",HR_Data[[#This Row],[JobSatisfaction]]&lt;=2,HR_Data[[#This Row],[YearsAtCompany]]&lt;=2),"High Risk","Normal")</f>
        <v>Normal</v>
      </c>
    </row>
    <row r="745" spans="1:42" x14ac:dyDescent="0.25">
      <c r="A745" s="6">
        <v>59</v>
      </c>
      <c r="B745" s="4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s="11" t="str">
        <f>IF(HR_Data[[#This Row],[Age]]&lt;=25,"18-25",IF(HR_Data[[#This Row],[Age]]&lt;=35,"26-35",IF(HR_Data[[#This Row],[Age]]&lt;=45,"36-45",IF(HR_Data[[#This Row],[Age]]&lt;=55,"46-55","56+"))))</f>
        <v>56+</v>
      </c>
      <c r="AK745" s="11" t="str">
        <f>IF(HR_Data[[#This Row],[MonthlyIncome]]&lt;3000,"Low",IF(HR_Data[[#This Row],[MonthlyIncome]]&lt;6000,"Medium",IF(HR_Data[[#This Row],[MonthlyIncome]]&lt;10000,"High","Very High")))</f>
        <v>Very High</v>
      </c>
      <c r="AL74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45" t="str">
        <f>IF(HR_Data[[#This Row],[TotalWorkingYears]]&lt;=5,"Junior",IF(HR_Data[[#This Row],[TotalWorkingYears]]&lt;=15,"Mid-Level","Senior"))</f>
        <v>Senior</v>
      </c>
      <c r="AN745" s="11" t="str">
        <f>IF(HR_Data[[#This Row],[PerformanceRating]]=3,"Standard","Excellent")</f>
        <v>Standard</v>
      </c>
      <c r="AO745" s="11" t="str">
        <f>IF(HR_Data[[#This Row],[JobSatisfaction]]&lt;=2,"Low","High")</f>
        <v>High</v>
      </c>
      <c r="AP745" s="11" t="str">
        <f>IF(AND(HR_Data[[#This Row],[OverTime]]="Yes",HR_Data[[#This Row],[JobSatisfaction]]&lt;=2,HR_Data[[#This Row],[YearsAtCompany]]&lt;=2),"High Risk","Normal")</f>
        <v>Normal</v>
      </c>
    </row>
    <row r="746" spans="1:42" x14ac:dyDescent="0.25">
      <c r="A746" s="6">
        <v>37</v>
      </c>
      <c r="B746" s="4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s="11" t="str">
        <f>IF(HR_Data[[#This Row],[Age]]&lt;=25,"18-25",IF(HR_Data[[#This Row],[Age]]&lt;=35,"26-35",IF(HR_Data[[#This Row],[Age]]&lt;=45,"36-45",IF(HR_Data[[#This Row],[Age]]&lt;=55,"46-55","56+"))))</f>
        <v>36-45</v>
      </c>
      <c r="AK746" s="11" t="str">
        <f>IF(HR_Data[[#This Row],[MonthlyIncome]]&lt;3000,"Low",IF(HR_Data[[#This Row],[MonthlyIncome]]&lt;6000,"Medium",IF(HR_Data[[#This Row],[MonthlyIncome]]&lt;10000,"High","Very High")))</f>
        <v>Medium</v>
      </c>
      <c r="AL74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46" t="str">
        <f>IF(HR_Data[[#This Row],[TotalWorkingYears]]&lt;=5,"Junior",IF(HR_Data[[#This Row],[TotalWorkingYears]]&lt;=15,"Mid-Level","Senior"))</f>
        <v>Mid-Level</v>
      </c>
      <c r="AN746" s="11" t="str">
        <f>IF(HR_Data[[#This Row],[PerformanceRating]]=3,"Standard","Excellent")</f>
        <v>Standard</v>
      </c>
      <c r="AO746" s="11" t="str">
        <f>IF(HR_Data[[#This Row],[JobSatisfaction]]&lt;=2,"Low","High")</f>
        <v>Low</v>
      </c>
      <c r="AP746" s="11" t="str">
        <f>IF(AND(HR_Data[[#This Row],[OverTime]]="Yes",HR_Data[[#This Row],[JobSatisfaction]]&lt;=2,HR_Data[[#This Row],[YearsAtCompany]]&lt;=2),"High Risk","Normal")</f>
        <v>Normal</v>
      </c>
    </row>
    <row r="747" spans="1:42" x14ac:dyDescent="0.25">
      <c r="A747" s="6">
        <v>55</v>
      </c>
      <c r="B747" s="4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s="11" t="str">
        <f>IF(HR_Data[[#This Row],[Age]]&lt;=25,"18-25",IF(HR_Data[[#This Row],[Age]]&lt;=35,"26-35",IF(HR_Data[[#This Row],[Age]]&lt;=45,"36-45",IF(HR_Data[[#This Row],[Age]]&lt;=55,"46-55","56+"))))</f>
        <v>46-55</v>
      </c>
      <c r="AK747" s="11" t="str">
        <f>IF(HR_Data[[#This Row],[MonthlyIncome]]&lt;3000,"Low",IF(HR_Data[[#This Row],[MonthlyIncome]]&lt;6000,"Medium",IF(HR_Data[[#This Row],[MonthlyIncome]]&lt;10000,"High","Very High")))</f>
        <v>High</v>
      </c>
      <c r="AL74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47" t="str">
        <f>IF(HR_Data[[#This Row],[TotalWorkingYears]]&lt;=5,"Junior",IF(HR_Data[[#This Row],[TotalWorkingYears]]&lt;=15,"Mid-Level","Senior"))</f>
        <v>Senior</v>
      </c>
      <c r="AN747" s="11" t="str">
        <f>IF(HR_Data[[#This Row],[PerformanceRating]]=3,"Standard","Excellent")</f>
        <v>Standard</v>
      </c>
      <c r="AO747" s="11" t="str">
        <f>IF(HR_Data[[#This Row],[JobSatisfaction]]&lt;=2,"Low","High")</f>
        <v>Low</v>
      </c>
      <c r="AP747" s="11" t="str">
        <f>IF(AND(HR_Data[[#This Row],[OverTime]]="Yes",HR_Data[[#This Row],[JobSatisfaction]]&lt;=2,HR_Data[[#This Row],[YearsAtCompany]]&lt;=2),"High Risk","Normal")</f>
        <v>Normal</v>
      </c>
    </row>
    <row r="748" spans="1:42" x14ac:dyDescent="0.25">
      <c r="A748" s="6">
        <v>41</v>
      </c>
      <c r="B748" s="4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s="11" t="str">
        <f>IF(HR_Data[[#This Row],[Age]]&lt;=25,"18-25",IF(HR_Data[[#This Row],[Age]]&lt;=35,"26-35",IF(HR_Data[[#This Row],[Age]]&lt;=45,"36-45",IF(HR_Data[[#This Row],[Age]]&lt;=55,"46-55","56+"))))</f>
        <v>36-45</v>
      </c>
      <c r="AK748" s="11" t="str">
        <f>IF(HR_Data[[#This Row],[MonthlyIncome]]&lt;3000,"Low",IF(HR_Data[[#This Row],[MonthlyIncome]]&lt;6000,"Medium",IF(HR_Data[[#This Row],[MonthlyIncome]]&lt;10000,"High","Very High")))</f>
        <v>Very High</v>
      </c>
      <c r="AL74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48" t="str">
        <f>IF(HR_Data[[#This Row],[TotalWorkingYears]]&lt;=5,"Junior",IF(HR_Data[[#This Row],[TotalWorkingYears]]&lt;=15,"Mid-Level","Senior"))</f>
        <v>Senior</v>
      </c>
      <c r="AN748" s="11" t="str">
        <f>IF(HR_Data[[#This Row],[PerformanceRating]]=3,"Standard","Excellent")</f>
        <v>Excellent</v>
      </c>
      <c r="AO748" s="11" t="str">
        <f>IF(HR_Data[[#This Row],[JobSatisfaction]]&lt;=2,"Low","High")</f>
        <v>High</v>
      </c>
      <c r="AP748" s="11" t="str">
        <f>IF(AND(HR_Data[[#This Row],[OverTime]]="Yes",HR_Data[[#This Row],[JobSatisfaction]]&lt;=2,HR_Data[[#This Row],[YearsAtCompany]]&lt;=2),"High Risk","Normal")</f>
        <v>Normal</v>
      </c>
    </row>
    <row r="749" spans="1:42" x14ac:dyDescent="0.25">
      <c r="A749" s="6">
        <v>38</v>
      </c>
      <c r="B749" s="4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s="11" t="str">
        <f>IF(HR_Data[[#This Row],[Age]]&lt;=25,"18-25",IF(HR_Data[[#This Row],[Age]]&lt;=35,"26-35",IF(HR_Data[[#This Row],[Age]]&lt;=45,"36-45",IF(HR_Data[[#This Row],[Age]]&lt;=55,"46-55","56+"))))</f>
        <v>36-45</v>
      </c>
      <c r="AK749" s="11" t="str">
        <f>IF(HR_Data[[#This Row],[MonthlyIncome]]&lt;3000,"Low",IF(HR_Data[[#This Row],[MonthlyIncome]]&lt;6000,"Medium",IF(HR_Data[[#This Row],[MonthlyIncome]]&lt;10000,"High","Very High")))</f>
        <v>High</v>
      </c>
      <c r="AL74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49" t="str">
        <f>IF(HR_Data[[#This Row],[TotalWorkingYears]]&lt;=5,"Junior",IF(HR_Data[[#This Row],[TotalWorkingYears]]&lt;=15,"Mid-Level","Senior"))</f>
        <v>Senior</v>
      </c>
      <c r="AN749" s="11" t="str">
        <f>IF(HR_Data[[#This Row],[PerformanceRating]]=3,"Standard","Excellent")</f>
        <v>Standard</v>
      </c>
      <c r="AO749" s="11" t="str">
        <f>IF(HR_Data[[#This Row],[JobSatisfaction]]&lt;=2,"Low","High")</f>
        <v>High</v>
      </c>
      <c r="AP749" s="11" t="str">
        <f>IF(AND(HR_Data[[#This Row],[OverTime]]="Yes",HR_Data[[#This Row],[JobSatisfaction]]&lt;=2,HR_Data[[#This Row],[YearsAtCompany]]&lt;=2),"High Risk","Normal")</f>
        <v>Normal</v>
      </c>
    </row>
    <row r="750" spans="1:42" x14ac:dyDescent="0.25">
      <c r="A750" s="6">
        <v>26</v>
      </c>
      <c r="B750" s="4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s="11" t="str">
        <f>IF(HR_Data[[#This Row],[Age]]&lt;=25,"18-25",IF(HR_Data[[#This Row],[Age]]&lt;=35,"26-35",IF(HR_Data[[#This Row],[Age]]&lt;=45,"36-45",IF(HR_Data[[#This Row],[Age]]&lt;=55,"46-55","56+"))))</f>
        <v>26-35</v>
      </c>
      <c r="AK750" s="11" t="str">
        <f>IF(HR_Data[[#This Row],[MonthlyIncome]]&lt;3000,"Low",IF(HR_Data[[#This Row],[MonthlyIncome]]&lt;6000,"Medium",IF(HR_Data[[#This Row],[MonthlyIncome]]&lt;10000,"High","Very High")))</f>
        <v>Medium</v>
      </c>
      <c r="AL75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50" t="str">
        <f>IF(HR_Data[[#This Row],[TotalWorkingYears]]&lt;=5,"Junior",IF(HR_Data[[#This Row],[TotalWorkingYears]]&lt;=15,"Mid-Level","Senior"))</f>
        <v>Mid-Level</v>
      </c>
      <c r="AN750" s="11" t="str">
        <f>IF(HR_Data[[#This Row],[PerformanceRating]]=3,"Standard","Excellent")</f>
        <v>Standard</v>
      </c>
      <c r="AO750" s="11" t="str">
        <f>IF(HR_Data[[#This Row],[JobSatisfaction]]&lt;=2,"Low","High")</f>
        <v>Low</v>
      </c>
      <c r="AP750" s="11" t="str">
        <f>IF(AND(HR_Data[[#This Row],[OverTime]]="Yes",HR_Data[[#This Row],[JobSatisfaction]]&lt;=2,HR_Data[[#This Row],[YearsAtCompany]]&lt;=2),"High Risk","Normal")</f>
        <v>Normal</v>
      </c>
    </row>
    <row r="751" spans="1:42" x14ac:dyDescent="0.25">
      <c r="A751" s="6">
        <v>52</v>
      </c>
      <c r="B751" s="4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s="11" t="str">
        <f>IF(HR_Data[[#This Row],[Age]]&lt;=25,"18-25",IF(HR_Data[[#This Row],[Age]]&lt;=35,"26-35",IF(HR_Data[[#This Row],[Age]]&lt;=45,"36-45",IF(HR_Data[[#This Row],[Age]]&lt;=55,"46-55","56+"))))</f>
        <v>46-55</v>
      </c>
      <c r="AK751" s="11" t="str">
        <f>IF(HR_Data[[#This Row],[MonthlyIncome]]&lt;3000,"Low",IF(HR_Data[[#This Row],[MonthlyIncome]]&lt;6000,"Medium",IF(HR_Data[[#This Row],[MonthlyIncome]]&lt;10000,"High","Very High")))</f>
        <v>Very High</v>
      </c>
      <c r="AL751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51" t="str">
        <f>IF(HR_Data[[#This Row],[TotalWorkingYears]]&lt;=5,"Junior",IF(HR_Data[[#This Row],[TotalWorkingYears]]&lt;=15,"Mid-Level","Senior"))</f>
        <v>Senior</v>
      </c>
      <c r="AN751" s="11" t="str">
        <f>IF(HR_Data[[#This Row],[PerformanceRating]]=3,"Standard","Excellent")</f>
        <v>Standard</v>
      </c>
      <c r="AO751" s="11" t="str">
        <f>IF(HR_Data[[#This Row],[JobSatisfaction]]&lt;=2,"Low","High")</f>
        <v>High</v>
      </c>
      <c r="AP751" s="11" t="str">
        <f>IF(AND(HR_Data[[#This Row],[OverTime]]="Yes",HR_Data[[#This Row],[JobSatisfaction]]&lt;=2,HR_Data[[#This Row],[YearsAtCompany]]&lt;=2),"High Risk","Normal")</f>
        <v>Normal</v>
      </c>
    </row>
    <row r="752" spans="1:42" x14ac:dyDescent="0.25">
      <c r="A752" s="6">
        <v>44</v>
      </c>
      <c r="B752" s="4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s="11" t="str">
        <f>IF(HR_Data[[#This Row],[Age]]&lt;=25,"18-25",IF(HR_Data[[#This Row],[Age]]&lt;=35,"26-35",IF(HR_Data[[#This Row],[Age]]&lt;=45,"36-45",IF(HR_Data[[#This Row],[Age]]&lt;=55,"46-55","56+"))))</f>
        <v>36-45</v>
      </c>
      <c r="AK752" s="11" t="str">
        <f>IF(HR_Data[[#This Row],[MonthlyIncome]]&lt;3000,"Low",IF(HR_Data[[#This Row],[MonthlyIncome]]&lt;6000,"Medium",IF(HR_Data[[#This Row],[MonthlyIncome]]&lt;10000,"High","Very High")))</f>
        <v>Very High</v>
      </c>
      <c r="AL75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752" t="str">
        <f>IF(HR_Data[[#This Row],[TotalWorkingYears]]&lt;=5,"Junior",IF(HR_Data[[#This Row],[TotalWorkingYears]]&lt;=15,"Mid-Level","Senior"))</f>
        <v>Senior</v>
      </c>
      <c r="AN752" s="11" t="str">
        <f>IF(HR_Data[[#This Row],[PerformanceRating]]=3,"Standard","Excellent")</f>
        <v>Standard</v>
      </c>
      <c r="AO752" s="11" t="str">
        <f>IF(HR_Data[[#This Row],[JobSatisfaction]]&lt;=2,"Low","High")</f>
        <v>High</v>
      </c>
      <c r="AP752" s="11" t="str">
        <f>IF(AND(HR_Data[[#This Row],[OverTime]]="Yes",HR_Data[[#This Row],[JobSatisfaction]]&lt;=2,HR_Data[[#This Row],[YearsAtCompany]]&lt;=2),"High Risk","Normal")</f>
        <v>Normal</v>
      </c>
    </row>
    <row r="753" spans="1:42" x14ac:dyDescent="0.25">
      <c r="A753" s="6">
        <v>50</v>
      </c>
      <c r="B753" s="4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s="11" t="str">
        <f>IF(HR_Data[[#This Row],[Age]]&lt;=25,"18-25",IF(HR_Data[[#This Row],[Age]]&lt;=35,"26-35",IF(HR_Data[[#This Row],[Age]]&lt;=45,"36-45",IF(HR_Data[[#This Row],[Age]]&lt;=55,"46-55","56+"))))</f>
        <v>46-55</v>
      </c>
      <c r="AK753" s="11" t="str">
        <f>IF(HR_Data[[#This Row],[MonthlyIncome]]&lt;3000,"Low",IF(HR_Data[[#This Row],[MonthlyIncome]]&lt;6000,"Medium",IF(HR_Data[[#This Row],[MonthlyIncome]]&lt;10000,"High","Very High")))</f>
        <v>High</v>
      </c>
      <c r="AL75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53" t="str">
        <f>IF(HR_Data[[#This Row],[TotalWorkingYears]]&lt;=5,"Junior",IF(HR_Data[[#This Row],[TotalWorkingYears]]&lt;=15,"Mid-Level","Senior"))</f>
        <v>Senior</v>
      </c>
      <c r="AN753" s="11" t="str">
        <f>IF(HR_Data[[#This Row],[PerformanceRating]]=3,"Standard","Excellent")</f>
        <v>Standard</v>
      </c>
      <c r="AO753" s="11" t="str">
        <f>IF(HR_Data[[#This Row],[JobSatisfaction]]&lt;=2,"Low","High")</f>
        <v>High</v>
      </c>
      <c r="AP753" s="11" t="str">
        <f>IF(AND(HR_Data[[#This Row],[OverTime]]="Yes",HR_Data[[#This Row],[JobSatisfaction]]&lt;=2,HR_Data[[#This Row],[YearsAtCompany]]&lt;=2),"High Risk","Normal")</f>
        <v>Normal</v>
      </c>
    </row>
    <row r="754" spans="1:42" x14ac:dyDescent="0.25">
      <c r="A754" s="6">
        <v>36</v>
      </c>
      <c r="B754" s="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s="11" t="str">
        <f>IF(HR_Data[[#This Row],[Age]]&lt;=25,"18-25",IF(HR_Data[[#This Row],[Age]]&lt;=35,"26-35",IF(HR_Data[[#This Row],[Age]]&lt;=45,"36-45",IF(HR_Data[[#This Row],[Age]]&lt;=55,"46-55","56+"))))</f>
        <v>36-45</v>
      </c>
      <c r="AK754" s="11" t="str">
        <f>IF(HR_Data[[#This Row],[MonthlyIncome]]&lt;3000,"Low",IF(HR_Data[[#This Row],[MonthlyIncome]]&lt;6000,"Medium",IF(HR_Data[[#This Row],[MonthlyIncome]]&lt;10000,"High","Very High")))</f>
        <v>Low</v>
      </c>
      <c r="AL754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54" t="str">
        <f>IF(HR_Data[[#This Row],[TotalWorkingYears]]&lt;=5,"Junior",IF(HR_Data[[#This Row],[TotalWorkingYears]]&lt;=15,"Mid-Level","Senior"))</f>
        <v>Senior</v>
      </c>
      <c r="AN754" s="11" t="str">
        <f>IF(HR_Data[[#This Row],[PerformanceRating]]=3,"Standard","Excellent")</f>
        <v>Standard</v>
      </c>
      <c r="AO754" s="11" t="str">
        <f>IF(HR_Data[[#This Row],[JobSatisfaction]]&lt;=2,"Low","High")</f>
        <v>Low</v>
      </c>
      <c r="AP754" s="11" t="str">
        <f>IF(AND(HR_Data[[#This Row],[OverTime]]="Yes",HR_Data[[#This Row],[JobSatisfaction]]&lt;=2,HR_Data[[#This Row],[YearsAtCompany]]&lt;=2),"High Risk","Normal")</f>
        <v>Normal</v>
      </c>
    </row>
    <row r="755" spans="1:42" x14ac:dyDescent="0.25">
      <c r="A755" s="6">
        <v>39</v>
      </c>
      <c r="B755" s="4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s="11" t="str">
        <f>IF(HR_Data[[#This Row],[Age]]&lt;=25,"18-25",IF(HR_Data[[#This Row],[Age]]&lt;=35,"26-35",IF(HR_Data[[#This Row],[Age]]&lt;=45,"36-45",IF(HR_Data[[#This Row],[Age]]&lt;=55,"46-55","56+"))))</f>
        <v>36-45</v>
      </c>
      <c r="AK755" s="11" t="str">
        <f>IF(HR_Data[[#This Row],[MonthlyIncome]]&lt;3000,"Low",IF(HR_Data[[#This Row],[MonthlyIncome]]&lt;6000,"Medium",IF(HR_Data[[#This Row],[MonthlyIncome]]&lt;10000,"High","Very High")))</f>
        <v>Very High</v>
      </c>
      <c r="AL75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55" t="str">
        <f>IF(HR_Data[[#This Row],[TotalWorkingYears]]&lt;=5,"Junior",IF(HR_Data[[#This Row],[TotalWorkingYears]]&lt;=15,"Mid-Level","Senior"))</f>
        <v>Senior</v>
      </c>
      <c r="AN755" s="11" t="str">
        <f>IF(HR_Data[[#This Row],[PerformanceRating]]=3,"Standard","Excellent")</f>
        <v>Standard</v>
      </c>
      <c r="AO755" s="11" t="str">
        <f>IF(HR_Data[[#This Row],[JobSatisfaction]]&lt;=2,"Low","High")</f>
        <v>Low</v>
      </c>
      <c r="AP755" s="11" t="str">
        <f>IF(AND(HR_Data[[#This Row],[OverTime]]="Yes",HR_Data[[#This Row],[JobSatisfaction]]&lt;=2,HR_Data[[#This Row],[YearsAtCompany]]&lt;=2),"High Risk","Normal")</f>
        <v>Normal</v>
      </c>
    </row>
    <row r="756" spans="1:42" x14ac:dyDescent="0.25">
      <c r="A756" s="6">
        <v>33</v>
      </c>
      <c r="B756" s="4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s="11" t="str">
        <f>IF(HR_Data[[#This Row],[Age]]&lt;=25,"18-25",IF(HR_Data[[#This Row],[Age]]&lt;=35,"26-35",IF(HR_Data[[#This Row],[Age]]&lt;=45,"36-45",IF(HR_Data[[#This Row],[Age]]&lt;=55,"46-55","56+"))))</f>
        <v>26-35</v>
      </c>
      <c r="AK756" s="11" t="str">
        <f>IF(HR_Data[[#This Row],[MonthlyIncome]]&lt;3000,"Low",IF(HR_Data[[#This Row],[MonthlyIncome]]&lt;6000,"Medium",IF(HR_Data[[#This Row],[MonthlyIncome]]&lt;10000,"High","Very High")))</f>
        <v>Low</v>
      </c>
      <c r="AL75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56" t="str">
        <f>IF(HR_Data[[#This Row],[TotalWorkingYears]]&lt;=5,"Junior",IF(HR_Data[[#This Row],[TotalWorkingYears]]&lt;=15,"Mid-Level","Senior"))</f>
        <v>Junior</v>
      </c>
      <c r="AN756" s="11" t="str">
        <f>IF(HR_Data[[#This Row],[PerformanceRating]]=3,"Standard","Excellent")</f>
        <v>Standard</v>
      </c>
      <c r="AO756" s="11" t="str">
        <f>IF(HR_Data[[#This Row],[JobSatisfaction]]&lt;=2,"Low","High")</f>
        <v>High</v>
      </c>
      <c r="AP756" s="11" t="str">
        <f>IF(AND(HR_Data[[#This Row],[OverTime]]="Yes",HR_Data[[#This Row],[JobSatisfaction]]&lt;=2,HR_Data[[#This Row],[YearsAtCompany]]&lt;=2),"High Risk","Normal")</f>
        <v>Normal</v>
      </c>
    </row>
    <row r="757" spans="1:42" x14ac:dyDescent="0.25">
      <c r="A757" s="6">
        <v>45</v>
      </c>
      <c r="B757" s="4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s="11" t="str">
        <f>IF(HR_Data[[#This Row],[Age]]&lt;=25,"18-25",IF(HR_Data[[#This Row],[Age]]&lt;=35,"26-35",IF(HR_Data[[#This Row],[Age]]&lt;=45,"36-45",IF(HR_Data[[#This Row],[Age]]&lt;=55,"46-55","56+"))))</f>
        <v>36-45</v>
      </c>
      <c r="AK757" s="11" t="str">
        <f>IF(HR_Data[[#This Row],[MonthlyIncome]]&lt;3000,"Low",IF(HR_Data[[#This Row],[MonthlyIncome]]&lt;6000,"Medium",IF(HR_Data[[#This Row],[MonthlyIncome]]&lt;10000,"High","Very High")))</f>
        <v>Very High</v>
      </c>
      <c r="AL75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57" t="str">
        <f>IF(HR_Data[[#This Row],[TotalWorkingYears]]&lt;=5,"Junior",IF(HR_Data[[#This Row],[TotalWorkingYears]]&lt;=15,"Mid-Level","Senior"))</f>
        <v>Senior</v>
      </c>
      <c r="AN757" s="11" t="str">
        <f>IF(HR_Data[[#This Row],[PerformanceRating]]=3,"Standard","Excellent")</f>
        <v>Standard</v>
      </c>
      <c r="AO757" s="11" t="str">
        <f>IF(HR_Data[[#This Row],[JobSatisfaction]]&lt;=2,"Low","High")</f>
        <v>High</v>
      </c>
      <c r="AP757" s="11" t="str">
        <f>IF(AND(HR_Data[[#This Row],[OverTime]]="Yes",HR_Data[[#This Row],[JobSatisfaction]]&lt;=2,HR_Data[[#This Row],[YearsAtCompany]]&lt;=2),"High Risk","Normal")</f>
        <v>Normal</v>
      </c>
    </row>
    <row r="758" spans="1:42" x14ac:dyDescent="0.25">
      <c r="A758" s="6">
        <v>32</v>
      </c>
      <c r="B758" s="4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s="11" t="str">
        <f>IF(HR_Data[[#This Row],[Age]]&lt;=25,"18-25",IF(HR_Data[[#This Row],[Age]]&lt;=35,"26-35",IF(HR_Data[[#This Row],[Age]]&lt;=45,"36-45",IF(HR_Data[[#This Row],[Age]]&lt;=55,"46-55","56+"))))</f>
        <v>26-35</v>
      </c>
      <c r="AK758" s="11" t="str">
        <f>IF(HR_Data[[#This Row],[MonthlyIncome]]&lt;3000,"Low",IF(HR_Data[[#This Row],[MonthlyIncome]]&lt;6000,"Medium",IF(HR_Data[[#This Row],[MonthlyIncome]]&lt;10000,"High","Very High")))</f>
        <v>Medium</v>
      </c>
      <c r="AL75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58" t="str">
        <f>IF(HR_Data[[#This Row],[TotalWorkingYears]]&lt;=5,"Junior",IF(HR_Data[[#This Row],[TotalWorkingYears]]&lt;=15,"Mid-Level","Senior"))</f>
        <v>Mid-Level</v>
      </c>
      <c r="AN758" s="11" t="str">
        <f>IF(HR_Data[[#This Row],[PerformanceRating]]=3,"Standard","Excellent")</f>
        <v>Standard</v>
      </c>
      <c r="AO758" s="11" t="str">
        <f>IF(HR_Data[[#This Row],[JobSatisfaction]]&lt;=2,"Low","High")</f>
        <v>High</v>
      </c>
      <c r="AP758" s="11" t="str">
        <f>IF(AND(HR_Data[[#This Row],[OverTime]]="Yes",HR_Data[[#This Row],[JobSatisfaction]]&lt;=2,HR_Data[[#This Row],[YearsAtCompany]]&lt;=2),"High Risk","Normal")</f>
        <v>Normal</v>
      </c>
    </row>
    <row r="759" spans="1:42" x14ac:dyDescent="0.25">
      <c r="A759" s="6">
        <v>34</v>
      </c>
      <c r="B759" s="4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s="11" t="str">
        <f>IF(HR_Data[[#This Row],[Age]]&lt;=25,"18-25",IF(HR_Data[[#This Row],[Age]]&lt;=35,"26-35",IF(HR_Data[[#This Row],[Age]]&lt;=45,"36-45",IF(HR_Data[[#This Row],[Age]]&lt;=55,"46-55","56+"))))</f>
        <v>26-35</v>
      </c>
      <c r="AK759" s="11" t="str">
        <f>IF(HR_Data[[#This Row],[MonthlyIncome]]&lt;3000,"Low",IF(HR_Data[[#This Row],[MonthlyIncome]]&lt;6000,"Medium",IF(HR_Data[[#This Row],[MonthlyIncome]]&lt;10000,"High","Very High")))</f>
        <v>High</v>
      </c>
      <c r="AL75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759" t="str">
        <f>IF(HR_Data[[#This Row],[TotalWorkingYears]]&lt;=5,"Junior",IF(HR_Data[[#This Row],[TotalWorkingYears]]&lt;=15,"Mid-Level","Senior"))</f>
        <v>Senior</v>
      </c>
      <c r="AN759" s="11" t="str">
        <f>IF(HR_Data[[#This Row],[PerformanceRating]]=3,"Standard","Excellent")</f>
        <v>Standard</v>
      </c>
      <c r="AO759" s="11" t="str">
        <f>IF(HR_Data[[#This Row],[JobSatisfaction]]&lt;=2,"Low","High")</f>
        <v>High</v>
      </c>
      <c r="AP759" s="11" t="str">
        <f>IF(AND(HR_Data[[#This Row],[OverTime]]="Yes",HR_Data[[#This Row],[JobSatisfaction]]&lt;=2,HR_Data[[#This Row],[YearsAtCompany]]&lt;=2),"High Risk","Normal")</f>
        <v>Normal</v>
      </c>
    </row>
    <row r="760" spans="1:42" x14ac:dyDescent="0.25">
      <c r="A760" s="6">
        <v>59</v>
      </c>
      <c r="B760" s="4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s="11" t="str">
        <f>IF(HR_Data[[#This Row],[Age]]&lt;=25,"18-25",IF(HR_Data[[#This Row],[Age]]&lt;=35,"26-35",IF(HR_Data[[#This Row],[Age]]&lt;=45,"36-45",IF(HR_Data[[#This Row],[Age]]&lt;=55,"46-55","56+"))))</f>
        <v>56+</v>
      </c>
      <c r="AK760" s="11" t="str">
        <f>IF(HR_Data[[#This Row],[MonthlyIncome]]&lt;3000,"Low",IF(HR_Data[[#This Row],[MonthlyIncome]]&lt;6000,"Medium",IF(HR_Data[[#This Row],[MonthlyIncome]]&lt;10000,"High","Very High")))</f>
        <v>Very High</v>
      </c>
      <c r="AL76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60" t="str">
        <f>IF(HR_Data[[#This Row],[TotalWorkingYears]]&lt;=5,"Junior",IF(HR_Data[[#This Row],[TotalWorkingYears]]&lt;=15,"Mid-Level","Senior"))</f>
        <v>Mid-Level</v>
      </c>
      <c r="AN760" s="11" t="str">
        <f>IF(HR_Data[[#This Row],[PerformanceRating]]=3,"Standard","Excellent")</f>
        <v>Standard</v>
      </c>
      <c r="AO760" s="11" t="str">
        <f>IF(HR_Data[[#This Row],[JobSatisfaction]]&lt;=2,"Low","High")</f>
        <v>High</v>
      </c>
      <c r="AP760" s="11" t="str">
        <f>IF(AND(HR_Data[[#This Row],[OverTime]]="Yes",HR_Data[[#This Row],[JobSatisfaction]]&lt;=2,HR_Data[[#This Row],[YearsAtCompany]]&lt;=2),"High Risk","Normal")</f>
        <v>Normal</v>
      </c>
    </row>
    <row r="761" spans="1:42" x14ac:dyDescent="0.25">
      <c r="A761" s="6">
        <v>45</v>
      </c>
      <c r="B761" s="4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s="11" t="str">
        <f>IF(HR_Data[[#This Row],[Age]]&lt;=25,"18-25",IF(HR_Data[[#This Row],[Age]]&lt;=35,"26-35",IF(HR_Data[[#This Row],[Age]]&lt;=45,"36-45",IF(HR_Data[[#This Row],[Age]]&lt;=55,"46-55","56+"))))</f>
        <v>36-45</v>
      </c>
      <c r="AK761" s="11" t="str">
        <f>IF(HR_Data[[#This Row],[MonthlyIncome]]&lt;3000,"Low",IF(HR_Data[[#This Row],[MonthlyIncome]]&lt;6000,"Medium",IF(HR_Data[[#This Row],[MonthlyIncome]]&lt;10000,"High","Very High")))</f>
        <v>Low</v>
      </c>
      <c r="AL76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61" t="str">
        <f>IF(HR_Data[[#This Row],[TotalWorkingYears]]&lt;=5,"Junior",IF(HR_Data[[#This Row],[TotalWorkingYears]]&lt;=15,"Mid-Level","Senior"))</f>
        <v>Mid-Level</v>
      </c>
      <c r="AN761" s="11" t="str">
        <f>IF(HR_Data[[#This Row],[PerformanceRating]]=3,"Standard","Excellent")</f>
        <v>Standard</v>
      </c>
      <c r="AO761" s="11" t="str">
        <f>IF(HR_Data[[#This Row],[JobSatisfaction]]&lt;=2,"Low","High")</f>
        <v>Low</v>
      </c>
      <c r="AP761" s="11" t="str">
        <f>IF(AND(HR_Data[[#This Row],[OverTime]]="Yes",HR_Data[[#This Row],[JobSatisfaction]]&lt;=2,HR_Data[[#This Row],[YearsAtCompany]]&lt;=2),"High Risk","Normal")</f>
        <v>Normal</v>
      </c>
    </row>
    <row r="762" spans="1:42" x14ac:dyDescent="0.25">
      <c r="A762" s="6">
        <v>53</v>
      </c>
      <c r="B762" s="4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s="11" t="str">
        <f>IF(HR_Data[[#This Row],[Age]]&lt;=25,"18-25",IF(HR_Data[[#This Row],[Age]]&lt;=35,"26-35",IF(HR_Data[[#This Row],[Age]]&lt;=45,"36-45",IF(HR_Data[[#This Row],[Age]]&lt;=55,"46-55","56+"))))</f>
        <v>46-55</v>
      </c>
      <c r="AK762" s="11" t="str">
        <f>IF(HR_Data[[#This Row],[MonthlyIncome]]&lt;3000,"Low",IF(HR_Data[[#This Row],[MonthlyIncome]]&lt;6000,"Medium",IF(HR_Data[[#This Row],[MonthlyIncome]]&lt;10000,"High","Very High")))</f>
        <v>High</v>
      </c>
      <c r="AL76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762" t="str">
        <f>IF(HR_Data[[#This Row],[TotalWorkingYears]]&lt;=5,"Junior",IF(HR_Data[[#This Row],[TotalWorkingYears]]&lt;=15,"Mid-Level","Senior"))</f>
        <v>Senior</v>
      </c>
      <c r="AN762" s="11" t="str">
        <f>IF(HR_Data[[#This Row],[PerformanceRating]]=3,"Standard","Excellent")</f>
        <v>Standard</v>
      </c>
      <c r="AO762" s="11" t="str">
        <f>IF(HR_Data[[#This Row],[JobSatisfaction]]&lt;=2,"Low","High")</f>
        <v>Low</v>
      </c>
      <c r="AP762" s="11" t="str">
        <f>IF(AND(HR_Data[[#This Row],[OverTime]]="Yes",HR_Data[[#This Row],[JobSatisfaction]]&lt;=2,HR_Data[[#This Row],[YearsAtCompany]]&lt;=2),"High Risk","Normal")</f>
        <v>Normal</v>
      </c>
    </row>
    <row r="763" spans="1:42" x14ac:dyDescent="0.25">
      <c r="A763" s="6">
        <v>36</v>
      </c>
      <c r="B763" s="4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s="11" t="str">
        <f>IF(HR_Data[[#This Row],[Age]]&lt;=25,"18-25",IF(HR_Data[[#This Row],[Age]]&lt;=35,"26-35",IF(HR_Data[[#This Row],[Age]]&lt;=45,"36-45",IF(HR_Data[[#This Row],[Age]]&lt;=55,"46-55","56+"))))</f>
        <v>36-45</v>
      </c>
      <c r="AK763" s="11" t="str">
        <f>IF(HR_Data[[#This Row],[MonthlyIncome]]&lt;3000,"Low",IF(HR_Data[[#This Row],[MonthlyIncome]]&lt;6000,"Medium",IF(HR_Data[[#This Row],[MonthlyIncome]]&lt;10000,"High","Very High")))</f>
        <v>Medium</v>
      </c>
      <c r="AL76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63" t="str">
        <f>IF(HR_Data[[#This Row],[TotalWorkingYears]]&lt;=5,"Junior",IF(HR_Data[[#This Row],[TotalWorkingYears]]&lt;=15,"Mid-Level","Senior"))</f>
        <v>Mid-Level</v>
      </c>
      <c r="AN763" s="11" t="str">
        <f>IF(HR_Data[[#This Row],[PerformanceRating]]=3,"Standard","Excellent")</f>
        <v>Standard</v>
      </c>
      <c r="AO763" s="11" t="str">
        <f>IF(HR_Data[[#This Row],[JobSatisfaction]]&lt;=2,"Low","High")</f>
        <v>High</v>
      </c>
      <c r="AP763" s="11" t="str">
        <f>IF(AND(HR_Data[[#This Row],[OverTime]]="Yes",HR_Data[[#This Row],[JobSatisfaction]]&lt;=2,HR_Data[[#This Row],[YearsAtCompany]]&lt;=2),"High Risk","Normal")</f>
        <v>Normal</v>
      </c>
    </row>
    <row r="764" spans="1:42" x14ac:dyDescent="0.25">
      <c r="A764" s="6">
        <v>26</v>
      </c>
      <c r="B764" s="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s="11" t="str">
        <f>IF(HR_Data[[#This Row],[Age]]&lt;=25,"18-25",IF(HR_Data[[#This Row],[Age]]&lt;=35,"26-35",IF(HR_Data[[#This Row],[Age]]&lt;=45,"36-45",IF(HR_Data[[#This Row],[Age]]&lt;=55,"46-55","56+"))))</f>
        <v>26-35</v>
      </c>
      <c r="AK764" s="11" t="str">
        <f>IF(HR_Data[[#This Row],[MonthlyIncome]]&lt;3000,"Low",IF(HR_Data[[#This Row],[MonthlyIncome]]&lt;6000,"Medium",IF(HR_Data[[#This Row],[MonthlyIncome]]&lt;10000,"High","Very High")))</f>
        <v>Low</v>
      </c>
      <c r="AL76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64" t="str">
        <f>IF(HR_Data[[#This Row],[TotalWorkingYears]]&lt;=5,"Junior",IF(HR_Data[[#This Row],[TotalWorkingYears]]&lt;=15,"Mid-Level","Senior"))</f>
        <v>Mid-Level</v>
      </c>
      <c r="AN764" s="11" t="str">
        <f>IF(HR_Data[[#This Row],[PerformanceRating]]=3,"Standard","Excellent")</f>
        <v>Standard</v>
      </c>
      <c r="AO764" s="11" t="str">
        <f>IF(HR_Data[[#This Row],[JobSatisfaction]]&lt;=2,"Low","High")</f>
        <v>Low</v>
      </c>
      <c r="AP764" s="11" t="str">
        <f>IF(AND(HR_Data[[#This Row],[OverTime]]="Yes",HR_Data[[#This Row],[JobSatisfaction]]&lt;=2,HR_Data[[#This Row],[YearsAtCompany]]&lt;=2),"High Risk","Normal")</f>
        <v>Normal</v>
      </c>
    </row>
    <row r="765" spans="1:42" x14ac:dyDescent="0.25">
      <c r="A765" s="6">
        <v>34</v>
      </c>
      <c r="B765" s="4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s="11" t="str">
        <f>IF(HR_Data[[#This Row],[Age]]&lt;=25,"18-25",IF(HR_Data[[#This Row],[Age]]&lt;=35,"26-35",IF(HR_Data[[#This Row],[Age]]&lt;=45,"36-45",IF(HR_Data[[#This Row],[Age]]&lt;=55,"46-55","56+"))))</f>
        <v>26-35</v>
      </c>
      <c r="AK765" s="11" t="str">
        <f>IF(HR_Data[[#This Row],[MonthlyIncome]]&lt;3000,"Low",IF(HR_Data[[#This Row],[MonthlyIncome]]&lt;6000,"Medium",IF(HR_Data[[#This Row],[MonthlyIncome]]&lt;10000,"High","Very High")))</f>
        <v>Low</v>
      </c>
      <c r="AL76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65" t="str">
        <f>IF(HR_Data[[#This Row],[TotalWorkingYears]]&lt;=5,"Junior",IF(HR_Data[[#This Row],[TotalWorkingYears]]&lt;=15,"Mid-Level","Senior"))</f>
        <v>Junior</v>
      </c>
      <c r="AN765" s="11" t="str">
        <f>IF(HR_Data[[#This Row],[PerformanceRating]]=3,"Standard","Excellent")</f>
        <v>Standard</v>
      </c>
      <c r="AO765" s="11" t="str">
        <f>IF(HR_Data[[#This Row],[JobSatisfaction]]&lt;=2,"Low","High")</f>
        <v>High</v>
      </c>
      <c r="AP765" s="11" t="str">
        <f>IF(AND(HR_Data[[#This Row],[OverTime]]="Yes",HR_Data[[#This Row],[JobSatisfaction]]&lt;=2,HR_Data[[#This Row],[YearsAtCompany]]&lt;=2),"High Risk","Normal")</f>
        <v>Normal</v>
      </c>
    </row>
    <row r="766" spans="1:42" x14ac:dyDescent="0.25">
      <c r="A766" s="6">
        <v>28</v>
      </c>
      <c r="B766" s="4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s="11" t="str">
        <f>IF(HR_Data[[#This Row],[Age]]&lt;=25,"18-25",IF(HR_Data[[#This Row],[Age]]&lt;=35,"26-35",IF(HR_Data[[#This Row],[Age]]&lt;=45,"36-45",IF(HR_Data[[#This Row],[Age]]&lt;=55,"46-55","56+"))))</f>
        <v>26-35</v>
      </c>
      <c r="AK766" s="11" t="str">
        <f>IF(HR_Data[[#This Row],[MonthlyIncome]]&lt;3000,"Low",IF(HR_Data[[#This Row],[MonthlyIncome]]&lt;6000,"Medium",IF(HR_Data[[#This Row],[MonthlyIncome]]&lt;10000,"High","Very High")))</f>
        <v>Low</v>
      </c>
      <c r="AL76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66" t="str">
        <f>IF(HR_Data[[#This Row],[TotalWorkingYears]]&lt;=5,"Junior",IF(HR_Data[[#This Row],[TotalWorkingYears]]&lt;=15,"Mid-Level","Senior"))</f>
        <v>Junior</v>
      </c>
      <c r="AN766" s="11" t="str">
        <f>IF(HR_Data[[#This Row],[PerformanceRating]]=3,"Standard","Excellent")</f>
        <v>Excellent</v>
      </c>
      <c r="AO766" s="11" t="str">
        <f>IF(HR_Data[[#This Row],[JobSatisfaction]]&lt;=2,"Low","High")</f>
        <v>Low</v>
      </c>
      <c r="AP766" s="11" t="str">
        <f>IF(AND(HR_Data[[#This Row],[OverTime]]="Yes",HR_Data[[#This Row],[JobSatisfaction]]&lt;=2,HR_Data[[#This Row],[YearsAtCompany]]&lt;=2),"High Risk","Normal")</f>
        <v>Normal</v>
      </c>
    </row>
    <row r="767" spans="1:42" x14ac:dyDescent="0.25">
      <c r="A767" s="6">
        <v>38</v>
      </c>
      <c r="B767" s="4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s="11" t="str">
        <f>IF(HR_Data[[#This Row],[Age]]&lt;=25,"18-25",IF(HR_Data[[#This Row],[Age]]&lt;=35,"26-35",IF(HR_Data[[#This Row],[Age]]&lt;=45,"36-45",IF(HR_Data[[#This Row],[Age]]&lt;=55,"46-55","56+"))))</f>
        <v>36-45</v>
      </c>
      <c r="AK767" s="11" t="str">
        <f>IF(HR_Data[[#This Row],[MonthlyIncome]]&lt;3000,"Low",IF(HR_Data[[#This Row],[MonthlyIncome]]&lt;6000,"Medium",IF(HR_Data[[#This Row],[MonthlyIncome]]&lt;10000,"High","Very High")))</f>
        <v>Low</v>
      </c>
      <c r="AL76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67" t="str">
        <f>IF(HR_Data[[#This Row],[TotalWorkingYears]]&lt;=5,"Junior",IF(HR_Data[[#This Row],[TotalWorkingYears]]&lt;=15,"Mid-Level","Senior"))</f>
        <v>Mid-Level</v>
      </c>
      <c r="AN767" s="11" t="str">
        <f>IF(HR_Data[[#This Row],[PerformanceRating]]=3,"Standard","Excellent")</f>
        <v>Standard</v>
      </c>
      <c r="AO767" s="11" t="str">
        <f>IF(HR_Data[[#This Row],[JobSatisfaction]]&lt;=2,"Low","High")</f>
        <v>High</v>
      </c>
      <c r="AP767" s="11" t="str">
        <f>IF(AND(HR_Data[[#This Row],[OverTime]]="Yes",HR_Data[[#This Row],[JobSatisfaction]]&lt;=2,HR_Data[[#This Row],[YearsAtCompany]]&lt;=2),"High Risk","Normal")</f>
        <v>Normal</v>
      </c>
    </row>
    <row r="768" spans="1:42" x14ac:dyDescent="0.25">
      <c r="A768" s="6">
        <v>50</v>
      </c>
      <c r="B768" s="4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s="11" t="str">
        <f>IF(HR_Data[[#This Row],[Age]]&lt;=25,"18-25",IF(HR_Data[[#This Row],[Age]]&lt;=35,"26-35",IF(HR_Data[[#This Row],[Age]]&lt;=45,"36-45",IF(HR_Data[[#This Row],[Age]]&lt;=55,"46-55","56+"))))</f>
        <v>46-55</v>
      </c>
      <c r="AK768" s="11" t="str">
        <f>IF(HR_Data[[#This Row],[MonthlyIncome]]&lt;3000,"Low",IF(HR_Data[[#This Row],[MonthlyIncome]]&lt;6000,"Medium",IF(HR_Data[[#This Row],[MonthlyIncome]]&lt;10000,"High","Very High")))</f>
        <v>Very High</v>
      </c>
      <c r="AL76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68" t="str">
        <f>IF(HR_Data[[#This Row],[TotalWorkingYears]]&lt;=5,"Junior",IF(HR_Data[[#This Row],[TotalWorkingYears]]&lt;=15,"Mid-Level","Senior"))</f>
        <v>Senior</v>
      </c>
      <c r="AN768" s="11" t="str">
        <f>IF(HR_Data[[#This Row],[PerformanceRating]]=3,"Standard","Excellent")</f>
        <v>Standard</v>
      </c>
      <c r="AO768" s="11" t="str">
        <f>IF(HR_Data[[#This Row],[JobSatisfaction]]&lt;=2,"Low","High")</f>
        <v>High</v>
      </c>
      <c r="AP768" s="11" t="str">
        <f>IF(AND(HR_Data[[#This Row],[OverTime]]="Yes",HR_Data[[#This Row],[JobSatisfaction]]&lt;=2,HR_Data[[#This Row],[YearsAtCompany]]&lt;=2),"High Risk","Normal")</f>
        <v>Normal</v>
      </c>
    </row>
    <row r="769" spans="1:42" x14ac:dyDescent="0.25">
      <c r="A769" s="6">
        <v>37</v>
      </c>
      <c r="B769" s="4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s="11" t="str">
        <f>IF(HR_Data[[#This Row],[Age]]&lt;=25,"18-25",IF(HR_Data[[#This Row],[Age]]&lt;=35,"26-35",IF(HR_Data[[#This Row],[Age]]&lt;=45,"36-45",IF(HR_Data[[#This Row],[Age]]&lt;=55,"46-55","56+"))))</f>
        <v>36-45</v>
      </c>
      <c r="AK769" s="11" t="str">
        <f>IF(HR_Data[[#This Row],[MonthlyIncome]]&lt;3000,"Low",IF(HR_Data[[#This Row],[MonthlyIncome]]&lt;6000,"Medium",IF(HR_Data[[#This Row],[MonthlyIncome]]&lt;10000,"High","Very High")))</f>
        <v>Medium</v>
      </c>
      <c r="AL76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69" t="str">
        <f>IF(HR_Data[[#This Row],[TotalWorkingYears]]&lt;=5,"Junior",IF(HR_Data[[#This Row],[TotalWorkingYears]]&lt;=15,"Mid-Level","Senior"))</f>
        <v>Mid-Level</v>
      </c>
      <c r="AN769" s="11" t="str">
        <f>IF(HR_Data[[#This Row],[PerformanceRating]]=3,"Standard","Excellent")</f>
        <v>Standard</v>
      </c>
      <c r="AO769" s="11" t="str">
        <f>IF(HR_Data[[#This Row],[JobSatisfaction]]&lt;=2,"Low","High")</f>
        <v>Low</v>
      </c>
      <c r="AP769" s="11" t="str">
        <f>IF(AND(HR_Data[[#This Row],[OverTime]]="Yes",HR_Data[[#This Row],[JobSatisfaction]]&lt;=2,HR_Data[[#This Row],[YearsAtCompany]]&lt;=2),"High Risk","Normal")</f>
        <v>Normal</v>
      </c>
    </row>
    <row r="770" spans="1:42" x14ac:dyDescent="0.25">
      <c r="A770" s="6">
        <v>40</v>
      </c>
      <c r="B770" s="4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s="11" t="str">
        <f>IF(HR_Data[[#This Row],[Age]]&lt;=25,"18-25",IF(HR_Data[[#This Row],[Age]]&lt;=35,"26-35",IF(HR_Data[[#This Row],[Age]]&lt;=45,"36-45",IF(HR_Data[[#This Row],[Age]]&lt;=55,"46-55","56+"))))</f>
        <v>36-45</v>
      </c>
      <c r="AK770" s="11" t="str">
        <f>IF(HR_Data[[#This Row],[MonthlyIncome]]&lt;3000,"Low",IF(HR_Data[[#This Row],[MonthlyIncome]]&lt;6000,"Medium",IF(HR_Data[[#This Row],[MonthlyIncome]]&lt;10000,"High","Very High")))</f>
        <v>High</v>
      </c>
      <c r="AL77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70" t="str">
        <f>IF(HR_Data[[#This Row],[TotalWorkingYears]]&lt;=5,"Junior",IF(HR_Data[[#This Row],[TotalWorkingYears]]&lt;=15,"Mid-Level","Senior"))</f>
        <v>Mid-Level</v>
      </c>
      <c r="AN770" s="11" t="str">
        <f>IF(HR_Data[[#This Row],[PerformanceRating]]=3,"Standard","Excellent")</f>
        <v>Standard</v>
      </c>
      <c r="AO770" s="11" t="str">
        <f>IF(HR_Data[[#This Row],[JobSatisfaction]]&lt;=2,"Low","High")</f>
        <v>Low</v>
      </c>
      <c r="AP770" s="11" t="str">
        <f>IF(AND(HR_Data[[#This Row],[OverTime]]="Yes",HR_Data[[#This Row],[JobSatisfaction]]&lt;=2,HR_Data[[#This Row],[YearsAtCompany]]&lt;=2),"High Risk","Normal")</f>
        <v>Normal</v>
      </c>
    </row>
    <row r="771" spans="1:42" x14ac:dyDescent="0.25">
      <c r="A771" s="6">
        <v>26</v>
      </c>
      <c r="B771" s="4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s="11" t="str">
        <f>IF(HR_Data[[#This Row],[Age]]&lt;=25,"18-25",IF(HR_Data[[#This Row],[Age]]&lt;=35,"26-35",IF(HR_Data[[#This Row],[Age]]&lt;=45,"36-45",IF(HR_Data[[#This Row],[Age]]&lt;=55,"46-55","56+"))))</f>
        <v>26-35</v>
      </c>
      <c r="AK771" s="11" t="str">
        <f>IF(HR_Data[[#This Row],[MonthlyIncome]]&lt;3000,"Low",IF(HR_Data[[#This Row],[MonthlyIncome]]&lt;6000,"Medium",IF(HR_Data[[#This Row],[MonthlyIncome]]&lt;10000,"High","Very High")))</f>
        <v>Low</v>
      </c>
      <c r="AL77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71" t="str">
        <f>IF(HR_Data[[#This Row],[TotalWorkingYears]]&lt;=5,"Junior",IF(HR_Data[[#This Row],[TotalWorkingYears]]&lt;=15,"Mid-Level","Senior"))</f>
        <v>Junior</v>
      </c>
      <c r="AN771" s="11" t="str">
        <f>IF(HR_Data[[#This Row],[PerformanceRating]]=3,"Standard","Excellent")</f>
        <v>Standard</v>
      </c>
      <c r="AO771" s="11" t="str">
        <f>IF(HR_Data[[#This Row],[JobSatisfaction]]&lt;=2,"Low","High")</f>
        <v>High</v>
      </c>
      <c r="AP771" s="11" t="str">
        <f>IF(AND(HR_Data[[#This Row],[OverTime]]="Yes",HR_Data[[#This Row],[JobSatisfaction]]&lt;=2,HR_Data[[#This Row],[YearsAtCompany]]&lt;=2),"High Risk","Normal")</f>
        <v>Normal</v>
      </c>
    </row>
    <row r="772" spans="1:42" x14ac:dyDescent="0.25">
      <c r="A772" s="6">
        <v>46</v>
      </c>
      <c r="B772" s="4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s="11" t="str">
        <f>IF(HR_Data[[#This Row],[Age]]&lt;=25,"18-25",IF(HR_Data[[#This Row],[Age]]&lt;=35,"26-35",IF(HR_Data[[#This Row],[Age]]&lt;=45,"36-45",IF(HR_Data[[#This Row],[Age]]&lt;=55,"46-55","56+"))))</f>
        <v>46-55</v>
      </c>
      <c r="AK772" s="11" t="str">
        <f>IF(HR_Data[[#This Row],[MonthlyIncome]]&lt;3000,"Low",IF(HR_Data[[#This Row],[MonthlyIncome]]&lt;6000,"Medium",IF(HR_Data[[#This Row],[MonthlyIncome]]&lt;10000,"High","Very High")))</f>
        <v>Very High</v>
      </c>
      <c r="AL77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72" t="str">
        <f>IF(HR_Data[[#This Row],[TotalWorkingYears]]&lt;=5,"Junior",IF(HR_Data[[#This Row],[TotalWorkingYears]]&lt;=15,"Mid-Level","Senior"))</f>
        <v>Senior</v>
      </c>
      <c r="AN772" s="11" t="str">
        <f>IF(HR_Data[[#This Row],[PerformanceRating]]=3,"Standard","Excellent")</f>
        <v>Standard</v>
      </c>
      <c r="AO772" s="11" t="str">
        <f>IF(HR_Data[[#This Row],[JobSatisfaction]]&lt;=2,"Low","High")</f>
        <v>High</v>
      </c>
      <c r="AP772" s="11" t="str">
        <f>IF(AND(HR_Data[[#This Row],[OverTime]]="Yes",HR_Data[[#This Row],[JobSatisfaction]]&lt;=2,HR_Data[[#This Row],[YearsAtCompany]]&lt;=2),"High Risk","Normal")</f>
        <v>Normal</v>
      </c>
    </row>
    <row r="773" spans="1:42" x14ac:dyDescent="0.25">
      <c r="A773" s="6">
        <v>54</v>
      </c>
      <c r="B773" s="4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s="11" t="str">
        <f>IF(HR_Data[[#This Row],[Age]]&lt;=25,"18-25",IF(HR_Data[[#This Row],[Age]]&lt;=35,"26-35",IF(HR_Data[[#This Row],[Age]]&lt;=45,"36-45",IF(HR_Data[[#This Row],[Age]]&lt;=55,"46-55","56+"))))</f>
        <v>46-55</v>
      </c>
      <c r="AK773" s="11" t="str">
        <f>IF(HR_Data[[#This Row],[MonthlyIncome]]&lt;3000,"Low",IF(HR_Data[[#This Row],[MonthlyIncome]]&lt;6000,"Medium",IF(HR_Data[[#This Row],[MonthlyIncome]]&lt;10000,"High","Very High")))</f>
        <v>Very High</v>
      </c>
      <c r="AL77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73" t="str">
        <f>IF(HR_Data[[#This Row],[TotalWorkingYears]]&lt;=5,"Junior",IF(HR_Data[[#This Row],[TotalWorkingYears]]&lt;=15,"Mid-Level","Senior"))</f>
        <v>Mid-Level</v>
      </c>
      <c r="AN773" s="11" t="str">
        <f>IF(HR_Data[[#This Row],[PerformanceRating]]=3,"Standard","Excellent")</f>
        <v>Standard</v>
      </c>
      <c r="AO773" s="11" t="str">
        <f>IF(HR_Data[[#This Row],[JobSatisfaction]]&lt;=2,"Low","High")</f>
        <v>High</v>
      </c>
      <c r="AP773" s="11" t="str">
        <f>IF(AND(HR_Data[[#This Row],[OverTime]]="Yes",HR_Data[[#This Row],[JobSatisfaction]]&lt;=2,HR_Data[[#This Row],[YearsAtCompany]]&lt;=2),"High Risk","Normal")</f>
        <v>Normal</v>
      </c>
    </row>
    <row r="774" spans="1:42" x14ac:dyDescent="0.25">
      <c r="A774" s="6">
        <v>56</v>
      </c>
      <c r="B774" s="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s="11" t="str">
        <f>IF(HR_Data[[#This Row],[Age]]&lt;=25,"18-25",IF(HR_Data[[#This Row],[Age]]&lt;=35,"26-35",IF(HR_Data[[#This Row],[Age]]&lt;=45,"36-45",IF(HR_Data[[#This Row],[Age]]&lt;=55,"46-55","56+"))))</f>
        <v>56+</v>
      </c>
      <c r="AK774" s="11" t="str">
        <f>IF(HR_Data[[#This Row],[MonthlyIncome]]&lt;3000,"Low",IF(HR_Data[[#This Row],[MonthlyIncome]]&lt;6000,"Medium",IF(HR_Data[[#This Row],[MonthlyIncome]]&lt;10000,"High","Very High")))</f>
        <v>Low</v>
      </c>
      <c r="AL77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74" t="str">
        <f>IF(HR_Data[[#This Row],[TotalWorkingYears]]&lt;=5,"Junior",IF(HR_Data[[#This Row],[TotalWorkingYears]]&lt;=15,"Mid-Level","Senior"))</f>
        <v>Senior</v>
      </c>
      <c r="AN774" s="11" t="str">
        <f>IF(HR_Data[[#This Row],[PerformanceRating]]=3,"Standard","Excellent")</f>
        <v>Standard</v>
      </c>
      <c r="AO774" s="11" t="str">
        <f>IF(HR_Data[[#This Row],[JobSatisfaction]]&lt;=2,"Low","High")</f>
        <v>High</v>
      </c>
      <c r="AP774" s="11" t="str">
        <f>IF(AND(HR_Data[[#This Row],[OverTime]]="Yes",HR_Data[[#This Row],[JobSatisfaction]]&lt;=2,HR_Data[[#This Row],[YearsAtCompany]]&lt;=2),"High Risk","Normal")</f>
        <v>Normal</v>
      </c>
    </row>
    <row r="775" spans="1:42" x14ac:dyDescent="0.25">
      <c r="A775" s="6">
        <v>36</v>
      </c>
      <c r="B775" s="4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s="11" t="str">
        <f>IF(HR_Data[[#This Row],[Age]]&lt;=25,"18-25",IF(HR_Data[[#This Row],[Age]]&lt;=35,"26-35",IF(HR_Data[[#This Row],[Age]]&lt;=45,"36-45",IF(HR_Data[[#This Row],[Age]]&lt;=55,"46-55","56+"))))</f>
        <v>36-45</v>
      </c>
      <c r="AK775" s="11" t="str">
        <f>IF(HR_Data[[#This Row],[MonthlyIncome]]&lt;3000,"Low",IF(HR_Data[[#This Row],[MonthlyIncome]]&lt;6000,"Medium",IF(HR_Data[[#This Row],[MonthlyIncome]]&lt;10000,"High","Very High")))</f>
        <v>High</v>
      </c>
      <c r="AL775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775" t="str">
        <f>IF(HR_Data[[#This Row],[TotalWorkingYears]]&lt;=5,"Junior",IF(HR_Data[[#This Row],[TotalWorkingYears]]&lt;=15,"Mid-Level","Senior"))</f>
        <v>Mid-Level</v>
      </c>
      <c r="AN775" s="11" t="str">
        <f>IF(HR_Data[[#This Row],[PerformanceRating]]=3,"Standard","Excellent")</f>
        <v>Standard</v>
      </c>
      <c r="AO775" s="11" t="str">
        <f>IF(HR_Data[[#This Row],[JobSatisfaction]]&lt;=2,"Low","High")</f>
        <v>High</v>
      </c>
      <c r="AP775" s="11" t="str">
        <f>IF(AND(HR_Data[[#This Row],[OverTime]]="Yes",HR_Data[[#This Row],[JobSatisfaction]]&lt;=2,HR_Data[[#This Row],[YearsAtCompany]]&lt;=2),"High Risk","Normal")</f>
        <v>Normal</v>
      </c>
    </row>
    <row r="776" spans="1:42" x14ac:dyDescent="0.25">
      <c r="A776" s="6">
        <v>55</v>
      </c>
      <c r="B776" s="4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s="11" t="str">
        <f>IF(HR_Data[[#This Row],[Age]]&lt;=25,"18-25",IF(HR_Data[[#This Row],[Age]]&lt;=35,"26-35",IF(HR_Data[[#This Row],[Age]]&lt;=45,"36-45",IF(HR_Data[[#This Row],[Age]]&lt;=55,"46-55","56+"))))</f>
        <v>46-55</v>
      </c>
      <c r="AK776" s="11" t="str">
        <f>IF(HR_Data[[#This Row],[MonthlyIncome]]&lt;3000,"Low",IF(HR_Data[[#This Row],[MonthlyIncome]]&lt;6000,"Medium",IF(HR_Data[[#This Row],[MonthlyIncome]]&lt;10000,"High","Very High")))</f>
        <v>Very High</v>
      </c>
      <c r="AL77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76" t="str">
        <f>IF(HR_Data[[#This Row],[TotalWorkingYears]]&lt;=5,"Junior",IF(HR_Data[[#This Row],[TotalWorkingYears]]&lt;=15,"Mid-Level","Senior"))</f>
        <v>Senior</v>
      </c>
      <c r="AN776" s="11" t="str">
        <f>IF(HR_Data[[#This Row],[PerformanceRating]]=3,"Standard","Excellent")</f>
        <v>Standard</v>
      </c>
      <c r="AO776" s="11" t="str">
        <f>IF(HR_Data[[#This Row],[JobSatisfaction]]&lt;=2,"Low","High")</f>
        <v>Low</v>
      </c>
      <c r="AP776" s="11" t="str">
        <f>IF(AND(HR_Data[[#This Row],[OverTime]]="Yes",HR_Data[[#This Row],[JobSatisfaction]]&lt;=2,HR_Data[[#This Row],[YearsAtCompany]]&lt;=2),"High Risk","Normal")</f>
        <v>Normal</v>
      </c>
    </row>
    <row r="777" spans="1:42" x14ac:dyDescent="0.25">
      <c r="A777" s="6">
        <v>43</v>
      </c>
      <c r="B777" s="4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s="11" t="str">
        <f>IF(HR_Data[[#This Row],[Age]]&lt;=25,"18-25",IF(HR_Data[[#This Row],[Age]]&lt;=35,"26-35",IF(HR_Data[[#This Row],[Age]]&lt;=45,"36-45",IF(HR_Data[[#This Row],[Age]]&lt;=55,"46-55","56+"))))</f>
        <v>36-45</v>
      </c>
      <c r="AK777" s="11" t="str">
        <f>IF(HR_Data[[#This Row],[MonthlyIncome]]&lt;3000,"Low",IF(HR_Data[[#This Row],[MonthlyIncome]]&lt;6000,"Medium",IF(HR_Data[[#This Row],[MonthlyIncome]]&lt;10000,"High","Very High")))</f>
        <v>Very High</v>
      </c>
      <c r="AL77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77" t="str">
        <f>IF(HR_Data[[#This Row],[TotalWorkingYears]]&lt;=5,"Junior",IF(HR_Data[[#This Row],[TotalWorkingYears]]&lt;=15,"Mid-Level","Senior"))</f>
        <v>Senior</v>
      </c>
      <c r="AN777" s="11" t="str">
        <f>IF(HR_Data[[#This Row],[PerformanceRating]]=3,"Standard","Excellent")</f>
        <v>Standard</v>
      </c>
      <c r="AO777" s="11" t="str">
        <f>IF(HR_Data[[#This Row],[JobSatisfaction]]&lt;=2,"Low","High")</f>
        <v>High</v>
      </c>
      <c r="AP777" s="11" t="str">
        <f>IF(AND(HR_Data[[#This Row],[OverTime]]="Yes",HR_Data[[#This Row],[JobSatisfaction]]&lt;=2,HR_Data[[#This Row],[YearsAtCompany]]&lt;=2),"High Risk","Normal")</f>
        <v>Normal</v>
      </c>
    </row>
    <row r="778" spans="1:42" x14ac:dyDescent="0.25">
      <c r="A778" s="6">
        <v>20</v>
      </c>
      <c r="B778" s="4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s="11" t="str">
        <f>IF(HR_Data[[#This Row],[Age]]&lt;=25,"18-25",IF(HR_Data[[#This Row],[Age]]&lt;=35,"26-35",IF(HR_Data[[#This Row],[Age]]&lt;=45,"36-45",IF(HR_Data[[#This Row],[Age]]&lt;=55,"46-55","56+"))))</f>
        <v>18-25</v>
      </c>
      <c r="AK778" s="11" t="str">
        <f>IF(HR_Data[[#This Row],[MonthlyIncome]]&lt;3000,"Low",IF(HR_Data[[#This Row],[MonthlyIncome]]&lt;6000,"Medium",IF(HR_Data[[#This Row],[MonthlyIncome]]&lt;10000,"High","Very High")))</f>
        <v>Low</v>
      </c>
      <c r="AL77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78" t="str">
        <f>IF(HR_Data[[#This Row],[TotalWorkingYears]]&lt;=5,"Junior",IF(HR_Data[[#This Row],[TotalWorkingYears]]&lt;=15,"Mid-Level","Senior"))</f>
        <v>Junior</v>
      </c>
      <c r="AN778" s="11" t="str">
        <f>IF(HR_Data[[#This Row],[PerformanceRating]]=3,"Standard","Excellent")</f>
        <v>Standard</v>
      </c>
      <c r="AO778" s="11" t="str">
        <f>IF(HR_Data[[#This Row],[JobSatisfaction]]&lt;=2,"Low","High")</f>
        <v>High</v>
      </c>
      <c r="AP778" s="11" t="str">
        <f>IF(AND(HR_Data[[#This Row],[OverTime]]="Yes",HR_Data[[#This Row],[JobSatisfaction]]&lt;=2,HR_Data[[#This Row],[YearsAtCompany]]&lt;=2),"High Risk","Normal")</f>
        <v>Normal</v>
      </c>
    </row>
    <row r="779" spans="1:42" x14ac:dyDescent="0.25">
      <c r="A779" s="6">
        <v>21</v>
      </c>
      <c r="B779" s="4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s="11" t="str">
        <f>IF(HR_Data[[#This Row],[Age]]&lt;=25,"18-25",IF(HR_Data[[#This Row],[Age]]&lt;=35,"26-35",IF(HR_Data[[#This Row],[Age]]&lt;=45,"36-45",IF(HR_Data[[#This Row],[Age]]&lt;=55,"46-55","56+"))))</f>
        <v>18-25</v>
      </c>
      <c r="AK779" s="11" t="str">
        <f>IF(HR_Data[[#This Row],[MonthlyIncome]]&lt;3000,"Low",IF(HR_Data[[#This Row],[MonthlyIncome]]&lt;6000,"Medium",IF(HR_Data[[#This Row],[MonthlyIncome]]&lt;10000,"High","Very High")))</f>
        <v>Low</v>
      </c>
      <c r="AL77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79" t="str">
        <f>IF(HR_Data[[#This Row],[TotalWorkingYears]]&lt;=5,"Junior",IF(HR_Data[[#This Row],[TotalWorkingYears]]&lt;=15,"Mid-Level","Senior"))</f>
        <v>Junior</v>
      </c>
      <c r="AN779" s="11" t="str">
        <f>IF(HR_Data[[#This Row],[PerformanceRating]]=3,"Standard","Excellent")</f>
        <v>Standard</v>
      </c>
      <c r="AO779" s="11" t="str">
        <f>IF(HR_Data[[#This Row],[JobSatisfaction]]&lt;=2,"Low","High")</f>
        <v>Low</v>
      </c>
      <c r="AP779" s="11" t="str">
        <f>IF(AND(HR_Data[[#This Row],[OverTime]]="Yes",HR_Data[[#This Row],[JobSatisfaction]]&lt;=2,HR_Data[[#This Row],[YearsAtCompany]]&lt;=2),"High Risk","Normal")</f>
        <v>Normal</v>
      </c>
    </row>
    <row r="780" spans="1:42" x14ac:dyDescent="0.25">
      <c r="A780" s="6">
        <v>46</v>
      </c>
      <c r="B780" s="4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s="11" t="str">
        <f>IF(HR_Data[[#This Row],[Age]]&lt;=25,"18-25",IF(HR_Data[[#This Row],[Age]]&lt;=35,"26-35",IF(HR_Data[[#This Row],[Age]]&lt;=45,"36-45",IF(HR_Data[[#This Row],[Age]]&lt;=55,"46-55","56+"))))</f>
        <v>46-55</v>
      </c>
      <c r="AK780" s="11" t="str">
        <f>IF(HR_Data[[#This Row],[MonthlyIncome]]&lt;3000,"Low",IF(HR_Data[[#This Row],[MonthlyIncome]]&lt;6000,"Medium",IF(HR_Data[[#This Row],[MonthlyIncome]]&lt;10000,"High","Very High")))</f>
        <v>Medium</v>
      </c>
      <c r="AL78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80" t="str">
        <f>IF(HR_Data[[#This Row],[TotalWorkingYears]]&lt;=5,"Junior",IF(HR_Data[[#This Row],[TotalWorkingYears]]&lt;=15,"Mid-Level","Senior"))</f>
        <v>Senior</v>
      </c>
      <c r="AN780" s="11" t="str">
        <f>IF(HR_Data[[#This Row],[PerformanceRating]]=3,"Standard","Excellent")</f>
        <v>Excellent</v>
      </c>
      <c r="AO780" s="11" t="str">
        <f>IF(HR_Data[[#This Row],[JobSatisfaction]]&lt;=2,"Low","High")</f>
        <v>Low</v>
      </c>
      <c r="AP780" s="11" t="str">
        <f>IF(AND(HR_Data[[#This Row],[OverTime]]="Yes",HR_Data[[#This Row],[JobSatisfaction]]&lt;=2,HR_Data[[#This Row],[YearsAtCompany]]&lt;=2),"High Risk","Normal")</f>
        <v>Normal</v>
      </c>
    </row>
    <row r="781" spans="1:42" x14ac:dyDescent="0.25">
      <c r="A781" s="6">
        <v>51</v>
      </c>
      <c r="B781" s="4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s="11" t="str">
        <f>IF(HR_Data[[#This Row],[Age]]&lt;=25,"18-25",IF(HR_Data[[#This Row],[Age]]&lt;=35,"26-35",IF(HR_Data[[#This Row],[Age]]&lt;=45,"36-45",IF(HR_Data[[#This Row],[Age]]&lt;=55,"46-55","56+"))))</f>
        <v>46-55</v>
      </c>
      <c r="AK781" s="11" t="str">
        <f>IF(HR_Data[[#This Row],[MonthlyIncome]]&lt;3000,"Low",IF(HR_Data[[#This Row],[MonthlyIncome]]&lt;6000,"Medium",IF(HR_Data[[#This Row],[MonthlyIncome]]&lt;10000,"High","Very High")))</f>
        <v>Low</v>
      </c>
      <c r="AL78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81" t="str">
        <f>IF(HR_Data[[#This Row],[TotalWorkingYears]]&lt;=5,"Junior",IF(HR_Data[[#This Row],[TotalWorkingYears]]&lt;=15,"Mid-Level","Senior"))</f>
        <v>Senior</v>
      </c>
      <c r="AN781" s="11" t="str">
        <f>IF(HR_Data[[#This Row],[PerformanceRating]]=3,"Standard","Excellent")</f>
        <v>Standard</v>
      </c>
      <c r="AO781" s="11" t="str">
        <f>IF(HR_Data[[#This Row],[JobSatisfaction]]&lt;=2,"Low","High")</f>
        <v>High</v>
      </c>
      <c r="AP781" s="11" t="str">
        <f>IF(AND(HR_Data[[#This Row],[OverTime]]="Yes",HR_Data[[#This Row],[JobSatisfaction]]&lt;=2,HR_Data[[#This Row],[YearsAtCompany]]&lt;=2),"High Risk","Normal")</f>
        <v>Normal</v>
      </c>
    </row>
    <row r="782" spans="1:42" x14ac:dyDescent="0.25">
      <c r="A782" s="6">
        <v>28</v>
      </c>
      <c r="B782" s="4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s="11" t="str">
        <f>IF(HR_Data[[#This Row],[Age]]&lt;=25,"18-25",IF(HR_Data[[#This Row],[Age]]&lt;=35,"26-35",IF(HR_Data[[#This Row],[Age]]&lt;=45,"36-45",IF(HR_Data[[#This Row],[Age]]&lt;=55,"46-55","56+"))))</f>
        <v>26-35</v>
      </c>
      <c r="AK782" s="11" t="str">
        <f>IF(HR_Data[[#This Row],[MonthlyIncome]]&lt;3000,"Low",IF(HR_Data[[#This Row],[MonthlyIncome]]&lt;6000,"Medium",IF(HR_Data[[#This Row],[MonthlyIncome]]&lt;10000,"High","Very High")))</f>
        <v>High</v>
      </c>
      <c r="AL78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82" t="str">
        <f>IF(HR_Data[[#This Row],[TotalWorkingYears]]&lt;=5,"Junior",IF(HR_Data[[#This Row],[TotalWorkingYears]]&lt;=15,"Mid-Level","Senior"))</f>
        <v>Mid-Level</v>
      </c>
      <c r="AN782" s="11" t="str">
        <f>IF(HR_Data[[#This Row],[PerformanceRating]]=3,"Standard","Excellent")</f>
        <v>Standard</v>
      </c>
      <c r="AO782" s="11" t="str">
        <f>IF(HR_Data[[#This Row],[JobSatisfaction]]&lt;=2,"Low","High")</f>
        <v>Low</v>
      </c>
      <c r="AP782" s="11" t="str">
        <f>IF(AND(HR_Data[[#This Row],[OverTime]]="Yes",HR_Data[[#This Row],[JobSatisfaction]]&lt;=2,HR_Data[[#This Row],[YearsAtCompany]]&lt;=2),"High Risk","Normal")</f>
        <v>Normal</v>
      </c>
    </row>
    <row r="783" spans="1:42" x14ac:dyDescent="0.25">
      <c r="A783" s="6">
        <v>26</v>
      </c>
      <c r="B783" s="4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s="11" t="str">
        <f>IF(HR_Data[[#This Row],[Age]]&lt;=25,"18-25",IF(HR_Data[[#This Row],[Age]]&lt;=35,"26-35",IF(HR_Data[[#This Row],[Age]]&lt;=45,"36-45",IF(HR_Data[[#This Row],[Age]]&lt;=55,"46-55","56+"))))</f>
        <v>26-35</v>
      </c>
      <c r="AK783" s="11" t="str">
        <f>IF(HR_Data[[#This Row],[MonthlyIncome]]&lt;3000,"Low",IF(HR_Data[[#This Row],[MonthlyIncome]]&lt;6000,"Medium",IF(HR_Data[[#This Row],[MonthlyIncome]]&lt;10000,"High","Very High")))</f>
        <v>Medium</v>
      </c>
      <c r="AL78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83" t="str">
        <f>IF(HR_Data[[#This Row],[TotalWorkingYears]]&lt;=5,"Junior",IF(HR_Data[[#This Row],[TotalWorkingYears]]&lt;=15,"Mid-Level","Senior"))</f>
        <v>Mid-Level</v>
      </c>
      <c r="AN783" s="11" t="str">
        <f>IF(HR_Data[[#This Row],[PerformanceRating]]=3,"Standard","Excellent")</f>
        <v>Standard</v>
      </c>
      <c r="AO783" s="11" t="str">
        <f>IF(HR_Data[[#This Row],[JobSatisfaction]]&lt;=2,"Low","High")</f>
        <v>Low</v>
      </c>
      <c r="AP783" s="11" t="str">
        <f>IF(AND(HR_Data[[#This Row],[OverTime]]="Yes",HR_Data[[#This Row],[JobSatisfaction]]&lt;=2,HR_Data[[#This Row],[YearsAtCompany]]&lt;=2),"High Risk","Normal")</f>
        <v>Normal</v>
      </c>
    </row>
    <row r="784" spans="1:42" x14ac:dyDescent="0.25">
      <c r="A784" s="6">
        <v>30</v>
      </c>
      <c r="B784" s="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s="11" t="str">
        <f>IF(HR_Data[[#This Row],[Age]]&lt;=25,"18-25",IF(HR_Data[[#This Row],[Age]]&lt;=35,"26-35",IF(HR_Data[[#This Row],[Age]]&lt;=45,"36-45",IF(HR_Data[[#This Row],[Age]]&lt;=55,"46-55","56+"))))</f>
        <v>26-35</v>
      </c>
      <c r="AK784" s="11" t="str">
        <f>IF(HR_Data[[#This Row],[MonthlyIncome]]&lt;3000,"Low",IF(HR_Data[[#This Row],[MonthlyIncome]]&lt;6000,"Medium",IF(HR_Data[[#This Row],[MonthlyIncome]]&lt;10000,"High","Very High")))</f>
        <v>High</v>
      </c>
      <c r="AL78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84" t="str">
        <f>IF(HR_Data[[#This Row],[TotalWorkingYears]]&lt;=5,"Junior",IF(HR_Data[[#This Row],[TotalWorkingYears]]&lt;=15,"Mid-Level","Senior"))</f>
        <v>Mid-Level</v>
      </c>
      <c r="AN784" s="11" t="str">
        <f>IF(HR_Data[[#This Row],[PerformanceRating]]=3,"Standard","Excellent")</f>
        <v>Standard</v>
      </c>
      <c r="AO784" s="11" t="str">
        <f>IF(HR_Data[[#This Row],[JobSatisfaction]]&lt;=2,"Low","High")</f>
        <v>Low</v>
      </c>
      <c r="AP784" s="11" t="str">
        <f>IF(AND(HR_Data[[#This Row],[OverTime]]="Yes",HR_Data[[#This Row],[JobSatisfaction]]&lt;=2,HR_Data[[#This Row],[YearsAtCompany]]&lt;=2),"High Risk","Normal")</f>
        <v>Normal</v>
      </c>
    </row>
    <row r="785" spans="1:42" x14ac:dyDescent="0.25">
      <c r="A785" s="6">
        <v>41</v>
      </c>
      <c r="B785" s="4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s="11" t="str">
        <f>IF(HR_Data[[#This Row],[Age]]&lt;=25,"18-25",IF(HR_Data[[#This Row],[Age]]&lt;=35,"26-35",IF(HR_Data[[#This Row],[Age]]&lt;=45,"36-45",IF(HR_Data[[#This Row],[Age]]&lt;=55,"46-55","56+"))))</f>
        <v>36-45</v>
      </c>
      <c r="AK785" s="11" t="str">
        <f>IF(HR_Data[[#This Row],[MonthlyIncome]]&lt;3000,"Low",IF(HR_Data[[#This Row],[MonthlyIncome]]&lt;6000,"Medium",IF(HR_Data[[#This Row],[MonthlyIncome]]&lt;10000,"High","Very High")))</f>
        <v>Medium</v>
      </c>
      <c r="AL78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85" t="str">
        <f>IF(HR_Data[[#This Row],[TotalWorkingYears]]&lt;=5,"Junior",IF(HR_Data[[#This Row],[TotalWorkingYears]]&lt;=15,"Mid-Level","Senior"))</f>
        <v>Mid-Level</v>
      </c>
      <c r="AN785" s="11" t="str">
        <f>IF(HR_Data[[#This Row],[PerformanceRating]]=3,"Standard","Excellent")</f>
        <v>Standard</v>
      </c>
      <c r="AO785" s="11" t="str">
        <f>IF(HR_Data[[#This Row],[JobSatisfaction]]&lt;=2,"Low","High")</f>
        <v>High</v>
      </c>
      <c r="AP785" s="11" t="str">
        <f>IF(AND(HR_Data[[#This Row],[OverTime]]="Yes",HR_Data[[#This Row],[JobSatisfaction]]&lt;=2,HR_Data[[#This Row],[YearsAtCompany]]&lt;=2),"High Risk","Normal")</f>
        <v>Normal</v>
      </c>
    </row>
    <row r="786" spans="1:42" x14ac:dyDescent="0.25">
      <c r="A786" s="6">
        <v>38</v>
      </c>
      <c r="B786" s="4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s="11" t="str">
        <f>IF(HR_Data[[#This Row],[Age]]&lt;=25,"18-25",IF(HR_Data[[#This Row],[Age]]&lt;=35,"26-35",IF(HR_Data[[#This Row],[Age]]&lt;=45,"36-45",IF(HR_Data[[#This Row],[Age]]&lt;=55,"46-55","56+"))))</f>
        <v>36-45</v>
      </c>
      <c r="AK786" s="11" t="str">
        <f>IF(HR_Data[[#This Row],[MonthlyIncome]]&lt;3000,"Low",IF(HR_Data[[#This Row],[MonthlyIncome]]&lt;6000,"Medium",IF(HR_Data[[#This Row],[MonthlyIncome]]&lt;10000,"High","Very High")))</f>
        <v>High</v>
      </c>
      <c r="AL78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86" t="str">
        <f>IF(HR_Data[[#This Row],[TotalWorkingYears]]&lt;=5,"Junior",IF(HR_Data[[#This Row],[TotalWorkingYears]]&lt;=15,"Mid-Level","Senior"))</f>
        <v>Senior</v>
      </c>
      <c r="AN786" s="11" t="str">
        <f>IF(HR_Data[[#This Row],[PerformanceRating]]=3,"Standard","Excellent")</f>
        <v>Standard</v>
      </c>
      <c r="AO786" s="11" t="str">
        <f>IF(HR_Data[[#This Row],[JobSatisfaction]]&lt;=2,"Low","High")</f>
        <v>High</v>
      </c>
      <c r="AP786" s="11" t="str">
        <f>IF(AND(HR_Data[[#This Row],[OverTime]]="Yes",HR_Data[[#This Row],[JobSatisfaction]]&lt;=2,HR_Data[[#This Row],[YearsAtCompany]]&lt;=2),"High Risk","Normal")</f>
        <v>Normal</v>
      </c>
    </row>
    <row r="787" spans="1:42" x14ac:dyDescent="0.25">
      <c r="A787" s="6">
        <v>40</v>
      </c>
      <c r="B787" s="4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s="11" t="str">
        <f>IF(HR_Data[[#This Row],[Age]]&lt;=25,"18-25",IF(HR_Data[[#This Row],[Age]]&lt;=35,"26-35",IF(HR_Data[[#This Row],[Age]]&lt;=45,"36-45",IF(HR_Data[[#This Row],[Age]]&lt;=55,"46-55","56+"))))</f>
        <v>36-45</v>
      </c>
      <c r="AK787" s="11" t="str">
        <f>IF(HR_Data[[#This Row],[MonthlyIncome]]&lt;3000,"Low",IF(HR_Data[[#This Row],[MonthlyIncome]]&lt;6000,"Medium",IF(HR_Data[[#This Row],[MonthlyIncome]]&lt;10000,"High","Very High")))</f>
        <v>Very High</v>
      </c>
      <c r="AL787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787" t="str">
        <f>IF(HR_Data[[#This Row],[TotalWorkingYears]]&lt;=5,"Junior",IF(HR_Data[[#This Row],[TotalWorkingYears]]&lt;=15,"Mid-Level","Senior"))</f>
        <v>Mid-Level</v>
      </c>
      <c r="AN787" s="11" t="str">
        <f>IF(HR_Data[[#This Row],[PerformanceRating]]=3,"Standard","Excellent")</f>
        <v>Excellent</v>
      </c>
      <c r="AO787" s="11" t="str">
        <f>IF(HR_Data[[#This Row],[JobSatisfaction]]&lt;=2,"Low","High")</f>
        <v>High</v>
      </c>
      <c r="AP787" s="11" t="str">
        <f>IF(AND(HR_Data[[#This Row],[OverTime]]="Yes",HR_Data[[#This Row],[JobSatisfaction]]&lt;=2,HR_Data[[#This Row],[YearsAtCompany]]&lt;=2),"High Risk","Normal")</f>
        <v>Normal</v>
      </c>
    </row>
    <row r="788" spans="1:42" x14ac:dyDescent="0.25">
      <c r="A788" s="6">
        <v>27</v>
      </c>
      <c r="B788" s="4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s="11" t="str">
        <f>IF(HR_Data[[#This Row],[Age]]&lt;=25,"18-25",IF(HR_Data[[#This Row],[Age]]&lt;=35,"26-35",IF(HR_Data[[#This Row],[Age]]&lt;=45,"36-45",IF(HR_Data[[#This Row],[Age]]&lt;=55,"46-55","56+"))))</f>
        <v>26-35</v>
      </c>
      <c r="AK788" s="11" t="str">
        <f>IF(HR_Data[[#This Row],[MonthlyIncome]]&lt;3000,"Low",IF(HR_Data[[#This Row],[MonthlyIncome]]&lt;6000,"Medium",IF(HR_Data[[#This Row],[MonthlyIncome]]&lt;10000,"High","Very High")))</f>
        <v>Medium</v>
      </c>
      <c r="AL78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88" t="str">
        <f>IF(HR_Data[[#This Row],[TotalWorkingYears]]&lt;=5,"Junior",IF(HR_Data[[#This Row],[TotalWorkingYears]]&lt;=15,"Mid-Level","Senior"))</f>
        <v>Junior</v>
      </c>
      <c r="AN788" s="11" t="str">
        <f>IF(HR_Data[[#This Row],[PerformanceRating]]=3,"Standard","Excellent")</f>
        <v>Standard</v>
      </c>
      <c r="AO788" s="11" t="str">
        <f>IF(HR_Data[[#This Row],[JobSatisfaction]]&lt;=2,"Low","High")</f>
        <v>High</v>
      </c>
      <c r="AP788" s="11" t="str">
        <f>IF(AND(HR_Data[[#This Row],[OverTime]]="Yes",HR_Data[[#This Row],[JobSatisfaction]]&lt;=2,HR_Data[[#This Row],[YearsAtCompany]]&lt;=2),"High Risk","Normal")</f>
        <v>Normal</v>
      </c>
    </row>
    <row r="789" spans="1:42" x14ac:dyDescent="0.25">
      <c r="A789" s="6">
        <v>55</v>
      </c>
      <c r="B789" s="4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s="11" t="str">
        <f>IF(HR_Data[[#This Row],[Age]]&lt;=25,"18-25",IF(HR_Data[[#This Row],[Age]]&lt;=35,"26-35",IF(HR_Data[[#This Row],[Age]]&lt;=45,"36-45",IF(HR_Data[[#This Row],[Age]]&lt;=55,"46-55","56+"))))</f>
        <v>46-55</v>
      </c>
      <c r="AK789" s="11" t="str">
        <f>IF(HR_Data[[#This Row],[MonthlyIncome]]&lt;3000,"Low",IF(HR_Data[[#This Row],[MonthlyIncome]]&lt;6000,"Medium",IF(HR_Data[[#This Row],[MonthlyIncome]]&lt;10000,"High","Very High")))</f>
        <v>Very High</v>
      </c>
      <c r="AL78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89" t="str">
        <f>IF(HR_Data[[#This Row],[TotalWorkingYears]]&lt;=5,"Junior",IF(HR_Data[[#This Row],[TotalWorkingYears]]&lt;=15,"Mid-Level","Senior"))</f>
        <v>Senior</v>
      </c>
      <c r="AN789" s="11" t="str">
        <f>IF(HR_Data[[#This Row],[PerformanceRating]]=3,"Standard","Excellent")</f>
        <v>Standard</v>
      </c>
      <c r="AO789" s="11" t="str">
        <f>IF(HR_Data[[#This Row],[JobSatisfaction]]&lt;=2,"Low","High")</f>
        <v>Low</v>
      </c>
      <c r="AP789" s="11" t="str">
        <f>IF(AND(HR_Data[[#This Row],[OverTime]]="Yes",HR_Data[[#This Row],[JobSatisfaction]]&lt;=2,HR_Data[[#This Row],[YearsAtCompany]]&lt;=2),"High Risk","Normal")</f>
        <v>Normal</v>
      </c>
    </row>
    <row r="790" spans="1:42" x14ac:dyDescent="0.25">
      <c r="A790" s="6">
        <v>28</v>
      </c>
      <c r="B790" s="4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s="11" t="str">
        <f>IF(HR_Data[[#This Row],[Age]]&lt;=25,"18-25",IF(HR_Data[[#This Row],[Age]]&lt;=35,"26-35",IF(HR_Data[[#This Row],[Age]]&lt;=45,"36-45",IF(HR_Data[[#This Row],[Age]]&lt;=55,"46-55","56+"))))</f>
        <v>26-35</v>
      </c>
      <c r="AK790" s="11" t="str">
        <f>IF(HR_Data[[#This Row],[MonthlyIncome]]&lt;3000,"Low",IF(HR_Data[[#This Row],[MonthlyIncome]]&lt;6000,"Medium",IF(HR_Data[[#This Row],[MonthlyIncome]]&lt;10000,"High","Very High")))</f>
        <v>Medium</v>
      </c>
      <c r="AL79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90" t="str">
        <f>IF(HR_Data[[#This Row],[TotalWorkingYears]]&lt;=5,"Junior",IF(HR_Data[[#This Row],[TotalWorkingYears]]&lt;=15,"Mid-Level","Senior"))</f>
        <v>Mid-Level</v>
      </c>
      <c r="AN790" s="11" t="str">
        <f>IF(HR_Data[[#This Row],[PerformanceRating]]=3,"Standard","Excellent")</f>
        <v>Standard</v>
      </c>
      <c r="AO790" s="11" t="str">
        <f>IF(HR_Data[[#This Row],[JobSatisfaction]]&lt;=2,"Low","High")</f>
        <v>High</v>
      </c>
      <c r="AP790" s="11" t="str">
        <f>IF(AND(HR_Data[[#This Row],[OverTime]]="Yes",HR_Data[[#This Row],[JobSatisfaction]]&lt;=2,HR_Data[[#This Row],[YearsAtCompany]]&lt;=2),"High Risk","Normal")</f>
        <v>Normal</v>
      </c>
    </row>
    <row r="791" spans="1:42" x14ac:dyDescent="0.25">
      <c r="A791" s="6">
        <v>44</v>
      </c>
      <c r="B791" s="4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s="11" t="str">
        <f>IF(HR_Data[[#This Row],[Age]]&lt;=25,"18-25",IF(HR_Data[[#This Row],[Age]]&lt;=35,"26-35",IF(HR_Data[[#This Row],[Age]]&lt;=45,"36-45",IF(HR_Data[[#This Row],[Age]]&lt;=55,"46-55","56+"))))</f>
        <v>36-45</v>
      </c>
      <c r="AK791" s="11" t="str">
        <f>IF(HR_Data[[#This Row],[MonthlyIncome]]&lt;3000,"Low",IF(HR_Data[[#This Row],[MonthlyIncome]]&lt;6000,"Medium",IF(HR_Data[[#This Row],[MonthlyIncome]]&lt;10000,"High","Very High")))</f>
        <v>Very High</v>
      </c>
      <c r="AL791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791" t="str">
        <f>IF(HR_Data[[#This Row],[TotalWorkingYears]]&lt;=5,"Junior",IF(HR_Data[[#This Row],[TotalWorkingYears]]&lt;=15,"Mid-Level","Senior"))</f>
        <v>Senior</v>
      </c>
      <c r="AN791" s="11" t="str">
        <f>IF(HR_Data[[#This Row],[PerformanceRating]]=3,"Standard","Excellent")</f>
        <v>Standard</v>
      </c>
      <c r="AO791" s="11" t="str">
        <f>IF(HR_Data[[#This Row],[JobSatisfaction]]&lt;=2,"Low","High")</f>
        <v>Low</v>
      </c>
      <c r="AP791" s="11" t="str">
        <f>IF(AND(HR_Data[[#This Row],[OverTime]]="Yes",HR_Data[[#This Row],[JobSatisfaction]]&lt;=2,HR_Data[[#This Row],[YearsAtCompany]]&lt;=2),"High Risk","Normal")</f>
        <v>Normal</v>
      </c>
    </row>
    <row r="792" spans="1:42" x14ac:dyDescent="0.25">
      <c r="A792" s="6">
        <v>33</v>
      </c>
      <c r="B792" s="4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s="11" t="str">
        <f>IF(HR_Data[[#This Row],[Age]]&lt;=25,"18-25",IF(HR_Data[[#This Row],[Age]]&lt;=35,"26-35",IF(HR_Data[[#This Row],[Age]]&lt;=45,"36-45",IF(HR_Data[[#This Row],[Age]]&lt;=55,"46-55","56+"))))</f>
        <v>26-35</v>
      </c>
      <c r="AK792" s="11" t="str">
        <f>IF(HR_Data[[#This Row],[MonthlyIncome]]&lt;3000,"Low",IF(HR_Data[[#This Row],[MonthlyIncome]]&lt;6000,"Medium",IF(HR_Data[[#This Row],[MonthlyIncome]]&lt;10000,"High","Very High")))</f>
        <v>High</v>
      </c>
      <c r="AL79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92" t="str">
        <f>IF(HR_Data[[#This Row],[TotalWorkingYears]]&lt;=5,"Junior",IF(HR_Data[[#This Row],[TotalWorkingYears]]&lt;=15,"Mid-Level","Senior"))</f>
        <v>Mid-Level</v>
      </c>
      <c r="AN792" s="11" t="str">
        <f>IF(HR_Data[[#This Row],[PerformanceRating]]=3,"Standard","Excellent")</f>
        <v>Standard</v>
      </c>
      <c r="AO792" s="11" t="str">
        <f>IF(HR_Data[[#This Row],[JobSatisfaction]]&lt;=2,"Low","High")</f>
        <v>High</v>
      </c>
      <c r="AP792" s="11" t="str">
        <f>IF(AND(HR_Data[[#This Row],[OverTime]]="Yes",HR_Data[[#This Row],[JobSatisfaction]]&lt;=2,HR_Data[[#This Row],[YearsAtCompany]]&lt;=2),"High Risk","Normal")</f>
        <v>Normal</v>
      </c>
    </row>
    <row r="793" spans="1:42" x14ac:dyDescent="0.25">
      <c r="A793" s="6">
        <v>35</v>
      </c>
      <c r="B793" s="4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s="11" t="str">
        <f>IF(HR_Data[[#This Row],[Age]]&lt;=25,"18-25",IF(HR_Data[[#This Row],[Age]]&lt;=35,"26-35",IF(HR_Data[[#This Row],[Age]]&lt;=45,"36-45",IF(HR_Data[[#This Row],[Age]]&lt;=55,"46-55","56+"))))</f>
        <v>26-35</v>
      </c>
      <c r="AK793" s="11" t="str">
        <f>IF(HR_Data[[#This Row],[MonthlyIncome]]&lt;3000,"Low",IF(HR_Data[[#This Row],[MonthlyIncome]]&lt;6000,"Medium",IF(HR_Data[[#This Row],[MonthlyIncome]]&lt;10000,"High","Very High")))</f>
        <v>High</v>
      </c>
      <c r="AL79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93" t="str">
        <f>IF(HR_Data[[#This Row],[TotalWorkingYears]]&lt;=5,"Junior",IF(HR_Data[[#This Row],[TotalWorkingYears]]&lt;=15,"Mid-Level","Senior"))</f>
        <v>Mid-Level</v>
      </c>
      <c r="AN793" s="11" t="str">
        <f>IF(HR_Data[[#This Row],[PerformanceRating]]=3,"Standard","Excellent")</f>
        <v>Excellent</v>
      </c>
      <c r="AO793" s="11" t="str">
        <f>IF(HR_Data[[#This Row],[JobSatisfaction]]&lt;=2,"Low","High")</f>
        <v>Low</v>
      </c>
      <c r="AP793" s="11" t="str">
        <f>IF(AND(HR_Data[[#This Row],[OverTime]]="Yes",HR_Data[[#This Row],[JobSatisfaction]]&lt;=2,HR_Data[[#This Row],[YearsAtCompany]]&lt;=2),"High Risk","Normal")</f>
        <v>Normal</v>
      </c>
    </row>
    <row r="794" spans="1:42" x14ac:dyDescent="0.25">
      <c r="A794" s="6">
        <v>33</v>
      </c>
      <c r="B794" s="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s="11" t="str">
        <f>IF(HR_Data[[#This Row],[Age]]&lt;=25,"18-25",IF(HR_Data[[#This Row],[Age]]&lt;=35,"26-35",IF(HR_Data[[#This Row],[Age]]&lt;=45,"36-45",IF(HR_Data[[#This Row],[Age]]&lt;=55,"46-55","56+"))))</f>
        <v>26-35</v>
      </c>
      <c r="AK794" s="11" t="str">
        <f>IF(HR_Data[[#This Row],[MonthlyIncome]]&lt;3000,"Low",IF(HR_Data[[#This Row],[MonthlyIncome]]&lt;6000,"Medium",IF(HR_Data[[#This Row],[MonthlyIncome]]&lt;10000,"High","Very High")))</f>
        <v>Medium</v>
      </c>
      <c r="AL794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794" t="str">
        <f>IF(HR_Data[[#This Row],[TotalWorkingYears]]&lt;=5,"Junior",IF(HR_Data[[#This Row],[TotalWorkingYears]]&lt;=15,"Mid-Level","Senior"))</f>
        <v>Mid-Level</v>
      </c>
      <c r="AN794" s="11" t="str">
        <f>IF(HR_Data[[#This Row],[PerformanceRating]]=3,"Standard","Excellent")</f>
        <v>Excellent</v>
      </c>
      <c r="AO794" s="11" t="str">
        <f>IF(HR_Data[[#This Row],[JobSatisfaction]]&lt;=2,"Low","High")</f>
        <v>High</v>
      </c>
      <c r="AP794" s="11" t="str">
        <f>IF(AND(HR_Data[[#This Row],[OverTime]]="Yes",HR_Data[[#This Row],[JobSatisfaction]]&lt;=2,HR_Data[[#This Row],[YearsAtCompany]]&lt;=2),"High Risk","Normal")</f>
        <v>Normal</v>
      </c>
    </row>
    <row r="795" spans="1:42" x14ac:dyDescent="0.25">
      <c r="A795" s="6">
        <v>28</v>
      </c>
      <c r="B795" s="4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s="11" t="str">
        <f>IF(HR_Data[[#This Row],[Age]]&lt;=25,"18-25",IF(HR_Data[[#This Row],[Age]]&lt;=35,"26-35",IF(HR_Data[[#This Row],[Age]]&lt;=45,"36-45",IF(HR_Data[[#This Row],[Age]]&lt;=55,"46-55","56+"))))</f>
        <v>26-35</v>
      </c>
      <c r="AK795" s="11" t="str">
        <f>IF(HR_Data[[#This Row],[MonthlyIncome]]&lt;3000,"Low",IF(HR_Data[[#This Row],[MonthlyIncome]]&lt;6000,"Medium",IF(HR_Data[[#This Row],[MonthlyIncome]]&lt;10000,"High","Very High")))</f>
        <v>Low</v>
      </c>
      <c r="AL79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795" t="str">
        <f>IF(HR_Data[[#This Row],[TotalWorkingYears]]&lt;=5,"Junior",IF(HR_Data[[#This Row],[TotalWorkingYears]]&lt;=15,"Mid-Level","Senior"))</f>
        <v>Junior</v>
      </c>
      <c r="AN795" s="11" t="str">
        <f>IF(HR_Data[[#This Row],[PerformanceRating]]=3,"Standard","Excellent")</f>
        <v>Standard</v>
      </c>
      <c r="AO795" s="11" t="str">
        <f>IF(HR_Data[[#This Row],[JobSatisfaction]]&lt;=2,"Low","High")</f>
        <v>High</v>
      </c>
      <c r="AP795" s="11" t="str">
        <f>IF(AND(HR_Data[[#This Row],[OverTime]]="Yes",HR_Data[[#This Row],[JobSatisfaction]]&lt;=2,HR_Data[[#This Row],[YearsAtCompany]]&lt;=2),"High Risk","Normal")</f>
        <v>Normal</v>
      </c>
    </row>
    <row r="796" spans="1:42" x14ac:dyDescent="0.25">
      <c r="A796" s="6">
        <v>34</v>
      </c>
      <c r="B796" s="4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s="11" t="str">
        <f>IF(HR_Data[[#This Row],[Age]]&lt;=25,"18-25",IF(HR_Data[[#This Row],[Age]]&lt;=35,"26-35",IF(HR_Data[[#This Row],[Age]]&lt;=45,"36-45",IF(HR_Data[[#This Row],[Age]]&lt;=55,"46-55","56+"))))</f>
        <v>26-35</v>
      </c>
      <c r="AK796" s="11" t="str">
        <f>IF(HR_Data[[#This Row],[MonthlyIncome]]&lt;3000,"Low",IF(HR_Data[[#This Row],[MonthlyIncome]]&lt;6000,"Medium",IF(HR_Data[[#This Row],[MonthlyIncome]]&lt;10000,"High","Very High")))</f>
        <v>High</v>
      </c>
      <c r="AL79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96" t="str">
        <f>IF(HR_Data[[#This Row],[TotalWorkingYears]]&lt;=5,"Junior",IF(HR_Data[[#This Row],[TotalWorkingYears]]&lt;=15,"Mid-Level","Senior"))</f>
        <v>Mid-Level</v>
      </c>
      <c r="AN796" s="11" t="str">
        <f>IF(HR_Data[[#This Row],[PerformanceRating]]=3,"Standard","Excellent")</f>
        <v>Standard</v>
      </c>
      <c r="AO796" s="11" t="str">
        <f>IF(HR_Data[[#This Row],[JobSatisfaction]]&lt;=2,"Low","High")</f>
        <v>High</v>
      </c>
      <c r="AP796" s="11" t="str">
        <f>IF(AND(HR_Data[[#This Row],[OverTime]]="Yes",HR_Data[[#This Row],[JobSatisfaction]]&lt;=2,HR_Data[[#This Row],[YearsAtCompany]]&lt;=2),"High Risk","Normal")</f>
        <v>Normal</v>
      </c>
    </row>
    <row r="797" spans="1:42" x14ac:dyDescent="0.25">
      <c r="A797" s="6">
        <v>37</v>
      </c>
      <c r="B797" s="4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s="11" t="str">
        <f>IF(HR_Data[[#This Row],[Age]]&lt;=25,"18-25",IF(HR_Data[[#This Row],[Age]]&lt;=35,"26-35",IF(HR_Data[[#This Row],[Age]]&lt;=45,"36-45",IF(HR_Data[[#This Row],[Age]]&lt;=55,"46-55","56+"))))</f>
        <v>36-45</v>
      </c>
      <c r="AK797" s="11" t="str">
        <f>IF(HR_Data[[#This Row],[MonthlyIncome]]&lt;3000,"Low",IF(HR_Data[[#This Row],[MonthlyIncome]]&lt;6000,"Medium",IF(HR_Data[[#This Row],[MonthlyIncome]]&lt;10000,"High","Very High")))</f>
        <v>High</v>
      </c>
      <c r="AL79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97" t="str">
        <f>IF(HR_Data[[#This Row],[TotalWorkingYears]]&lt;=5,"Junior",IF(HR_Data[[#This Row],[TotalWorkingYears]]&lt;=15,"Mid-Level","Senior"))</f>
        <v>Mid-Level</v>
      </c>
      <c r="AN797" s="11" t="str">
        <f>IF(HR_Data[[#This Row],[PerformanceRating]]=3,"Standard","Excellent")</f>
        <v>Standard</v>
      </c>
      <c r="AO797" s="11" t="str">
        <f>IF(HR_Data[[#This Row],[JobSatisfaction]]&lt;=2,"Low","High")</f>
        <v>High</v>
      </c>
      <c r="AP797" s="11" t="str">
        <f>IF(AND(HR_Data[[#This Row],[OverTime]]="Yes",HR_Data[[#This Row],[JobSatisfaction]]&lt;=2,HR_Data[[#This Row],[YearsAtCompany]]&lt;=2),"High Risk","Normal")</f>
        <v>Normal</v>
      </c>
    </row>
    <row r="798" spans="1:42" x14ac:dyDescent="0.25">
      <c r="A798" s="6">
        <v>25</v>
      </c>
      <c r="B798" s="4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s="11" t="str">
        <f>IF(HR_Data[[#This Row],[Age]]&lt;=25,"18-25",IF(HR_Data[[#This Row],[Age]]&lt;=35,"26-35",IF(HR_Data[[#This Row],[Age]]&lt;=45,"36-45",IF(HR_Data[[#This Row],[Age]]&lt;=55,"46-55","56+"))))</f>
        <v>18-25</v>
      </c>
      <c r="AK798" s="11" t="str">
        <f>IF(HR_Data[[#This Row],[MonthlyIncome]]&lt;3000,"Low",IF(HR_Data[[#This Row],[MonthlyIncome]]&lt;6000,"Medium",IF(HR_Data[[#This Row],[MonthlyIncome]]&lt;10000,"High","Very High")))</f>
        <v>Medium</v>
      </c>
      <c r="AL79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798" t="str">
        <f>IF(HR_Data[[#This Row],[TotalWorkingYears]]&lt;=5,"Junior",IF(HR_Data[[#This Row],[TotalWorkingYears]]&lt;=15,"Mid-Level","Senior"))</f>
        <v>Mid-Level</v>
      </c>
      <c r="AN798" s="11" t="str">
        <f>IF(HR_Data[[#This Row],[PerformanceRating]]=3,"Standard","Excellent")</f>
        <v>Standard</v>
      </c>
      <c r="AO798" s="11" t="str">
        <f>IF(HR_Data[[#This Row],[JobSatisfaction]]&lt;=2,"Low","High")</f>
        <v>High</v>
      </c>
      <c r="AP798" s="11" t="str">
        <f>IF(AND(HR_Data[[#This Row],[OverTime]]="Yes",HR_Data[[#This Row],[JobSatisfaction]]&lt;=2,HR_Data[[#This Row],[YearsAtCompany]]&lt;=2),"High Risk","Normal")</f>
        <v>Normal</v>
      </c>
    </row>
    <row r="799" spans="1:42" x14ac:dyDescent="0.25">
      <c r="A799" s="6">
        <v>26</v>
      </c>
      <c r="B799" s="4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s="11" t="str">
        <f>IF(HR_Data[[#This Row],[Age]]&lt;=25,"18-25",IF(HR_Data[[#This Row],[Age]]&lt;=35,"26-35",IF(HR_Data[[#This Row],[Age]]&lt;=45,"36-45",IF(HR_Data[[#This Row],[Age]]&lt;=55,"46-55","56+"))))</f>
        <v>26-35</v>
      </c>
      <c r="AK799" s="11" t="str">
        <f>IF(HR_Data[[#This Row],[MonthlyIncome]]&lt;3000,"Low",IF(HR_Data[[#This Row],[MonthlyIncome]]&lt;6000,"Medium",IF(HR_Data[[#This Row],[MonthlyIncome]]&lt;10000,"High","Very High")))</f>
        <v>Low</v>
      </c>
      <c r="AL79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799" t="str">
        <f>IF(HR_Data[[#This Row],[TotalWorkingYears]]&lt;=5,"Junior",IF(HR_Data[[#This Row],[TotalWorkingYears]]&lt;=15,"Mid-Level","Senior"))</f>
        <v>Junior</v>
      </c>
      <c r="AN799" s="11" t="str">
        <f>IF(HR_Data[[#This Row],[PerformanceRating]]=3,"Standard","Excellent")</f>
        <v>Excellent</v>
      </c>
      <c r="AO799" s="11" t="str">
        <f>IF(HR_Data[[#This Row],[JobSatisfaction]]&lt;=2,"Low","High")</f>
        <v>High</v>
      </c>
      <c r="AP799" s="11" t="str">
        <f>IF(AND(HR_Data[[#This Row],[OverTime]]="Yes",HR_Data[[#This Row],[JobSatisfaction]]&lt;=2,HR_Data[[#This Row],[YearsAtCompany]]&lt;=2),"High Risk","Normal")</f>
        <v>Normal</v>
      </c>
    </row>
    <row r="800" spans="1:42" x14ac:dyDescent="0.25">
      <c r="A800" s="6">
        <v>33</v>
      </c>
      <c r="B800" s="4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s="11" t="str">
        <f>IF(HR_Data[[#This Row],[Age]]&lt;=25,"18-25",IF(HR_Data[[#This Row],[Age]]&lt;=35,"26-35",IF(HR_Data[[#This Row],[Age]]&lt;=45,"36-45",IF(HR_Data[[#This Row],[Age]]&lt;=55,"46-55","56+"))))</f>
        <v>26-35</v>
      </c>
      <c r="AK800" s="11" t="str">
        <f>IF(HR_Data[[#This Row],[MonthlyIncome]]&lt;3000,"Low",IF(HR_Data[[#This Row],[MonthlyIncome]]&lt;6000,"Medium",IF(HR_Data[[#This Row],[MonthlyIncome]]&lt;10000,"High","Very High")))</f>
        <v>Low</v>
      </c>
      <c r="AL80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00" t="str">
        <f>IF(HR_Data[[#This Row],[TotalWorkingYears]]&lt;=5,"Junior",IF(HR_Data[[#This Row],[TotalWorkingYears]]&lt;=15,"Mid-Level","Senior"))</f>
        <v>Junior</v>
      </c>
      <c r="AN800" s="11" t="str">
        <f>IF(HR_Data[[#This Row],[PerformanceRating]]=3,"Standard","Excellent")</f>
        <v>Excellent</v>
      </c>
      <c r="AO800" s="11" t="str">
        <f>IF(HR_Data[[#This Row],[JobSatisfaction]]&lt;=2,"Low","High")</f>
        <v>Low</v>
      </c>
      <c r="AP800" s="11" t="str">
        <f>IF(AND(HR_Data[[#This Row],[OverTime]]="Yes",HR_Data[[#This Row],[JobSatisfaction]]&lt;=2,HR_Data[[#This Row],[YearsAtCompany]]&lt;=2),"High Risk","Normal")</f>
        <v>High Risk</v>
      </c>
    </row>
    <row r="801" spans="1:42" x14ac:dyDescent="0.25">
      <c r="A801" s="6">
        <v>42</v>
      </c>
      <c r="B801" s="4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s="11" t="str">
        <f>IF(HR_Data[[#This Row],[Age]]&lt;=25,"18-25",IF(HR_Data[[#This Row],[Age]]&lt;=35,"26-35",IF(HR_Data[[#This Row],[Age]]&lt;=45,"36-45",IF(HR_Data[[#This Row],[Age]]&lt;=55,"46-55","56+"))))</f>
        <v>36-45</v>
      </c>
      <c r="AK801" s="11" t="str">
        <f>IF(HR_Data[[#This Row],[MonthlyIncome]]&lt;3000,"Low",IF(HR_Data[[#This Row],[MonthlyIncome]]&lt;6000,"Medium",IF(HR_Data[[#This Row],[MonthlyIncome]]&lt;10000,"High","Very High")))</f>
        <v>Very High</v>
      </c>
      <c r="AL801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801" t="str">
        <f>IF(HR_Data[[#This Row],[TotalWorkingYears]]&lt;=5,"Junior",IF(HR_Data[[#This Row],[TotalWorkingYears]]&lt;=15,"Mid-Level","Senior"))</f>
        <v>Senior</v>
      </c>
      <c r="AN801" s="11" t="str">
        <f>IF(HR_Data[[#This Row],[PerformanceRating]]=3,"Standard","Excellent")</f>
        <v>Standard</v>
      </c>
      <c r="AO801" s="11" t="str">
        <f>IF(HR_Data[[#This Row],[JobSatisfaction]]&lt;=2,"Low","High")</f>
        <v>Low</v>
      </c>
      <c r="AP801" s="11" t="str">
        <f>IF(AND(HR_Data[[#This Row],[OverTime]]="Yes",HR_Data[[#This Row],[JobSatisfaction]]&lt;=2,HR_Data[[#This Row],[YearsAtCompany]]&lt;=2),"High Risk","Normal")</f>
        <v>Normal</v>
      </c>
    </row>
    <row r="802" spans="1:42" x14ac:dyDescent="0.25">
      <c r="A802" s="6">
        <v>28</v>
      </c>
      <c r="B802" s="4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s="11" t="str">
        <f>IF(HR_Data[[#This Row],[Age]]&lt;=25,"18-25",IF(HR_Data[[#This Row],[Age]]&lt;=35,"26-35",IF(HR_Data[[#This Row],[Age]]&lt;=45,"36-45",IF(HR_Data[[#This Row],[Age]]&lt;=55,"46-55","56+"))))</f>
        <v>26-35</v>
      </c>
      <c r="AK802" s="11" t="str">
        <f>IF(HR_Data[[#This Row],[MonthlyIncome]]&lt;3000,"Low",IF(HR_Data[[#This Row],[MonthlyIncome]]&lt;6000,"Medium",IF(HR_Data[[#This Row],[MonthlyIncome]]&lt;10000,"High","Very High")))</f>
        <v>Low</v>
      </c>
      <c r="AL80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02" t="str">
        <f>IF(HR_Data[[#This Row],[TotalWorkingYears]]&lt;=5,"Junior",IF(HR_Data[[#This Row],[TotalWorkingYears]]&lt;=15,"Mid-Level","Senior"))</f>
        <v>Junior</v>
      </c>
      <c r="AN802" s="11" t="str">
        <f>IF(HR_Data[[#This Row],[PerformanceRating]]=3,"Standard","Excellent")</f>
        <v>Standard</v>
      </c>
      <c r="AO802" s="11" t="str">
        <f>IF(HR_Data[[#This Row],[JobSatisfaction]]&lt;=2,"Low","High")</f>
        <v>Low</v>
      </c>
      <c r="AP802" s="11" t="str">
        <f>IF(AND(HR_Data[[#This Row],[OverTime]]="Yes",HR_Data[[#This Row],[JobSatisfaction]]&lt;=2,HR_Data[[#This Row],[YearsAtCompany]]&lt;=2),"High Risk","Normal")</f>
        <v>Normal</v>
      </c>
    </row>
    <row r="803" spans="1:42" x14ac:dyDescent="0.25">
      <c r="A803" s="6">
        <v>50</v>
      </c>
      <c r="B803" s="4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s="11" t="str">
        <f>IF(HR_Data[[#This Row],[Age]]&lt;=25,"18-25",IF(HR_Data[[#This Row],[Age]]&lt;=35,"26-35",IF(HR_Data[[#This Row],[Age]]&lt;=45,"36-45",IF(HR_Data[[#This Row],[Age]]&lt;=55,"46-55","56+"))))</f>
        <v>46-55</v>
      </c>
      <c r="AK803" s="11" t="str">
        <f>IF(HR_Data[[#This Row],[MonthlyIncome]]&lt;3000,"Low",IF(HR_Data[[#This Row],[MonthlyIncome]]&lt;6000,"Medium",IF(HR_Data[[#This Row],[MonthlyIncome]]&lt;10000,"High","Very High")))</f>
        <v>Medium</v>
      </c>
      <c r="AL80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03" t="str">
        <f>IF(HR_Data[[#This Row],[TotalWorkingYears]]&lt;=5,"Junior",IF(HR_Data[[#This Row],[TotalWorkingYears]]&lt;=15,"Mid-Level","Senior"))</f>
        <v>Junior</v>
      </c>
      <c r="AN803" s="11" t="str">
        <f>IF(HR_Data[[#This Row],[PerformanceRating]]=3,"Standard","Excellent")</f>
        <v>Standard</v>
      </c>
      <c r="AO803" s="11" t="str">
        <f>IF(HR_Data[[#This Row],[JobSatisfaction]]&lt;=2,"Low","High")</f>
        <v>High</v>
      </c>
      <c r="AP803" s="11" t="str">
        <f>IF(AND(HR_Data[[#This Row],[OverTime]]="Yes",HR_Data[[#This Row],[JobSatisfaction]]&lt;=2,HR_Data[[#This Row],[YearsAtCompany]]&lt;=2),"High Risk","Normal")</f>
        <v>Normal</v>
      </c>
    </row>
    <row r="804" spans="1:42" x14ac:dyDescent="0.25">
      <c r="A804" s="6">
        <v>33</v>
      </c>
      <c r="B804" s="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s="11" t="str">
        <f>IF(HR_Data[[#This Row],[Age]]&lt;=25,"18-25",IF(HR_Data[[#This Row],[Age]]&lt;=35,"26-35",IF(HR_Data[[#This Row],[Age]]&lt;=45,"36-45",IF(HR_Data[[#This Row],[Age]]&lt;=55,"46-55","56+"))))</f>
        <v>26-35</v>
      </c>
      <c r="AK804" s="11" t="str">
        <f>IF(HR_Data[[#This Row],[MonthlyIncome]]&lt;3000,"Low",IF(HR_Data[[#This Row],[MonthlyIncome]]&lt;6000,"Medium",IF(HR_Data[[#This Row],[MonthlyIncome]]&lt;10000,"High","Very High")))</f>
        <v>Medium</v>
      </c>
      <c r="AL80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04" t="str">
        <f>IF(HR_Data[[#This Row],[TotalWorkingYears]]&lt;=5,"Junior",IF(HR_Data[[#This Row],[TotalWorkingYears]]&lt;=15,"Mid-Level","Senior"))</f>
        <v>Junior</v>
      </c>
      <c r="AN804" s="11" t="str">
        <f>IF(HR_Data[[#This Row],[PerformanceRating]]=3,"Standard","Excellent")</f>
        <v>Standard</v>
      </c>
      <c r="AO804" s="11" t="str">
        <f>IF(HR_Data[[#This Row],[JobSatisfaction]]&lt;=2,"Low","High")</f>
        <v>Low</v>
      </c>
      <c r="AP804" s="11" t="str">
        <f>IF(AND(HR_Data[[#This Row],[OverTime]]="Yes",HR_Data[[#This Row],[JobSatisfaction]]&lt;=2,HR_Data[[#This Row],[YearsAtCompany]]&lt;=2),"High Risk","Normal")</f>
        <v>Normal</v>
      </c>
    </row>
    <row r="805" spans="1:42" x14ac:dyDescent="0.25">
      <c r="A805" s="6">
        <v>34</v>
      </c>
      <c r="B805" s="4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s="11" t="str">
        <f>IF(HR_Data[[#This Row],[Age]]&lt;=25,"18-25",IF(HR_Data[[#This Row],[Age]]&lt;=35,"26-35",IF(HR_Data[[#This Row],[Age]]&lt;=45,"36-45",IF(HR_Data[[#This Row],[Age]]&lt;=55,"46-55","56+"))))</f>
        <v>26-35</v>
      </c>
      <c r="AK805" s="11" t="str">
        <f>IF(HR_Data[[#This Row],[MonthlyIncome]]&lt;3000,"Low",IF(HR_Data[[#This Row],[MonthlyIncome]]&lt;6000,"Medium",IF(HR_Data[[#This Row],[MonthlyIncome]]&lt;10000,"High","Very High")))</f>
        <v>Low</v>
      </c>
      <c r="AL80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05" t="str">
        <f>IF(HR_Data[[#This Row],[TotalWorkingYears]]&lt;=5,"Junior",IF(HR_Data[[#This Row],[TotalWorkingYears]]&lt;=15,"Mid-Level","Senior"))</f>
        <v>Mid-Level</v>
      </c>
      <c r="AN805" s="11" t="str">
        <f>IF(HR_Data[[#This Row],[PerformanceRating]]=3,"Standard","Excellent")</f>
        <v>Standard</v>
      </c>
      <c r="AO805" s="11" t="str">
        <f>IF(HR_Data[[#This Row],[JobSatisfaction]]&lt;=2,"Low","High")</f>
        <v>High</v>
      </c>
      <c r="AP805" s="11" t="str">
        <f>IF(AND(HR_Data[[#This Row],[OverTime]]="Yes",HR_Data[[#This Row],[JobSatisfaction]]&lt;=2,HR_Data[[#This Row],[YearsAtCompany]]&lt;=2),"High Risk","Normal")</f>
        <v>Normal</v>
      </c>
    </row>
    <row r="806" spans="1:42" x14ac:dyDescent="0.25">
      <c r="A806" s="6">
        <v>48</v>
      </c>
      <c r="B806" s="4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s="11" t="str">
        <f>IF(HR_Data[[#This Row],[Age]]&lt;=25,"18-25",IF(HR_Data[[#This Row],[Age]]&lt;=35,"26-35",IF(HR_Data[[#This Row],[Age]]&lt;=45,"36-45",IF(HR_Data[[#This Row],[Age]]&lt;=55,"46-55","56+"))))</f>
        <v>46-55</v>
      </c>
      <c r="AK806" s="11" t="str">
        <f>IF(HR_Data[[#This Row],[MonthlyIncome]]&lt;3000,"Low",IF(HR_Data[[#This Row],[MonthlyIncome]]&lt;6000,"Medium",IF(HR_Data[[#This Row],[MonthlyIncome]]&lt;10000,"High","Very High")))</f>
        <v>Very High</v>
      </c>
      <c r="AL80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06" t="str">
        <f>IF(HR_Data[[#This Row],[TotalWorkingYears]]&lt;=5,"Junior",IF(HR_Data[[#This Row],[TotalWorkingYears]]&lt;=15,"Mid-Level","Senior"))</f>
        <v>Senior</v>
      </c>
      <c r="AN806" s="11" t="str">
        <f>IF(HR_Data[[#This Row],[PerformanceRating]]=3,"Standard","Excellent")</f>
        <v>Excellent</v>
      </c>
      <c r="AO806" s="11" t="str">
        <f>IF(HR_Data[[#This Row],[JobSatisfaction]]&lt;=2,"Low","High")</f>
        <v>High</v>
      </c>
      <c r="AP806" s="11" t="str">
        <f>IF(AND(HR_Data[[#This Row],[OverTime]]="Yes",HR_Data[[#This Row],[JobSatisfaction]]&lt;=2,HR_Data[[#This Row],[YearsAtCompany]]&lt;=2),"High Risk","Normal")</f>
        <v>Normal</v>
      </c>
    </row>
    <row r="807" spans="1:42" x14ac:dyDescent="0.25">
      <c r="A807" s="6">
        <v>45</v>
      </c>
      <c r="B807" s="4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s="11" t="str">
        <f>IF(HR_Data[[#This Row],[Age]]&lt;=25,"18-25",IF(HR_Data[[#This Row],[Age]]&lt;=35,"26-35",IF(HR_Data[[#This Row],[Age]]&lt;=45,"36-45",IF(HR_Data[[#This Row],[Age]]&lt;=55,"46-55","56+"))))</f>
        <v>36-45</v>
      </c>
      <c r="AK807" s="11" t="str">
        <f>IF(HR_Data[[#This Row],[MonthlyIncome]]&lt;3000,"Low",IF(HR_Data[[#This Row],[MonthlyIncome]]&lt;6000,"Medium",IF(HR_Data[[#This Row],[MonthlyIncome]]&lt;10000,"High","Very High")))</f>
        <v>Medium</v>
      </c>
      <c r="AL807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807" t="str">
        <f>IF(HR_Data[[#This Row],[TotalWorkingYears]]&lt;=5,"Junior",IF(HR_Data[[#This Row],[TotalWorkingYears]]&lt;=15,"Mid-Level","Senior"))</f>
        <v>Mid-Level</v>
      </c>
      <c r="AN807" s="11" t="str">
        <f>IF(HR_Data[[#This Row],[PerformanceRating]]=3,"Standard","Excellent")</f>
        <v>Standard</v>
      </c>
      <c r="AO807" s="11" t="str">
        <f>IF(HR_Data[[#This Row],[JobSatisfaction]]&lt;=2,"Low","High")</f>
        <v>High</v>
      </c>
      <c r="AP807" s="11" t="str">
        <f>IF(AND(HR_Data[[#This Row],[OverTime]]="Yes",HR_Data[[#This Row],[JobSatisfaction]]&lt;=2,HR_Data[[#This Row],[YearsAtCompany]]&lt;=2),"High Risk","Normal")</f>
        <v>Normal</v>
      </c>
    </row>
    <row r="808" spans="1:42" x14ac:dyDescent="0.25">
      <c r="A808" s="6">
        <v>52</v>
      </c>
      <c r="B808" s="4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s="11" t="str">
        <f>IF(HR_Data[[#This Row],[Age]]&lt;=25,"18-25",IF(HR_Data[[#This Row],[Age]]&lt;=35,"26-35",IF(HR_Data[[#This Row],[Age]]&lt;=45,"36-45",IF(HR_Data[[#This Row],[Age]]&lt;=55,"46-55","56+"))))</f>
        <v>46-55</v>
      </c>
      <c r="AK808" s="11" t="str">
        <f>IF(HR_Data[[#This Row],[MonthlyIncome]]&lt;3000,"Low",IF(HR_Data[[#This Row],[MonthlyIncome]]&lt;6000,"Medium",IF(HR_Data[[#This Row],[MonthlyIncome]]&lt;10000,"High","Very High")))</f>
        <v>Very High</v>
      </c>
      <c r="AL80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08" t="str">
        <f>IF(HR_Data[[#This Row],[TotalWorkingYears]]&lt;=5,"Junior",IF(HR_Data[[#This Row],[TotalWorkingYears]]&lt;=15,"Mid-Level","Senior"))</f>
        <v>Senior</v>
      </c>
      <c r="AN808" s="11" t="str">
        <f>IF(HR_Data[[#This Row],[PerformanceRating]]=3,"Standard","Excellent")</f>
        <v>Standard</v>
      </c>
      <c r="AO808" s="11" t="str">
        <f>IF(HR_Data[[#This Row],[JobSatisfaction]]&lt;=2,"Low","High")</f>
        <v>Low</v>
      </c>
      <c r="AP808" s="11" t="str">
        <f>IF(AND(HR_Data[[#This Row],[OverTime]]="Yes",HR_Data[[#This Row],[JobSatisfaction]]&lt;=2,HR_Data[[#This Row],[YearsAtCompany]]&lt;=2),"High Risk","Normal")</f>
        <v>Normal</v>
      </c>
    </row>
    <row r="809" spans="1:42" x14ac:dyDescent="0.25">
      <c r="A809" s="6">
        <v>38</v>
      </c>
      <c r="B809" s="4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s="11" t="str">
        <f>IF(HR_Data[[#This Row],[Age]]&lt;=25,"18-25",IF(HR_Data[[#This Row],[Age]]&lt;=35,"26-35",IF(HR_Data[[#This Row],[Age]]&lt;=45,"36-45",IF(HR_Data[[#This Row],[Age]]&lt;=55,"46-55","56+"))))</f>
        <v>36-45</v>
      </c>
      <c r="AK809" s="11" t="str">
        <f>IF(HR_Data[[#This Row],[MonthlyIncome]]&lt;3000,"Low",IF(HR_Data[[#This Row],[MonthlyIncome]]&lt;6000,"Medium",IF(HR_Data[[#This Row],[MonthlyIncome]]&lt;10000,"High","Very High")))</f>
        <v>High</v>
      </c>
      <c r="AL80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09" t="str">
        <f>IF(HR_Data[[#This Row],[TotalWorkingYears]]&lt;=5,"Junior",IF(HR_Data[[#This Row],[TotalWorkingYears]]&lt;=15,"Mid-Level","Senior"))</f>
        <v>Mid-Level</v>
      </c>
      <c r="AN809" s="11" t="str">
        <f>IF(HR_Data[[#This Row],[PerformanceRating]]=3,"Standard","Excellent")</f>
        <v>Standard</v>
      </c>
      <c r="AO809" s="11" t="str">
        <f>IF(HR_Data[[#This Row],[JobSatisfaction]]&lt;=2,"Low","High")</f>
        <v>High</v>
      </c>
      <c r="AP809" s="11" t="str">
        <f>IF(AND(HR_Data[[#This Row],[OverTime]]="Yes",HR_Data[[#This Row],[JobSatisfaction]]&lt;=2,HR_Data[[#This Row],[YearsAtCompany]]&lt;=2),"High Risk","Normal")</f>
        <v>Normal</v>
      </c>
    </row>
    <row r="810" spans="1:42" x14ac:dyDescent="0.25">
      <c r="A810" s="6">
        <v>29</v>
      </c>
      <c r="B810" s="4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s="11" t="str">
        <f>IF(HR_Data[[#This Row],[Age]]&lt;=25,"18-25",IF(HR_Data[[#This Row],[Age]]&lt;=35,"26-35",IF(HR_Data[[#This Row],[Age]]&lt;=45,"36-45",IF(HR_Data[[#This Row],[Age]]&lt;=55,"46-55","56+"))))</f>
        <v>26-35</v>
      </c>
      <c r="AK810" s="11" t="str">
        <f>IF(HR_Data[[#This Row],[MonthlyIncome]]&lt;3000,"Low",IF(HR_Data[[#This Row],[MonthlyIncome]]&lt;6000,"Medium",IF(HR_Data[[#This Row],[MonthlyIncome]]&lt;10000,"High","Very High")))</f>
        <v>Low</v>
      </c>
      <c r="AL81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10" t="str">
        <f>IF(HR_Data[[#This Row],[TotalWorkingYears]]&lt;=5,"Junior",IF(HR_Data[[#This Row],[TotalWorkingYears]]&lt;=15,"Mid-Level","Senior"))</f>
        <v>Mid-Level</v>
      </c>
      <c r="AN810" s="11" t="str">
        <f>IF(HR_Data[[#This Row],[PerformanceRating]]=3,"Standard","Excellent")</f>
        <v>Excellent</v>
      </c>
      <c r="AO810" s="11" t="str">
        <f>IF(HR_Data[[#This Row],[JobSatisfaction]]&lt;=2,"Low","High")</f>
        <v>High</v>
      </c>
      <c r="AP810" s="11" t="str">
        <f>IF(AND(HR_Data[[#This Row],[OverTime]]="Yes",HR_Data[[#This Row],[JobSatisfaction]]&lt;=2,HR_Data[[#This Row],[YearsAtCompany]]&lt;=2),"High Risk","Normal")</f>
        <v>Normal</v>
      </c>
    </row>
    <row r="811" spans="1:42" x14ac:dyDescent="0.25">
      <c r="A811" s="6">
        <v>28</v>
      </c>
      <c r="B811" s="4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s="11" t="str">
        <f>IF(HR_Data[[#This Row],[Age]]&lt;=25,"18-25",IF(HR_Data[[#This Row],[Age]]&lt;=35,"26-35",IF(HR_Data[[#This Row],[Age]]&lt;=45,"36-45",IF(HR_Data[[#This Row],[Age]]&lt;=55,"46-55","56+"))))</f>
        <v>26-35</v>
      </c>
      <c r="AK811" s="11" t="str">
        <f>IF(HR_Data[[#This Row],[MonthlyIncome]]&lt;3000,"Low",IF(HR_Data[[#This Row],[MonthlyIncome]]&lt;6000,"Medium",IF(HR_Data[[#This Row],[MonthlyIncome]]&lt;10000,"High","Very High")))</f>
        <v>High</v>
      </c>
      <c r="AL81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11" t="str">
        <f>IF(HR_Data[[#This Row],[TotalWorkingYears]]&lt;=5,"Junior",IF(HR_Data[[#This Row],[TotalWorkingYears]]&lt;=15,"Mid-Level","Senior"))</f>
        <v>Mid-Level</v>
      </c>
      <c r="AN811" s="11" t="str">
        <f>IF(HR_Data[[#This Row],[PerformanceRating]]=3,"Standard","Excellent")</f>
        <v>Standard</v>
      </c>
      <c r="AO811" s="11" t="str">
        <f>IF(HR_Data[[#This Row],[JobSatisfaction]]&lt;=2,"Low","High")</f>
        <v>Low</v>
      </c>
      <c r="AP811" s="11" t="str">
        <f>IF(AND(HR_Data[[#This Row],[OverTime]]="Yes",HR_Data[[#This Row],[JobSatisfaction]]&lt;=2,HR_Data[[#This Row],[YearsAtCompany]]&lt;=2),"High Risk","Normal")</f>
        <v>Normal</v>
      </c>
    </row>
    <row r="812" spans="1:42" x14ac:dyDescent="0.25">
      <c r="A812" s="6">
        <v>46</v>
      </c>
      <c r="B812" s="4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s="11" t="str">
        <f>IF(HR_Data[[#This Row],[Age]]&lt;=25,"18-25",IF(HR_Data[[#This Row],[Age]]&lt;=35,"26-35",IF(HR_Data[[#This Row],[Age]]&lt;=45,"36-45",IF(HR_Data[[#This Row],[Age]]&lt;=55,"46-55","56+"))))</f>
        <v>46-55</v>
      </c>
      <c r="AK812" s="11" t="str">
        <f>IF(HR_Data[[#This Row],[MonthlyIncome]]&lt;3000,"Low",IF(HR_Data[[#This Row],[MonthlyIncome]]&lt;6000,"Medium",IF(HR_Data[[#This Row],[MonthlyIncome]]&lt;10000,"High","Very High")))</f>
        <v>Very High</v>
      </c>
      <c r="AL81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812" t="str">
        <f>IF(HR_Data[[#This Row],[TotalWorkingYears]]&lt;=5,"Junior",IF(HR_Data[[#This Row],[TotalWorkingYears]]&lt;=15,"Mid-Level","Senior"))</f>
        <v>Senior</v>
      </c>
      <c r="AN812" s="11" t="str">
        <f>IF(HR_Data[[#This Row],[PerformanceRating]]=3,"Standard","Excellent")</f>
        <v>Standard</v>
      </c>
      <c r="AO812" s="11" t="str">
        <f>IF(HR_Data[[#This Row],[JobSatisfaction]]&lt;=2,"Low","High")</f>
        <v>High</v>
      </c>
      <c r="AP812" s="11" t="str">
        <f>IF(AND(HR_Data[[#This Row],[OverTime]]="Yes",HR_Data[[#This Row],[JobSatisfaction]]&lt;=2,HR_Data[[#This Row],[YearsAtCompany]]&lt;=2),"High Risk","Normal")</f>
        <v>Normal</v>
      </c>
    </row>
    <row r="813" spans="1:42" x14ac:dyDescent="0.25">
      <c r="A813" s="6">
        <v>38</v>
      </c>
      <c r="B813" s="4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s="11" t="str">
        <f>IF(HR_Data[[#This Row],[Age]]&lt;=25,"18-25",IF(HR_Data[[#This Row],[Age]]&lt;=35,"26-35",IF(HR_Data[[#This Row],[Age]]&lt;=45,"36-45",IF(HR_Data[[#This Row],[Age]]&lt;=55,"46-55","56+"))))</f>
        <v>36-45</v>
      </c>
      <c r="AK813" s="11" t="str">
        <f>IF(HR_Data[[#This Row],[MonthlyIncome]]&lt;3000,"Low",IF(HR_Data[[#This Row],[MonthlyIncome]]&lt;6000,"Medium",IF(HR_Data[[#This Row],[MonthlyIncome]]&lt;10000,"High","Very High")))</f>
        <v>High</v>
      </c>
      <c r="AL81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13" t="str">
        <f>IF(HR_Data[[#This Row],[TotalWorkingYears]]&lt;=5,"Junior",IF(HR_Data[[#This Row],[TotalWorkingYears]]&lt;=15,"Mid-Level","Senior"))</f>
        <v>Mid-Level</v>
      </c>
      <c r="AN813" s="11" t="str">
        <f>IF(HR_Data[[#This Row],[PerformanceRating]]=3,"Standard","Excellent")</f>
        <v>Standard</v>
      </c>
      <c r="AO813" s="11" t="str">
        <f>IF(HR_Data[[#This Row],[JobSatisfaction]]&lt;=2,"Low","High")</f>
        <v>Low</v>
      </c>
      <c r="AP813" s="11" t="str">
        <f>IF(AND(HR_Data[[#This Row],[OverTime]]="Yes",HR_Data[[#This Row],[JobSatisfaction]]&lt;=2,HR_Data[[#This Row],[YearsAtCompany]]&lt;=2),"High Risk","Normal")</f>
        <v>Normal</v>
      </c>
    </row>
    <row r="814" spans="1:42" x14ac:dyDescent="0.25">
      <c r="A814" s="6">
        <v>43</v>
      </c>
      <c r="B814" s="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s="11" t="str">
        <f>IF(HR_Data[[#This Row],[Age]]&lt;=25,"18-25",IF(HR_Data[[#This Row],[Age]]&lt;=35,"26-35",IF(HR_Data[[#This Row],[Age]]&lt;=45,"36-45",IF(HR_Data[[#This Row],[Age]]&lt;=55,"46-55","56+"))))</f>
        <v>36-45</v>
      </c>
      <c r="AK814" s="11" t="str">
        <f>IF(HR_Data[[#This Row],[MonthlyIncome]]&lt;3000,"Low",IF(HR_Data[[#This Row],[MonthlyIncome]]&lt;6000,"Medium",IF(HR_Data[[#This Row],[MonthlyIncome]]&lt;10000,"High","Very High")))</f>
        <v>Very High</v>
      </c>
      <c r="AL81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14" t="str">
        <f>IF(HR_Data[[#This Row],[TotalWorkingYears]]&lt;=5,"Junior",IF(HR_Data[[#This Row],[TotalWorkingYears]]&lt;=15,"Mid-Level","Senior"))</f>
        <v>Senior</v>
      </c>
      <c r="AN814" s="11" t="str">
        <f>IF(HR_Data[[#This Row],[PerformanceRating]]=3,"Standard","Excellent")</f>
        <v>Standard</v>
      </c>
      <c r="AO814" s="11" t="str">
        <f>IF(HR_Data[[#This Row],[JobSatisfaction]]&lt;=2,"Low","High")</f>
        <v>Low</v>
      </c>
      <c r="AP814" s="11" t="str">
        <f>IF(AND(HR_Data[[#This Row],[OverTime]]="Yes",HR_Data[[#This Row],[JobSatisfaction]]&lt;=2,HR_Data[[#This Row],[YearsAtCompany]]&lt;=2),"High Risk","Normal")</f>
        <v>Normal</v>
      </c>
    </row>
    <row r="815" spans="1:42" x14ac:dyDescent="0.25">
      <c r="A815" s="6">
        <v>39</v>
      </c>
      <c r="B815" s="4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s="11" t="str">
        <f>IF(HR_Data[[#This Row],[Age]]&lt;=25,"18-25",IF(HR_Data[[#This Row],[Age]]&lt;=35,"26-35",IF(HR_Data[[#This Row],[Age]]&lt;=45,"36-45",IF(HR_Data[[#This Row],[Age]]&lt;=55,"46-55","56+"))))</f>
        <v>36-45</v>
      </c>
      <c r="AK815" s="11" t="str">
        <f>IF(HR_Data[[#This Row],[MonthlyIncome]]&lt;3000,"Low",IF(HR_Data[[#This Row],[MonthlyIncome]]&lt;6000,"Medium",IF(HR_Data[[#This Row],[MonthlyIncome]]&lt;10000,"High","Very High")))</f>
        <v>Very High</v>
      </c>
      <c r="AL81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815" t="str">
        <f>IF(HR_Data[[#This Row],[TotalWorkingYears]]&lt;=5,"Junior",IF(HR_Data[[#This Row],[TotalWorkingYears]]&lt;=15,"Mid-Level","Senior"))</f>
        <v>Senior</v>
      </c>
      <c r="AN815" s="11" t="str">
        <f>IF(HR_Data[[#This Row],[PerformanceRating]]=3,"Standard","Excellent")</f>
        <v>Standard</v>
      </c>
      <c r="AO815" s="11" t="str">
        <f>IF(HR_Data[[#This Row],[JobSatisfaction]]&lt;=2,"Low","High")</f>
        <v>High</v>
      </c>
      <c r="AP815" s="11" t="str">
        <f>IF(AND(HR_Data[[#This Row],[OverTime]]="Yes",HR_Data[[#This Row],[JobSatisfaction]]&lt;=2,HR_Data[[#This Row],[YearsAtCompany]]&lt;=2),"High Risk","Normal")</f>
        <v>Normal</v>
      </c>
    </row>
    <row r="816" spans="1:42" x14ac:dyDescent="0.25">
      <c r="A816" s="6">
        <v>40</v>
      </c>
      <c r="B816" s="4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s="11" t="str">
        <f>IF(HR_Data[[#This Row],[Age]]&lt;=25,"18-25",IF(HR_Data[[#This Row],[Age]]&lt;=35,"26-35",IF(HR_Data[[#This Row],[Age]]&lt;=45,"36-45",IF(HR_Data[[#This Row],[Age]]&lt;=55,"46-55","56+"))))</f>
        <v>36-45</v>
      </c>
      <c r="AK816" s="11" t="str">
        <f>IF(HR_Data[[#This Row],[MonthlyIncome]]&lt;3000,"Low",IF(HR_Data[[#This Row],[MonthlyIncome]]&lt;6000,"Medium",IF(HR_Data[[#This Row],[MonthlyIncome]]&lt;10000,"High","Very High")))</f>
        <v>Very High</v>
      </c>
      <c r="AL81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816" t="str">
        <f>IF(HR_Data[[#This Row],[TotalWorkingYears]]&lt;=5,"Junior",IF(HR_Data[[#This Row],[TotalWorkingYears]]&lt;=15,"Mid-Level","Senior"))</f>
        <v>Senior</v>
      </c>
      <c r="AN816" s="11" t="str">
        <f>IF(HR_Data[[#This Row],[PerformanceRating]]=3,"Standard","Excellent")</f>
        <v>Standard</v>
      </c>
      <c r="AO816" s="11" t="str">
        <f>IF(HR_Data[[#This Row],[JobSatisfaction]]&lt;=2,"Low","High")</f>
        <v>High</v>
      </c>
      <c r="AP816" s="11" t="str">
        <f>IF(AND(HR_Data[[#This Row],[OverTime]]="Yes",HR_Data[[#This Row],[JobSatisfaction]]&lt;=2,HR_Data[[#This Row],[YearsAtCompany]]&lt;=2),"High Risk","Normal")</f>
        <v>Normal</v>
      </c>
    </row>
    <row r="817" spans="1:42" x14ac:dyDescent="0.25">
      <c r="A817" s="6">
        <v>21</v>
      </c>
      <c r="B817" s="4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s="11" t="str">
        <f>IF(HR_Data[[#This Row],[Age]]&lt;=25,"18-25",IF(HR_Data[[#This Row],[Age]]&lt;=35,"26-35",IF(HR_Data[[#This Row],[Age]]&lt;=45,"36-45",IF(HR_Data[[#This Row],[Age]]&lt;=55,"46-55","56+"))))</f>
        <v>18-25</v>
      </c>
      <c r="AK817" s="11" t="str">
        <f>IF(HR_Data[[#This Row],[MonthlyIncome]]&lt;3000,"Low",IF(HR_Data[[#This Row],[MonthlyIncome]]&lt;6000,"Medium",IF(HR_Data[[#This Row],[MonthlyIncome]]&lt;10000,"High","Very High")))</f>
        <v>Low</v>
      </c>
      <c r="AL81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17" t="str">
        <f>IF(HR_Data[[#This Row],[TotalWorkingYears]]&lt;=5,"Junior",IF(HR_Data[[#This Row],[TotalWorkingYears]]&lt;=15,"Mid-Level","Senior"))</f>
        <v>Junior</v>
      </c>
      <c r="AN817" s="11" t="str">
        <f>IF(HR_Data[[#This Row],[PerformanceRating]]=3,"Standard","Excellent")</f>
        <v>Standard</v>
      </c>
      <c r="AO817" s="11" t="str">
        <f>IF(HR_Data[[#This Row],[JobSatisfaction]]&lt;=2,"Low","High")</f>
        <v>Low</v>
      </c>
      <c r="AP817" s="11" t="str">
        <f>IF(AND(HR_Data[[#This Row],[OverTime]]="Yes",HR_Data[[#This Row],[JobSatisfaction]]&lt;=2,HR_Data[[#This Row],[YearsAtCompany]]&lt;=2),"High Risk","Normal")</f>
        <v>High Risk</v>
      </c>
    </row>
    <row r="818" spans="1:42" x14ac:dyDescent="0.25">
      <c r="A818" s="6">
        <v>39</v>
      </c>
      <c r="B818" s="4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s="11" t="str">
        <f>IF(HR_Data[[#This Row],[Age]]&lt;=25,"18-25",IF(HR_Data[[#This Row],[Age]]&lt;=35,"26-35",IF(HR_Data[[#This Row],[Age]]&lt;=45,"36-45",IF(HR_Data[[#This Row],[Age]]&lt;=55,"46-55","56+"))))</f>
        <v>36-45</v>
      </c>
      <c r="AK818" s="11" t="str">
        <f>IF(HR_Data[[#This Row],[MonthlyIncome]]&lt;3000,"Low",IF(HR_Data[[#This Row],[MonthlyIncome]]&lt;6000,"Medium",IF(HR_Data[[#This Row],[MonthlyIncome]]&lt;10000,"High","Very High")))</f>
        <v>High</v>
      </c>
      <c r="AL81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18" t="str">
        <f>IF(HR_Data[[#This Row],[TotalWorkingYears]]&lt;=5,"Junior",IF(HR_Data[[#This Row],[TotalWorkingYears]]&lt;=15,"Mid-Level","Senior"))</f>
        <v>Mid-Level</v>
      </c>
      <c r="AN818" s="11" t="str">
        <f>IF(HR_Data[[#This Row],[PerformanceRating]]=3,"Standard","Excellent")</f>
        <v>Standard</v>
      </c>
      <c r="AO818" s="11" t="str">
        <f>IF(HR_Data[[#This Row],[JobSatisfaction]]&lt;=2,"Low","High")</f>
        <v>Low</v>
      </c>
      <c r="AP818" s="11" t="str">
        <f>IF(AND(HR_Data[[#This Row],[OverTime]]="Yes",HR_Data[[#This Row],[JobSatisfaction]]&lt;=2,HR_Data[[#This Row],[YearsAtCompany]]&lt;=2),"High Risk","Normal")</f>
        <v>Normal</v>
      </c>
    </row>
    <row r="819" spans="1:42" x14ac:dyDescent="0.25">
      <c r="A819" s="6">
        <v>36</v>
      </c>
      <c r="B819" s="4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s="11" t="str">
        <f>IF(HR_Data[[#This Row],[Age]]&lt;=25,"18-25",IF(HR_Data[[#This Row],[Age]]&lt;=35,"26-35",IF(HR_Data[[#This Row],[Age]]&lt;=45,"36-45",IF(HR_Data[[#This Row],[Age]]&lt;=55,"46-55","56+"))))</f>
        <v>36-45</v>
      </c>
      <c r="AK819" s="11" t="str">
        <f>IF(HR_Data[[#This Row],[MonthlyIncome]]&lt;3000,"Low",IF(HR_Data[[#This Row],[MonthlyIncome]]&lt;6000,"Medium",IF(HR_Data[[#This Row],[MonthlyIncome]]&lt;10000,"High","Very High")))</f>
        <v>High</v>
      </c>
      <c r="AL81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819" t="str">
        <f>IF(HR_Data[[#This Row],[TotalWorkingYears]]&lt;=5,"Junior",IF(HR_Data[[#This Row],[TotalWorkingYears]]&lt;=15,"Mid-Level","Senior"))</f>
        <v>Senior</v>
      </c>
      <c r="AN819" s="11" t="str">
        <f>IF(HR_Data[[#This Row],[PerformanceRating]]=3,"Standard","Excellent")</f>
        <v>Excellent</v>
      </c>
      <c r="AO819" s="11" t="str">
        <f>IF(HR_Data[[#This Row],[JobSatisfaction]]&lt;=2,"Low","High")</f>
        <v>High</v>
      </c>
      <c r="AP819" s="11" t="str">
        <f>IF(AND(HR_Data[[#This Row],[OverTime]]="Yes",HR_Data[[#This Row],[JobSatisfaction]]&lt;=2,HR_Data[[#This Row],[YearsAtCompany]]&lt;=2),"High Risk","Normal")</f>
        <v>Normal</v>
      </c>
    </row>
    <row r="820" spans="1:42" x14ac:dyDescent="0.25">
      <c r="A820" s="6">
        <v>31</v>
      </c>
      <c r="B820" s="4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s="11" t="str">
        <f>IF(HR_Data[[#This Row],[Age]]&lt;=25,"18-25",IF(HR_Data[[#This Row],[Age]]&lt;=35,"26-35",IF(HR_Data[[#This Row],[Age]]&lt;=45,"36-45",IF(HR_Data[[#This Row],[Age]]&lt;=55,"46-55","56+"))))</f>
        <v>26-35</v>
      </c>
      <c r="AK820" s="11" t="str">
        <f>IF(HR_Data[[#This Row],[MonthlyIncome]]&lt;3000,"Low",IF(HR_Data[[#This Row],[MonthlyIncome]]&lt;6000,"Medium",IF(HR_Data[[#This Row],[MonthlyIncome]]&lt;10000,"High","Very High")))</f>
        <v>Low</v>
      </c>
      <c r="AL82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20" t="str">
        <f>IF(HR_Data[[#This Row],[TotalWorkingYears]]&lt;=5,"Junior",IF(HR_Data[[#This Row],[TotalWorkingYears]]&lt;=15,"Mid-Level","Senior"))</f>
        <v>Junior</v>
      </c>
      <c r="AN820" s="11" t="str">
        <f>IF(HR_Data[[#This Row],[PerformanceRating]]=3,"Standard","Excellent")</f>
        <v>Standard</v>
      </c>
      <c r="AO820" s="11" t="str">
        <f>IF(HR_Data[[#This Row],[JobSatisfaction]]&lt;=2,"Low","High")</f>
        <v>High</v>
      </c>
      <c r="AP820" s="11" t="str">
        <f>IF(AND(HR_Data[[#This Row],[OverTime]]="Yes",HR_Data[[#This Row],[JobSatisfaction]]&lt;=2,HR_Data[[#This Row],[YearsAtCompany]]&lt;=2),"High Risk","Normal")</f>
        <v>Normal</v>
      </c>
    </row>
    <row r="821" spans="1:42" x14ac:dyDescent="0.25">
      <c r="A821" s="6">
        <v>28</v>
      </c>
      <c r="B821" s="4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s="11" t="str">
        <f>IF(HR_Data[[#This Row],[Age]]&lt;=25,"18-25",IF(HR_Data[[#This Row],[Age]]&lt;=35,"26-35",IF(HR_Data[[#This Row],[Age]]&lt;=45,"36-45",IF(HR_Data[[#This Row],[Age]]&lt;=55,"46-55","56+"))))</f>
        <v>26-35</v>
      </c>
      <c r="AK821" s="11" t="str">
        <f>IF(HR_Data[[#This Row],[MonthlyIncome]]&lt;3000,"Low",IF(HR_Data[[#This Row],[MonthlyIncome]]&lt;6000,"Medium",IF(HR_Data[[#This Row],[MonthlyIncome]]&lt;10000,"High","Very High")))</f>
        <v>Medium</v>
      </c>
      <c r="AL82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21" t="str">
        <f>IF(HR_Data[[#This Row],[TotalWorkingYears]]&lt;=5,"Junior",IF(HR_Data[[#This Row],[TotalWorkingYears]]&lt;=15,"Mid-Level","Senior"))</f>
        <v>Mid-Level</v>
      </c>
      <c r="AN821" s="11" t="str">
        <f>IF(HR_Data[[#This Row],[PerformanceRating]]=3,"Standard","Excellent")</f>
        <v>Standard</v>
      </c>
      <c r="AO821" s="11" t="str">
        <f>IF(HR_Data[[#This Row],[JobSatisfaction]]&lt;=2,"Low","High")</f>
        <v>Low</v>
      </c>
      <c r="AP821" s="11" t="str">
        <f>IF(AND(HR_Data[[#This Row],[OverTime]]="Yes",HR_Data[[#This Row],[JobSatisfaction]]&lt;=2,HR_Data[[#This Row],[YearsAtCompany]]&lt;=2),"High Risk","Normal")</f>
        <v>Normal</v>
      </c>
    </row>
    <row r="822" spans="1:42" x14ac:dyDescent="0.25">
      <c r="A822" s="6">
        <v>35</v>
      </c>
      <c r="B822" s="4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s="11" t="str">
        <f>IF(HR_Data[[#This Row],[Age]]&lt;=25,"18-25",IF(HR_Data[[#This Row],[Age]]&lt;=35,"26-35",IF(HR_Data[[#This Row],[Age]]&lt;=45,"36-45",IF(HR_Data[[#This Row],[Age]]&lt;=55,"46-55","56+"))))</f>
        <v>26-35</v>
      </c>
      <c r="AK822" s="11" t="str">
        <f>IF(HR_Data[[#This Row],[MonthlyIncome]]&lt;3000,"Low",IF(HR_Data[[#This Row],[MonthlyIncome]]&lt;6000,"Medium",IF(HR_Data[[#This Row],[MonthlyIncome]]&lt;10000,"High","Very High")))</f>
        <v>Medium</v>
      </c>
      <c r="AL82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22" t="str">
        <f>IF(HR_Data[[#This Row],[TotalWorkingYears]]&lt;=5,"Junior",IF(HR_Data[[#This Row],[TotalWorkingYears]]&lt;=15,"Mid-Level","Senior"))</f>
        <v>Junior</v>
      </c>
      <c r="AN822" s="11" t="str">
        <f>IF(HR_Data[[#This Row],[PerformanceRating]]=3,"Standard","Excellent")</f>
        <v>Standard</v>
      </c>
      <c r="AO822" s="11" t="str">
        <f>IF(HR_Data[[#This Row],[JobSatisfaction]]&lt;=2,"Low","High")</f>
        <v>High</v>
      </c>
      <c r="AP822" s="11" t="str">
        <f>IF(AND(HR_Data[[#This Row],[OverTime]]="Yes",HR_Data[[#This Row],[JobSatisfaction]]&lt;=2,HR_Data[[#This Row],[YearsAtCompany]]&lt;=2),"High Risk","Normal")</f>
        <v>Normal</v>
      </c>
    </row>
    <row r="823" spans="1:42" x14ac:dyDescent="0.25">
      <c r="A823" s="6">
        <v>49</v>
      </c>
      <c r="B823" s="4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s="11" t="str">
        <f>IF(HR_Data[[#This Row],[Age]]&lt;=25,"18-25",IF(HR_Data[[#This Row],[Age]]&lt;=35,"26-35",IF(HR_Data[[#This Row],[Age]]&lt;=45,"36-45",IF(HR_Data[[#This Row],[Age]]&lt;=55,"46-55","56+"))))</f>
        <v>46-55</v>
      </c>
      <c r="AK823" s="11" t="str">
        <f>IF(HR_Data[[#This Row],[MonthlyIncome]]&lt;3000,"Low",IF(HR_Data[[#This Row],[MonthlyIncome]]&lt;6000,"Medium",IF(HR_Data[[#This Row],[MonthlyIncome]]&lt;10000,"High","Very High")))</f>
        <v>Very High</v>
      </c>
      <c r="AL82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23" t="str">
        <f>IF(HR_Data[[#This Row],[TotalWorkingYears]]&lt;=5,"Junior",IF(HR_Data[[#This Row],[TotalWorkingYears]]&lt;=15,"Mid-Level","Senior"))</f>
        <v>Senior</v>
      </c>
      <c r="AN823" s="11" t="str">
        <f>IF(HR_Data[[#This Row],[PerformanceRating]]=3,"Standard","Excellent")</f>
        <v>Standard</v>
      </c>
      <c r="AO823" s="11" t="str">
        <f>IF(HR_Data[[#This Row],[JobSatisfaction]]&lt;=2,"Low","High")</f>
        <v>Low</v>
      </c>
      <c r="AP823" s="11" t="str">
        <f>IF(AND(HR_Data[[#This Row],[OverTime]]="Yes",HR_Data[[#This Row],[JobSatisfaction]]&lt;=2,HR_Data[[#This Row],[YearsAtCompany]]&lt;=2),"High Risk","Normal")</f>
        <v>Normal</v>
      </c>
    </row>
    <row r="824" spans="1:42" x14ac:dyDescent="0.25">
      <c r="A824" s="6">
        <v>34</v>
      </c>
      <c r="B824" s="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s="11" t="str">
        <f>IF(HR_Data[[#This Row],[Age]]&lt;=25,"18-25",IF(HR_Data[[#This Row],[Age]]&lt;=35,"26-35",IF(HR_Data[[#This Row],[Age]]&lt;=45,"36-45",IF(HR_Data[[#This Row],[Age]]&lt;=55,"46-55","56+"))))</f>
        <v>26-35</v>
      </c>
      <c r="AK824" s="11" t="str">
        <f>IF(HR_Data[[#This Row],[MonthlyIncome]]&lt;3000,"Low",IF(HR_Data[[#This Row],[MonthlyIncome]]&lt;6000,"Medium",IF(HR_Data[[#This Row],[MonthlyIncome]]&lt;10000,"High","Very High")))</f>
        <v>Medium</v>
      </c>
      <c r="AL82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24" t="str">
        <f>IF(HR_Data[[#This Row],[TotalWorkingYears]]&lt;=5,"Junior",IF(HR_Data[[#This Row],[TotalWorkingYears]]&lt;=15,"Mid-Level","Senior"))</f>
        <v>Junior</v>
      </c>
      <c r="AN824" s="11" t="str">
        <f>IF(HR_Data[[#This Row],[PerformanceRating]]=3,"Standard","Excellent")</f>
        <v>Standard</v>
      </c>
      <c r="AO824" s="11" t="str">
        <f>IF(HR_Data[[#This Row],[JobSatisfaction]]&lt;=2,"Low","High")</f>
        <v>High</v>
      </c>
      <c r="AP824" s="11" t="str">
        <f>IF(AND(HR_Data[[#This Row],[OverTime]]="Yes",HR_Data[[#This Row],[JobSatisfaction]]&lt;=2,HR_Data[[#This Row],[YearsAtCompany]]&lt;=2),"High Risk","Normal")</f>
        <v>Normal</v>
      </c>
    </row>
    <row r="825" spans="1:42" x14ac:dyDescent="0.25">
      <c r="A825" s="6">
        <v>29</v>
      </c>
      <c r="B825" s="4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s="11" t="str">
        <f>IF(HR_Data[[#This Row],[Age]]&lt;=25,"18-25",IF(HR_Data[[#This Row],[Age]]&lt;=35,"26-35",IF(HR_Data[[#This Row],[Age]]&lt;=45,"36-45",IF(HR_Data[[#This Row],[Age]]&lt;=55,"46-55","56+"))))</f>
        <v>26-35</v>
      </c>
      <c r="AK825" s="11" t="str">
        <f>IF(HR_Data[[#This Row],[MonthlyIncome]]&lt;3000,"Low",IF(HR_Data[[#This Row],[MonthlyIncome]]&lt;6000,"Medium",IF(HR_Data[[#This Row],[MonthlyIncome]]&lt;10000,"High","Very High")))</f>
        <v>Medium</v>
      </c>
      <c r="AL82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25" t="str">
        <f>IF(HR_Data[[#This Row],[TotalWorkingYears]]&lt;=5,"Junior",IF(HR_Data[[#This Row],[TotalWorkingYears]]&lt;=15,"Mid-Level","Senior"))</f>
        <v>Mid-Level</v>
      </c>
      <c r="AN825" s="11" t="str">
        <f>IF(HR_Data[[#This Row],[PerformanceRating]]=3,"Standard","Excellent")</f>
        <v>Standard</v>
      </c>
      <c r="AO825" s="11" t="str">
        <f>IF(HR_Data[[#This Row],[JobSatisfaction]]&lt;=2,"Low","High")</f>
        <v>Low</v>
      </c>
      <c r="AP825" s="11" t="str">
        <f>IF(AND(HR_Data[[#This Row],[OverTime]]="Yes",HR_Data[[#This Row],[JobSatisfaction]]&lt;=2,HR_Data[[#This Row],[YearsAtCompany]]&lt;=2),"High Risk","Normal")</f>
        <v>Normal</v>
      </c>
    </row>
    <row r="826" spans="1:42" x14ac:dyDescent="0.25">
      <c r="A826" s="6">
        <v>42</v>
      </c>
      <c r="B826" s="4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s="11" t="str">
        <f>IF(HR_Data[[#This Row],[Age]]&lt;=25,"18-25",IF(HR_Data[[#This Row],[Age]]&lt;=35,"26-35",IF(HR_Data[[#This Row],[Age]]&lt;=45,"36-45",IF(HR_Data[[#This Row],[Age]]&lt;=55,"46-55","56+"))))</f>
        <v>36-45</v>
      </c>
      <c r="AK826" s="11" t="str">
        <f>IF(HR_Data[[#This Row],[MonthlyIncome]]&lt;3000,"Low",IF(HR_Data[[#This Row],[MonthlyIncome]]&lt;6000,"Medium",IF(HR_Data[[#This Row],[MonthlyIncome]]&lt;10000,"High","Very High")))</f>
        <v>Medium</v>
      </c>
      <c r="AL82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26" t="str">
        <f>IF(HR_Data[[#This Row],[TotalWorkingYears]]&lt;=5,"Junior",IF(HR_Data[[#This Row],[TotalWorkingYears]]&lt;=15,"Mid-Level","Senior"))</f>
        <v>Senior</v>
      </c>
      <c r="AN826" s="11" t="str">
        <f>IF(HR_Data[[#This Row],[PerformanceRating]]=3,"Standard","Excellent")</f>
        <v>Standard</v>
      </c>
      <c r="AO826" s="11" t="str">
        <f>IF(HR_Data[[#This Row],[JobSatisfaction]]&lt;=2,"Low","High")</f>
        <v>High</v>
      </c>
      <c r="AP826" s="11" t="str">
        <f>IF(AND(HR_Data[[#This Row],[OverTime]]="Yes",HR_Data[[#This Row],[JobSatisfaction]]&lt;=2,HR_Data[[#This Row],[YearsAtCompany]]&lt;=2),"High Risk","Normal")</f>
        <v>Normal</v>
      </c>
    </row>
    <row r="827" spans="1:42" x14ac:dyDescent="0.25">
      <c r="A827" s="6">
        <v>29</v>
      </c>
      <c r="B827" s="4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s="11" t="str">
        <f>IF(HR_Data[[#This Row],[Age]]&lt;=25,"18-25",IF(HR_Data[[#This Row],[Age]]&lt;=35,"26-35",IF(HR_Data[[#This Row],[Age]]&lt;=45,"36-45",IF(HR_Data[[#This Row],[Age]]&lt;=55,"46-55","56+"))))</f>
        <v>26-35</v>
      </c>
      <c r="AK827" s="11" t="str">
        <f>IF(HR_Data[[#This Row],[MonthlyIncome]]&lt;3000,"Low",IF(HR_Data[[#This Row],[MonthlyIncome]]&lt;6000,"Medium",IF(HR_Data[[#This Row],[MonthlyIncome]]&lt;10000,"High","Very High")))</f>
        <v>Medium</v>
      </c>
      <c r="AL82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27" t="str">
        <f>IF(HR_Data[[#This Row],[TotalWorkingYears]]&lt;=5,"Junior",IF(HR_Data[[#This Row],[TotalWorkingYears]]&lt;=15,"Mid-Level","Senior"))</f>
        <v>Mid-Level</v>
      </c>
      <c r="AN827" s="11" t="str">
        <f>IF(HR_Data[[#This Row],[PerformanceRating]]=3,"Standard","Excellent")</f>
        <v>Standard</v>
      </c>
      <c r="AO827" s="11" t="str">
        <f>IF(HR_Data[[#This Row],[JobSatisfaction]]&lt;=2,"Low","High")</f>
        <v>High</v>
      </c>
      <c r="AP827" s="11" t="str">
        <f>IF(AND(HR_Data[[#This Row],[OverTime]]="Yes",HR_Data[[#This Row],[JobSatisfaction]]&lt;=2,HR_Data[[#This Row],[YearsAtCompany]]&lt;=2),"High Risk","Normal")</f>
        <v>Normal</v>
      </c>
    </row>
    <row r="828" spans="1:42" x14ac:dyDescent="0.25">
      <c r="A828" s="6">
        <v>38</v>
      </c>
      <c r="B828" s="4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s="11" t="str">
        <f>IF(HR_Data[[#This Row],[Age]]&lt;=25,"18-25",IF(HR_Data[[#This Row],[Age]]&lt;=35,"26-35",IF(HR_Data[[#This Row],[Age]]&lt;=45,"36-45",IF(HR_Data[[#This Row],[Age]]&lt;=55,"46-55","56+"))))</f>
        <v>36-45</v>
      </c>
      <c r="AK828" s="11" t="str">
        <f>IF(HR_Data[[#This Row],[MonthlyIncome]]&lt;3000,"Low",IF(HR_Data[[#This Row],[MonthlyIncome]]&lt;6000,"Medium",IF(HR_Data[[#This Row],[MonthlyIncome]]&lt;10000,"High","Very High")))</f>
        <v>Low</v>
      </c>
      <c r="AL82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28" t="str">
        <f>IF(HR_Data[[#This Row],[TotalWorkingYears]]&lt;=5,"Junior",IF(HR_Data[[#This Row],[TotalWorkingYears]]&lt;=15,"Mid-Level","Senior"))</f>
        <v>Mid-Level</v>
      </c>
      <c r="AN828" s="11" t="str">
        <f>IF(HR_Data[[#This Row],[PerformanceRating]]=3,"Standard","Excellent")</f>
        <v>Standard</v>
      </c>
      <c r="AO828" s="11" t="str">
        <f>IF(HR_Data[[#This Row],[JobSatisfaction]]&lt;=2,"Low","High")</f>
        <v>High</v>
      </c>
      <c r="AP828" s="11" t="str">
        <f>IF(AND(HR_Data[[#This Row],[OverTime]]="Yes",HR_Data[[#This Row],[JobSatisfaction]]&lt;=2,HR_Data[[#This Row],[YearsAtCompany]]&lt;=2),"High Risk","Normal")</f>
        <v>Normal</v>
      </c>
    </row>
    <row r="829" spans="1:42" x14ac:dyDescent="0.25">
      <c r="A829" s="6">
        <v>28</v>
      </c>
      <c r="B829" s="4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s="11" t="str">
        <f>IF(HR_Data[[#This Row],[Age]]&lt;=25,"18-25",IF(HR_Data[[#This Row],[Age]]&lt;=35,"26-35",IF(HR_Data[[#This Row],[Age]]&lt;=45,"36-45",IF(HR_Data[[#This Row],[Age]]&lt;=55,"46-55","56+"))))</f>
        <v>26-35</v>
      </c>
      <c r="AK829" s="11" t="str">
        <f>IF(HR_Data[[#This Row],[MonthlyIncome]]&lt;3000,"Low",IF(HR_Data[[#This Row],[MonthlyIncome]]&lt;6000,"Medium",IF(HR_Data[[#This Row],[MonthlyIncome]]&lt;10000,"High","Very High")))</f>
        <v>Low</v>
      </c>
      <c r="AL82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29" t="str">
        <f>IF(HR_Data[[#This Row],[TotalWorkingYears]]&lt;=5,"Junior",IF(HR_Data[[#This Row],[TotalWorkingYears]]&lt;=15,"Mid-Level","Senior"))</f>
        <v>Junior</v>
      </c>
      <c r="AN829" s="11" t="str">
        <f>IF(HR_Data[[#This Row],[PerformanceRating]]=3,"Standard","Excellent")</f>
        <v>Standard</v>
      </c>
      <c r="AO829" s="11" t="str">
        <f>IF(HR_Data[[#This Row],[JobSatisfaction]]&lt;=2,"Low","High")</f>
        <v>High</v>
      </c>
      <c r="AP829" s="11" t="str">
        <f>IF(AND(HR_Data[[#This Row],[OverTime]]="Yes",HR_Data[[#This Row],[JobSatisfaction]]&lt;=2,HR_Data[[#This Row],[YearsAtCompany]]&lt;=2),"High Risk","Normal")</f>
        <v>Normal</v>
      </c>
    </row>
    <row r="830" spans="1:42" x14ac:dyDescent="0.25">
      <c r="A830" s="6">
        <v>18</v>
      </c>
      <c r="B830" s="4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s="11" t="str">
        <f>IF(HR_Data[[#This Row],[Age]]&lt;=25,"18-25",IF(HR_Data[[#This Row],[Age]]&lt;=35,"26-35",IF(HR_Data[[#This Row],[Age]]&lt;=45,"36-45",IF(HR_Data[[#This Row],[Age]]&lt;=55,"46-55","56+"))))</f>
        <v>18-25</v>
      </c>
      <c r="AK830" s="11" t="str">
        <f>IF(HR_Data[[#This Row],[MonthlyIncome]]&lt;3000,"Low",IF(HR_Data[[#This Row],[MonthlyIncome]]&lt;6000,"Medium",IF(HR_Data[[#This Row],[MonthlyIncome]]&lt;10000,"High","Very High")))</f>
        <v>Low</v>
      </c>
      <c r="AL83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30" t="str">
        <f>IF(HR_Data[[#This Row],[TotalWorkingYears]]&lt;=5,"Junior",IF(HR_Data[[#This Row],[TotalWorkingYears]]&lt;=15,"Mid-Level","Senior"))</f>
        <v>Junior</v>
      </c>
      <c r="AN830" s="11" t="str">
        <f>IF(HR_Data[[#This Row],[PerformanceRating]]=3,"Standard","Excellent")</f>
        <v>Standard</v>
      </c>
      <c r="AO830" s="11" t="str">
        <f>IF(HR_Data[[#This Row],[JobSatisfaction]]&lt;=2,"Low","High")</f>
        <v>High</v>
      </c>
      <c r="AP830" s="11" t="str">
        <f>IF(AND(HR_Data[[#This Row],[OverTime]]="Yes",HR_Data[[#This Row],[JobSatisfaction]]&lt;=2,HR_Data[[#This Row],[YearsAtCompany]]&lt;=2),"High Risk","Normal")</f>
        <v>Normal</v>
      </c>
    </row>
    <row r="831" spans="1:42" x14ac:dyDescent="0.25">
      <c r="A831" s="6">
        <v>33</v>
      </c>
      <c r="B831" s="4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s="11" t="str">
        <f>IF(HR_Data[[#This Row],[Age]]&lt;=25,"18-25",IF(HR_Data[[#This Row],[Age]]&lt;=35,"26-35",IF(HR_Data[[#This Row],[Age]]&lt;=45,"36-45",IF(HR_Data[[#This Row],[Age]]&lt;=55,"46-55","56+"))))</f>
        <v>26-35</v>
      </c>
      <c r="AK831" s="11" t="str">
        <f>IF(HR_Data[[#This Row],[MonthlyIncome]]&lt;3000,"Low",IF(HR_Data[[#This Row],[MonthlyIncome]]&lt;6000,"Medium",IF(HR_Data[[#This Row],[MonthlyIncome]]&lt;10000,"High","Very High")))</f>
        <v>High</v>
      </c>
      <c r="AL83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31" t="str">
        <f>IF(HR_Data[[#This Row],[TotalWorkingYears]]&lt;=5,"Junior",IF(HR_Data[[#This Row],[TotalWorkingYears]]&lt;=15,"Mid-Level","Senior"))</f>
        <v>Mid-Level</v>
      </c>
      <c r="AN831" s="11" t="str">
        <f>IF(HR_Data[[#This Row],[PerformanceRating]]=3,"Standard","Excellent")</f>
        <v>Standard</v>
      </c>
      <c r="AO831" s="11" t="str">
        <f>IF(HR_Data[[#This Row],[JobSatisfaction]]&lt;=2,"Low","High")</f>
        <v>Low</v>
      </c>
      <c r="AP831" s="11" t="str">
        <f>IF(AND(HR_Data[[#This Row],[OverTime]]="Yes",HR_Data[[#This Row],[JobSatisfaction]]&lt;=2,HR_Data[[#This Row],[YearsAtCompany]]&lt;=2),"High Risk","Normal")</f>
        <v>Normal</v>
      </c>
    </row>
    <row r="832" spans="1:42" x14ac:dyDescent="0.25">
      <c r="A832" s="6">
        <v>41</v>
      </c>
      <c r="B832" s="4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s="11" t="str">
        <f>IF(HR_Data[[#This Row],[Age]]&lt;=25,"18-25",IF(HR_Data[[#This Row],[Age]]&lt;=35,"26-35",IF(HR_Data[[#This Row],[Age]]&lt;=45,"36-45",IF(HR_Data[[#This Row],[Age]]&lt;=55,"46-55","56+"))))</f>
        <v>36-45</v>
      </c>
      <c r="AK832" s="11" t="str">
        <f>IF(HR_Data[[#This Row],[MonthlyIncome]]&lt;3000,"Low",IF(HR_Data[[#This Row],[MonthlyIncome]]&lt;6000,"Medium",IF(HR_Data[[#This Row],[MonthlyIncome]]&lt;10000,"High","Very High")))</f>
        <v>Medium</v>
      </c>
      <c r="AL83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32" t="str">
        <f>IF(HR_Data[[#This Row],[TotalWorkingYears]]&lt;=5,"Junior",IF(HR_Data[[#This Row],[TotalWorkingYears]]&lt;=15,"Mid-Level","Senior"))</f>
        <v>Mid-Level</v>
      </c>
      <c r="AN832" s="11" t="str">
        <f>IF(HR_Data[[#This Row],[PerformanceRating]]=3,"Standard","Excellent")</f>
        <v>Standard</v>
      </c>
      <c r="AO832" s="11" t="str">
        <f>IF(HR_Data[[#This Row],[JobSatisfaction]]&lt;=2,"Low","High")</f>
        <v>High</v>
      </c>
      <c r="AP832" s="11" t="str">
        <f>IF(AND(HR_Data[[#This Row],[OverTime]]="Yes",HR_Data[[#This Row],[JobSatisfaction]]&lt;=2,HR_Data[[#This Row],[YearsAtCompany]]&lt;=2),"High Risk","Normal")</f>
        <v>Normal</v>
      </c>
    </row>
    <row r="833" spans="1:42" x14ac:dyDescent="0.25">
      <c r="A833" s="6">
        <v>31</v>
      </c>
      <c r="B833" s="4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s="11" t="str">
        <f>IF(HR_Data[[#This Row],[Age]]&lt;=25,"18-25",IF(HR_Data[[#This Row],[Age]]&lt;=35,"26-35",IF(HR_Data[[#This Row],[Age]]&lt;=45,"36-45",IF(HR_Data[[#This Row],[Age]]&lt;=55,"46-55","56+"))))</f>
        <v>26-35</v>
      </c>
      <c r="AK833" s="11" t="str">
        <f>IF(HR_Data[[#This Row],[MonthlyIncome]]&lt;3000,"Low",IF(HR_Data[[#This Row],[MonthlyIncome]]&lt;6000,"Medium",IF(HR_Data[[#This Row],[MonthlyIncome]]&lt;10000,"High","Very High")))</f>
        <v>Low</v>
      </c>
      <c r="AL83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33" t="str">
        <f>IF(HR_Data[[#This Row],[TotalWorkingYears]]&lt;=5,"Junior",IF(HR_Data[[#This Row],[TotalWorkingYears]]&lt;=15,"Mid-Level","Senior"))</f>
        <v>Junior</v>
      </c>
      <c r="AN833" s="11" t="str">
        <f>IF(HR_Data[[#This Row],[PerformanceRating]]=3,"Standard","Excellent")</f>
        <v>Standard</v>
      </c>
      <c r="AO833" s="11" t="str">
        <f>IF(HR_Data[[#This Row],[JobSatisfaction]]&lt;=2,"Low","High")</f>
        <v>High</v>
      </c>
      <c r="AP833" s="11" t="str">
        <f>IF(AND(HR_Data[[#This Row],[OverTime]]="Yes",HR_Data[[#This Row],[JobSatisfaction]]&lt;=2,HR_Data[[#This Row],[YearsAtCompany]]&lt;=2),"High Risk","Normal")</f>
        <v>Normal</v>
      </c>
    </row>
    <row r="834" spans="1:42" x14ac:dyDescent="0.25">
      <c r="A834" s="6">
        <v>37</v>
      </c>
      <c r="B834" s="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s="11" t="str">
        <f>IF(HR_Data[[#This Row],[Age]]&lt;=25,"18-25",IF(HR_Data[[#This Row],[Age]]&lt;=35,"26-35",IF(HR_Data[[#This Row],[Age]]&lt;=45,"36-45",IF(HR_Data[[#This Row],[Age]]&lt;=55,"46-55","56+"))))</f>
        <v>36-45</v>
      </c>
      <c r="AK834" s="11" t="str">
        <f>IF(HR_Data[[#This Row],[MonthlyIncome]]&lt;3000,"Low",IF(HR_Data[[#This Row],[MonthlyIncome]]&lt;6000,"Medium",IF(HR_Data[[#This Row],[MonthlyIncome]]&lt;10000,"High","Very High")))</f>
        <v>Medium</v>
      </c>
      <c r="AL83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34" t="str">
        <f>IF(HR_Data[[#This Row],[TotalWorkingYears]]&lt;=5,"Junior",IF(HR_Data[[#This Row],[TotalWorkingYears]]&lt;=15,"Mid-Level","Senior"))</f>
        <v>Mid-Level</v>
      </c>
      <c r="AN834" s="11" t="str">
        <f>IF(HR_Data[[#This Row],[PerformanceRating]]=3,"Standard","Excellent")</f>
        <v>Standard</v>
      </c>
      <c r="AO834" s="11" t="str">
        <f>IF(HR_Data[[#This Row],[JobSatisfaction]]&lt;=2,"Low","High")</f>
        <v>High</v>
      </c>
      <c r="AP834" s="11" t="str">
        <f>IF(AND(HR_Data[[#This Row],[OverTime]]="Yes",HR_Data[[#This Row],[JobSatisfaction]]&lt;=2,HR_Data[[#This Row],[YearsAtCompany]]&lt;=2),"High Risk","Normal")</f>
        <v>Normal</v>
      </c>
    </row>
    <row r="835" spans="1:42" x14ac:dyDescent="0.25">
      <c r="A835" s="6">
        <v>27</v>
      </c>
      <c r="B835" s="4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s="11" t="str">
        <f>IF(HR_Data[[#This Row],[Age]]&lt;=25,"18-25",IF(HR_Data[[#This Row],[Age]]&lt;=35,"26-35",IF(HR_Data[[#This Row],[Age]]&lt;=45,"36-45",IF(HR_Data[[#This Row],[Age]]&lt;=55,"46-55","56+"))))</f>
        <v>26-35</v>
      </c>
      <c r="AK835" s="11" t="str">
        <f>IF(HR_Data[[#This Row],[MonthlyIncome]]&lt;3000,"Low",IF(HR_Data[[#This Row],[MonthlyIncome]]&lt;6000,"Medium",IF(HR_Data[[#This Row],[MonthlyIncome]]&lt;10000,"High","Very High")))</f>
        <v>Low</v>
      </c>
      <c r="AL83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35" t="str">
        <f>IF(HR_Data[[#This Row],[TotalWorkingYears]]&lt;=5,"Junior",IF(HR_Data[[#This Row],[TotalWorkingYears]]&lt;=15,"Mid-Level","Senior"))</f>
        <v>Junior</v>
      </c>
      <c r="AN835" s="11" t="str">
        <f>IF(HR_Data[[#This Row],[PerformanceRating]]=3,"Standard","Excellent")</f>
        <v>Standard</v>
      </c>
      <c r="AO835" s="11" t="str">
        <f>IF(HR_Data[[#This Row],[JobSatisfaction]]&lt;=2,"Low","High")</f>
        <v>High</v>
      </c>
      <c r="AP835" s="11" t="str">
        <f>IF(AND(HR_Data[[#This Row],[OverTime]]="Yes",HR_Data[[#This Row],[JobSatisfaction]]&lt;=2,HR_Data[[#This Row],[YearsAtCompany]]&lt;=2),"High Risk","Normal")</f>
        <v>Normal</v>
      </c>
    </row>
    <row r="836" spans="1:42" x14ac:dyDescent="0.25">
      <c r="A836" s="6">
        <v>34</v>
      </c>
      <c r="B836" s="4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s="11" t="str">
        <f>IF(HR_Data[[#This Row],[Age]]&lt;=25,"18-25",IF(HR_Data[[#This Row],[Age]]&lt;=35,"26-35",IF(HR_Data[[#This Row],[Age]]&lt;=45,"36-45",IF(HR_Data[[#This Row],[Age]]&lt;=55,"46-55","56+"))))</f>
        <v>26-35</v>
      </c>
      <c r="AK836" s="11" t="str">
        <f>IF(HR_Data[[#This Row],[MonthlyIncome]]&lt;3000,"Low",IF(HR_Data[[#This Row],[MonthlyIncome]]&lt;6000,"Medium",IF(HR_Data[[#This Row],[MonthlyIncome]]&lt;10000,"High","Very High")))</f>
        <v>Medium</v>
      </c>
      <c r="AL83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36" t="str">
        <f>IF(HR_Data[[#This Row],[TotalWorkingYears]]&lt;=5,"Junior",IF(HR_Data[[#This Row],[TotalWorkingYears]]&lt;=15,"Mid-Level","Senior"))</f>
        <v>Mid-Level</v>
      </c>
      <c r="AN836" s="11" t="str">
        <f>IF(HR_Data[[#This Row],[PerformanceRating]]=3,"Standard","Excellent")</f>
        <v>Excellent</v>
      </c>
      <c r="AO836" s="11" t="str">
        <f>IF(HR_Data[[#This Row],[JobSatisfaction]]&lt;=2,"Low","High")</f>
        <v>High</v>
      </c>
      <c r="AP836" s="11" t="str">
        <f>IF(AND(HR_Data[[#This Row],[OverTime]]="Yes",HR_Data[[#This Row],[JobSatisfaction]]&lt;=2,HR_Data[[#This Row],[YearsAtCompany]]&lt;=2),"High Risk","Normal")</f>
        <v>Normal</v>
      </c>
    </row>
    <row r="837" spans="1:42" x14ac:dyDescent="0.25">
      <c r="A837" s="6">
        <v>35</v>
      </c>
      <c r="B837" s="4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s="11" t="str">
        <f>IF(HR_Data[[#This Row],[Age]]&lt;=25,"18-25",IF(HR_Data[[#This Row],[Age]]&lt;=35,"26-35",IF(HR_Data[[#This Row],[Age]]&lt;=45,"36-45",IF(HR_Data[[#This Row],[Age]]&lt;=55,"46-55","56+"))))</f>
        <v>26-35</v>
      </c>
      <c r="AK837" s="11" t="str">
        <f>IF(HR_Data[[#This Row],[MonthlyIncome]]&lt;3000,"Low",IF(HR_Data[[#This Row],[MonthlyIncome]]&lt;6000,"Medium",IF(HR_Data[[#This Row],[MonthlyIncome]]&lt;10000,"High","Very High")))</f>
        <v>Medium</v>
      </c>
      <c r="AL83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37" t="str">
        <f>IF(HR_Data[[#This Row],[TotalWorkingYears]]&lt;=5,"Junior",IF(HR_Data[[#This Row],[TotalWorkingYears]]&lt;=15,"Mid-Level","Senior"))</f>
        <v>Mid-Level</v>
      </c>
      <c r="AN837" s="11" t="str">
        <f>IF(HR_Data[[#This Row],[PerformanceRating]]=3,"Standard","Excellent")</f>
        <v>Standard</v>
      </c>
      <c r="AO837" s="11" t="str">
        <f>IF(HR_Data[[#This Row],[JobSatisfaction]]&lt;=2,"Low","High")</f>
        <v>High</v>
      </c>
      <c r="AP837" s="11" t="str">
        <f>IF(AND(HR_Data[[#This Row],[OverTime]]="Yes",HR_Data[[#This Row],[JobSatisfaction]]&lt;=2,HR_Data[[#This Row],[YearsAtCompany]]&lt;=2),"High Risk","Normal")</f>
        <v>Normal</v>
      </c>
    </row>
    <row r="838" spans="1:42" x14ac:dyDescent="0.25">
      <c r="A838" s="6">
        <v>29</v>
      </c>
      <c r="B838" s="4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s="11" t="str">
        <f>IF(HR_Data[[#This Row],[Age]]&lt;=25,"18-25",IF(HR_Data[[#This Row],[Age]]&lt;=35,"26-35",IF(HR_Data[[#This Row],[Age]]&lt;=45,"36-45",IF(HR_Data[[#This Row],[Age]]&lt;=55,"46-55","56+"))))</f>
        <v>26-35</v>
      </c>
      <c r="AK838" s="11" t="str">
        <f>IF(HR_Data[[#This Row],[MonthlyIncome]]&lt;3000,"Low",IF(HR_Data[[#This Row],[MonthlyIncome]]&lt;6000,"Medium",IF(HR_Data[[#This Row],[MonthlyIncome]]&lt;10000,"High","Very High")))</f>
        <v>High</v>
      </c>
      <c r="AL83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838" t="str">
        <f>IF(HR_Data[[#This Row],[TotalWorkingYears]]&lt;=5,"Junior",IF(HR_Data[[#This Row],[TotalWorkingYears]]&lt;=15,"Mid-Level","Senior"))</f>
        <v>Mid-Level</v>
      </c>
      <c r="AN838" s="11" t="str">
        <f>IF(HR_Data[[#This Row],[PerformanceRating]]=3,"Standard","Excellent")</f>
        <v>Standard</v>
      </c>
      <c r="AO838" s="11" t="str">
        <f>IF(HR_Data[[#This Row],[JobSatisfaction]]&lt;=2,"Low","High")</f>
        <v>Low</v>
      </c>
      <c r="AP838" s="11" t="str">
        <f>IF(AND(HR_Data[[#This Row],[OverTime]]="Yes",HR_Data[[#This Row],[JobSatisfaction]]&lt;=2,HR_Data[[#This Row],[YearsAtCompany]]&lt;=2),"High Risk","Normal")</f>
        <v>Normal</v>
      </c>
    </row>
    <row r="839" spans="1:42" x14ac:dyDescent="0.25">
      <c r="A839" s="6">
        <v>40</v>
      </c>
      <c r="B839" s="4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s="11" t="str">
        <f>IF(HR_Data[[#This Row],[Age]]&lt;=25,"18-25",IF(HR_Data[[#This Row],[Age]]&lt;=35,"26-35",IF(HR_Data[[#This Row],[Age]]&lt;=45,"36-45",IF(HR_Data[[#This Row],[Age]]&lt;=55,"46-55","56+"))))</f>
        <v>36-45</v>
      </c>
      <c r="AK839" s="11" t="str">
        <f>IF(HR_Data[[#This Row],[MonthlyIncome]]&lt;3000,"Low",IF(HR_Data[[#This Row],[MonthlyIncome]]&lt;6000,"Medium",IF(HR_Data[[#This Row],[MonthlyIncome]]&lt;10000,"High","Very High")))</f>
        <v>Very High</v>
      </c>
      <c r="AL83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839" t="str">
        <f>IF(HR_Data[[#This Row],[TotalWorkingYears]]&lt;=5,"Junior",IF(HR_Data[[#This Row],[TotalWorkingYears]]&lt;=15,"Mid-Level","Senior"))</f>
        <v>Senior</v>
      </c>
      <c r="AN839" s="11" t="str">
        <f>IF(HR_Data[[#This Row],[PerformanceRating]]=3,"Standard","Excellent")</f>
        <v>Standard</v>
      </c>
      <c r="AO839" s="11" t="str">
        <f>IF(HR_Data[[#This Row],[JobSatisfaction]]&lt;=2,"Low","High")</f>
        <v>High</v>
      </c>
      <c r="AP839" s="11" t="str">
        <f>IF(AND(HR_Data[[#This Row],[OverTime]]="Yes",HR_Data[[#This Row],[JobSatisfaction]]&lt;=2,HR_Data[[#This Row],[YearsAtCompany]]&lt;=2),"High Risk","Normal")</f>
        <v>Normal</v>
      </c>
    </row>
    <row r="840" spans="1:42" x14ac:dyDescent="0.25">
      <c r="A840" s="6">
        <v>42</v>
      </c>
      <c r="B840" s="4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s="11" t="str">
        <f>IF(HR_Data[[#This Row],[Age]]&lt;=25,"18-25",IF(HR_Data[[#This Row],[Age]]&lt;=35,"26-35",IF(HR_Data[[#This Row],[Age]]&lt;=45,"36-45",IF(HR_Data[[#This Row],[Age]]&lt;=55,"46-55","56+"))))</f>
        <v>36-45</v>
      </c>
      <c r="AK840" s="11" t="str">
        <f>IF(HR_Data[[#This Row],[MonthlyIncome]]&lt;3000,"Low",IF(HR_Data[[#This Row],[MonthlyIncome]]&lt;6000,"Medium",IF(HR_Data[[#This Row],[MonthlyIncome]]&lt;10000,"High","Very High")))</f>
        <v>Very High</v>
      </c>
      <c r="AL84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840" t="str">
        <f>IF(HR_Data[[#This Row],[TotalWorkingYears]]&lt;=5,"Junior",IF(HR_Data[[#This Row],[TotalWorkingYears]]&lt;=15,"Mid-Level","Senior"))</f>
        <v>Senior</v>
      </c>
      <c r="AN840" s="11" t="str">
        <f>IF(HR_Data[[#This Row],[PerformanceRating]]=3,"Standard","Excellent")</f>
        <v>Standard</v>
      </c>
      <c r="AO840" s="11" t="str">
        <f>IF(HR_Data[[#This Row],[JobSatisfaction]]&lt;=2,"Low","High")</f>
        <v>Low</v>
      </c>
      <c r="AP840" s="11" t="str">
        <f>IF(AND(HR_Data[[#This Row],[OverTime]]="Yes",HR_Data[[#This Row],[JobSatisfaction]]&lt;=2,HR_Data[[#This Row],[YearsAtCompany]]&lt;=2),"High Risk","Normal")</f>
        <v>Normal</v>
      </c>
    </row>
    <row r="841" spans="1:42" x14ac:dyDescent="0.25">
      <c r="A841" s="6">
        <v>42</v>
      </c>
      <c r="B841" s="4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s="11" t="str">
        <f>IF(HR_Data[[#This Row],[Age]]&lt;=25,"18-25",IF(HR_Data[[#This Row],[Age]]&lt;=35,"26-35",IF(HR_Data[[#This Row],[Age]]&lt;=45,"36-45",IF(HR_Data[[#This Row],[Age]]&lt;=55,"46-55","56+"))))</f>
        <v>36-45</v>
      </c>
      <c r="AK841" s="11" t="str">
        <f>IF(HR_Data[[#This Row],[MonthlyIncome]]&lt;3000,"Low",IF(HR_Data[[#This Row],[MonthlyIncome]]&lt;6000,"Medium",IF(HR_Data[[#This Row],[MonthlyIncome]]&lt;10000,"High","Very High")))</f>
        <v>Medium</v>
      </c>
      <c r="AL84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41" t="str">
        <f>IF(HR_Data[[#This Row],[TotalWorkingYears]]&lt;=5,"Junior",IF(HR_Data[[#This Row],[TotalWorkingYears]]&lt;=15,"Mid-Level","Senior"))</f>
        <v>Mid-Level</v>
      </c>
      <c r="AN841" s="11" t="str">
        <f>IF(HR_Data[[#This Row],[PerformanceRating]]=3,"Standard","Excellent")</f>
        <v>Standard</v>
      </c>
      <c r="AO841" s="11" t="str">
        <f>IF(HR_Data[[#This Row],[JobSatisfaction]]&lt;=2,"Low","High")</f>
        <v>Low</v>
      </c>
      <c r="AP841" s="11" t="str">
        <f>IF(AND(HR_Data[[#This Row],[OverTime]]="Yes",HR_Data[[#This Row],[JobSatisfaction]]&lt;=2,HR_Data[[#This Row],[YearsAtCompany]]&lt;=2),"High Risk","Normal")</f>
        <v>Normal</v>
      </c>
    </row>
    <row r="842" spans="1:42" x14ac:dyDescent="0.25">
      <c r="A842" s="6">
        <v>35</v>
      </c>
      <c r="B842" s="4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s="11" t="str">
        <f>IF(HR_Data[[#This Row],[Age]]&lt;=25,"18-25",IF(HR_Data[[#This Row],[Age]]&lt;=35,"26-35",IF(HR_Data[[#This Row],[Age]]&lt;=45,"36-45",IF(HR_Data[[#This Row],[Age]]&lt;=55,"46-55","56+"))))</f>
        <v>26-35</v>
      </c>
      <c r="AK842" s="11" t="str">
        <f>IF(HR_Data[[#This Row],[MonthlyIncome]]&lt;3000,"Low",IF(HR_Data[[#This Row],[MonthlyIncome]]&lt;6000,"Medium",IF(HR_Data[[#This Row],[MonthlyIncome]]&lt;10000,"High","Very High")))</f>
        <v>Low</v>
      </c>
      <c r="AL84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42" t="str">
        <f>IF(HR_Data[[#This Row],[TotalWorkingYears]]&lt;=5,"Junior",IF(HR_Data[[#This Row],[TotalWorkingYears]]&lt;=15,"Mid-Level","Senior"))</f>
        <v>Mid-Level</v>
      </c>
      <c r="AN842" s="11" t="str">
        <f>IF(HR_Data[[#This Row],[PerformanceRating]]=3,"Standard","Excellent")</f>
        <v>Standard</v>
      </c>
      <c r="AO842" s="11" t="str">
        <f>IF(HR_Data[[#This Row],[JobSatisfaction]]&lt;=2,"Low","High")</f>
        <v>High</v>
      </c>
      <c r="AP842" s="11" t="str">
        <f>IF(AND(HR_Data[[#This Row],[OverTime]]="Yes",HR_Data[[#This Row],[JobSatisfaction]]&lt;=2,HR_Data[[#This Row],[YearsAtCompany]]&lt;=2),"High Risk","Normal")</f>
        <v>Normal</v>
      </c>
    </row>
    <row r="843" spans="1:42" x14ac:dyDescent="0.25">
      <c r="A843" s="6">
        <v>24</v>
      </c>
      <c r="B843" s="4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s="11" t="str">
        <f>IF(HR_Data[[#This Row],[Age]]&lt;=25,"18-25",IF(HR_Data[[#This Row],[Age]]&lt;=35,"26-35",IF(HR_Data[[#This Row],[Age]]&lt;=45,"36-45",IF(HR_Data[[#This Row],[Age]]&lt;=55,"46-55","56+"))))</f>
        <v>18-25</v>
      </c>
      <c r="AK843" s="11" t="str">
        <f>IF(HR_Data[[#This Row],[MonthlyIncome]]&lt;3000,"Low",IF(HR_Data[[#This Row],[MonthlyIncome]]&lt;6000,"Medium",IF(HR_Data[[#This Row],[MonthlyIncome]]&lt;10000,"High","Very High")))</f>
        <v>Medium</v>
      </c>
      <c r="AL84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43" t="str">
        <f>IF(HR_Data[[#This Row],[TotalWorkingYears]]&lt;=5,"Junior",IF(HR_Data[[#This Row],[TotalWorkingYears]]&lt;=15,"Mid-Level","Senior"))</f>
        <v>Mid-Level</v>
      </c>
      <c r="AN843" s="11" t="str">
        <f>IF(HR_Data[[#This Row],[PerformanceRating]]=3,"Standard","Excellent")</f>
        <v>Excellent</v>
      </c>
      <c r="AO843" s="11" t="str">
        <f>IF(HR_Data[[#This Row],[JobSatisfaction]]&lt;=2,"Low","High")</f>
        <v>Low</v>
      </c>
      <c r="AP843" s="11" t="str">
        <f>IF(AND(HR_Data[[#This Row],[OverTime]]="Yes",HR_Data[[#This Row],[JobSatisfaction]]&lt;=2,HR_Data[[#This Row],[YearsAtCompany]]&lt;=2),"High Risk","Normal")</f>
        <v>Normal</v>
      </c>
    </row>
    <row r="844" spans="1:42" x14ac:dyDescent="0.25">
      <c r="A844" s="6">
        <v>28</v>
      </c>
      <c r="B844" s="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s="11" t="str">
        <f>IF(HR_Data[[#This Row],[Age]]&lt;=25,"18-25",IF(HR_Data[[#This Row],[Age]]&lt;=35,"26-35",IF(HR_Data[[#This Row],[Age]]&lt;=45,"36-45",IF(HR_Data[[#This Row],[Age]]&lt;=55,"46-55","56+"))))</f>
        <v>26-35</v>
      </c>
      <c r="AK844" s="11" t="str">
        <f>IF(HR_Data[[#This Row],[MonthlyIncome]]&lt;3000,"Low",IF(HR_Data[[#This Row],[MonthlyIncome]]&lt;6000,"Medium",IF(HR_Data[[#This Row],[MonthlyIncome]]&lt;10000,"High","Very High")))</f>
        <v>Low</v>
      </c>
      <c r="AL84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44" t="str">
        <f>IF(HR_Data[[#This Row],[TotalWorkingYears]]&lt;=5,"Junior",IF(HR_Data[[#This Row],[TotalWorkingYears]]&lt;=15,"Mid-Level","Senior"))</f>
        <v>Junior</v>
      </c>
      <c r="AN844" s="11" t="str">
        <f>IF(HR_Data[[#This Row],[PerformanceRating]]=3,"Standard","Excellent")</f>
        <v>Standard</v>
      </c>
      <c r="AO844" s="11" t="str">
        <f>IF(HR_Data[[#This Row],[JobSatisfaction]]&lt;=2,"Low","High")</f>
        <v>High</v>
      </c>
      <c r="AP844" s="11" t="str">
        <f>IF(AND(HR_Data[[#This Row],[OverTime]]="Yes",HR_Data[[#This Row],[JobSatisfaction]]&lt;=2,HR_Data[[#This Row],[YearsAtCompany]]&lt;=2),"High Risk","Normal")</f>
        <v>Normal</v>
      </c>
    </row>
    <row r="845" spans="1:42" x14ac:dyDescent="0.25">
      <c r="A845" s="6">
        <v>26</v>
      </c>
      <c r="B845" s="4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s="11" t="str">
        <f>IF(HR_Data[[#This Row],[Age]]&lt;=25,"18-25",IF(HR_Data[[#This Row],[Age]]&lt;=35,"26-35",IF(HR_Data[[#This Row],[Age]]&lt;=45,"36-45",IF(HR_Data[[#This Row],[Age]]&lt;=55,"46-55","56+"))))</f>
        <v>26-35</v>
      </c>
      <c r="AK845" s="11" t="str">
        <f>IF(HR_Data[[#This Row],[MonthlyIncome]]&lt;3000,"Low",IF(HR_Data[[#This Row],[MonthlyIncome]]&lt;6000,"Medium",IF(HR_Data[[#This Row],[MonthlyIncome]]&lt;10000,"High","Very High")))</f>
        <v>Medium</v>
      </c>
      <c r="AL84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45" t="str">
        <f>IF(HR_Data[[#This Row],[TotalWorkingYears]]&lt;=5,"Junior",IF(HR_Data[[#This Row],[TotalWorkingYears]]&lt;=15,"Mid-Level","Senior"))</f>
        <v>Mid-Level</v>
      </c>
      <c r="AN845" s="11" t="str">
        <f>IF(HR_Data[[#This Row],[PerformanceRating]]=3,"Standard","Excellent")</f>
        <v>Excellent</v>
      </c>
      <c r="AO845" s="11" t="str">
        <f>IF(HR_Data[[#This Row],[JobSatisfaction]]&lt;=2,"Low","High")</f>
        <v>High</v>
      </c>
      <c r="AP845" s="11" t="str">
        <f>IF(AND(HR_Data[[#This Row],[OverTime]]="Yes",HR_Data[[#This Row],[JobSatisfaction]]&lt;=2,HR_Data[[#This Row],[YearsAtCompany]]&lt;=2),"High Risk","Normal")</f>
        <v>Normal</v>
      </c>
    </row>
    <row r="846" spans="1:42" x14ac:dyDescent="0.25">
      <c r="A846" s="6">
        <v>30</v>
      </c>
      <c r="B846" s="4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s="11" t="str">
        <f>IF(HR_Data[[#This Row],[Age]]&lt;=25,"18-25",IF(HR_Data[[#This Row],[Age]]&lt;=35,"26-35",IF(HR_Data[[#This Row],[Age]]&lt;=45,"36-45",IF(HR_Data[[#This Row],[Age]]&lt;=55,"46-55","56+"))))</f>
        <v>26-35</v>
      </c>
      <c r="AK846" s="11" t="str">
        <f>IF(HR_Data[[#This Row],[MonthlyIncome]]&lt;3000,"Low",IF(HR_Data[[#This Row],[MonthlyIncome]]&lt;6000,"Medium",IF(HR_Data[[#This Row],[MonthlyIncome]]&lt;10000,"High","Very High")))</f>
        <v>High</v>
      </c>
      <c r="AL84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46" t="str">
        <f>IF(HR_Data[[#This Row],[TotalWorkingYears]]&lt;=5,"Junior",IF(HR_Data[[#This Row],[TotalWorkingYears]]&lt;=15,"Mid-Level","Senior"))</f>
        <v>Mid-Level</v>
      </c>
      <c r="AN846" s="11" t="str">
        <f>IF(HR_Data[[#This Row],[PerformanceRating]]=3,"Standard","Excellent")</f>
        <v>Standard</v>
      </c>
      <c r="AO846" s="11" t="str">
        <f>IF(HR_Data[[#This Row],[JobSatisfaction]]&lt;=2,"Low","High")</f>
        <v>High</v>
      </c>
      <c r="AP846" s="11" t="str">
        <f>IF(AND(HR_Data[[#This Row],[OverTime]]="Yes",HR_Data[[#This Row],[JobSatisfaction]]&lt;=2,HR_Data[[#This Row],[YearsAtCompany]]&lt;=2),"High Risk","Normal")</f>
        <v>Normal</v>
      </c>
    </row>
    <row r="847" spans="1:42" x14ac:dyDescent="0.25">
      <c r="A847" s="6">
        <v>40</v>
      </c>
      <c r="B847" s="4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s="11" t="str">
        <f>IF(HR_Data[[#This Row],[Age]]&lt;=25,"18-25",IF(HR_Data[[#This Row],[Age]]&lt;=35,"26-35",IF(HR_Data[[#This Row],[Age]]&lt;=45,"36-45",IF(HR_Data[[#This Row],[Age]]&lt;=55,"46-55","56+"))))</f>
        <v>36-45</v>
      </c>
      <c r="AK847" s="11" t="str">
        <f>IF(HR_Data[[#This Row],[MonthlyIncome]]&lt;3000,"Low",IF(HR_Data[[#This Row],[MonthlyIncome]]&lt;6000,"Medium",IF(HR_Data[[#This Row],[MonthlyIncome]]&lt;10000,"High","Very High")))</f>
        <v>Medium</v>
      </c>
      <c r="AL84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47" t="str">
        <f>IF(HR_Data[[#This Row],[TotalWorkingYears]]&lt;=5,"Junior",IF(HR_Data[[#This Row],[TotalWorkingYears]]&lt;=15,"Mid-Level","Senior"))</f>
        <v>Senior</v>
      </c>
      <c r="AN847" s="11" t="str">
        <f>IF(HR_Data[[#This Row],[PerformanceRating]]=3,"Standard","Excellent")</f>
        <v>Standard</v>
      </c>
      <c r="AO847" s="11" t="str">
        <f>IF(HR_Data[[#This Row],[JobSatisfaction]]&lt;=2,"Low","High")</f>
        <v>High</v>
      </c>
      <c r="AP847" s="11" t="str">
        <f>IF(AND(HR_Data[[#This Row],[OverTime]]="Yes",HR_Data[[#This Row],[JobSatisfaction]]&lt;=2,HR_Data[[#This Row],[YearsAtCompany]]&lt;=2),"High Risk","Normal")</f>
        <v>Normal</v>
      </c>
    </row>
    <row r="848" spans="1:42" x14ac:dyDescent="0.25">
      <c r="A848" s="6">
        <v>35</v>
      </c>
      <c r="B848" s="4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s="11" t="str">
        <f>IF(HR_Data[[#This Row],[Age]]&lt;=25,"18-25",IF(HR_Data[[#This Row],[Age]]&lt;=35,"26-35",IF(HR_Data[[#This Row],[Age]]&lt;=45,"36-45",IF(HR_Data[[#This Row],[Age]]&lt;=55,"46-55","56+"))))</f>
        <v>26-35</v>
      </c>
      <c r="AK848" s="11" t="str">
        <f>IF(HR_Data[[#This Row],[MonthlyIncome]]&lt;3000,"Low",IF(HR_Data[[#This Row],[MonthlyIncome]]&lt;6000,"Medium",IF(HR_Data[[#This Row],[MonthlyIncome]]&lt;10000,"High","Very High")))</f>
        <v>Very High</v>
      </c>
      <c r="AL84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48" t="str">
        <f>IF(HR_Data[[#This Row],[TotalWorkingYears]]&lt;=5,"Junior",IF(HR_Data[[#This Row],[TotalWorkingYears]]&lt;=15,"Mid-Level","Senior"))</f>
        <v>Mid-Level</v>
      </c>
      <c r="AN848" s="11" t="str">
        <f>IF(HR_Data[[#This Row],[PerformanceRating]]=3,"Standard","Excellent")</f>
        <v>Standard</v>
      </c>
      <c r="AO848" s="11" t="str">
        <f>IF(HR_Data[[#This Row],[JobSatisfaction]]&lt;=2,"Low","High")</f>
        <v>Low</v>
      </c>
      <c r="AP848" s="11" t="str">
        <f>IF(AND(HR_Data[[#This Row],[OverTime]]="Yes",HR_Data[[#This Row],[JobSatisfaction]]&lt;=2,HR_Data[[#This Row],[YearsAtCompany]]&lt;=2),"High Risk","Normal")</f>
        <v>Normal</v>
      </c>
    </row>
    <row r="849" spans="1:42" x14ac:dyDescent="0.25">
      <c r="A849" s="6">
        <v>34</v>
      </c>
      <c r="B849" s="4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s="11" t="str">
        <f>IF(HR_Data[[#This Row],[Age]]&lt;=25,"18-25",IF(HR_Data[[#This Row],[Age]]&lt;=35,"26-35",IF(HR_Data[[#This Row],[Age]]&lt;=45,"36-45",IF(HR_Data[[#This Row],[Age]]&lt;=55,"46-55","56+"))))</f>
        <v>26-35</v>
      </c>
      <c r="AK849" s="11" t="str">
        <f>IF(HR_Data[[#This Row],[MonthlyIncome]]&lt;3000,"Low",IF(HR_Data[[#This Row],[MonthlyIncome]]&lt;6000,"Medium",IF(HR_Data[[#This Row],[MonthlyIncome]]&lt;10000,"High","Very High")))</f>
        <v>Medium</v>
      </c>
      <c r="AL84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849" t="str">
        <f>IF(HR_Data[[#This Row],[TotalWorkingYears]]&lt;=5,"Junior",IF(HR_Data[[#This Row],[TotalWorkingYears]]&lt;=15,"Mid-Level","Senior"))</f>
        <v>Mid-Level</v>
      </c>
      <c r="AN849" s="11" t="str">
        <f>IF(HR_Data[[#This Row],[PerformanceRating]]=3,"Standard","Excellent")</f>
        <v>Excellent</v>
      </c>
      <c r="AO849" s="11" t="str">
        <f>IF(HR_Data[[#This Row],[JobSatisfaction]]&lt;=2,"Low","High")</f>
        <v>Low</v>
      </c>
      <c r="AP849" s="11" t="str">
        <f>IF(AND(HR_Data[[#This Row],[OverTime]]="Yes",HR_Data[[#This Row],[JobSatisfaction]]&lt;=2,HR_Data[[#This Row],[YearsAtCompany]]&lt;=2),"High Risk","Normal")</f>
        <v>Normal</v>
      </c>
    </row>
    <row r="850" spans="1:42" x14ac:dyDescent="0.25">
      <c r="A850" s="6">
        <v>35</v>
      </c>
      <c r="B850" s="4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s="11" t="str">
        <f>IF(HR_Data[[#This Row],[Age]]&lt;=25,"18-25",IF(HR_Data[[#This Row],[Age]]&lt;=35,"26-35",IF(HR_Data[[#This Row],[Age]]&lt;=45,"36-45",IF(HR_Data[[#This Row],[Age]]&lt;=55,"46-55","56+"))))</f>
        <v>26-35</v>
      </c>
      <c r="AK850" s="11" t="str">
        <f>IF(HR_Data[[#This Row],[MonthlyIncome]]&lt;3000,"Low",IF(HR_Data[[#This Row],[MonthlyIncome]]&lt;6000,"Medium",IF(HR_Data[[#This Row],[MonthlyIncome]]&lt;10000,"High","Very High")))</f>
        <v>Low</v>
      </c>
      <c r="AL85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50" t="str">
        <f>IF(HR_Data[[#This Row],[TotalWorkingYears]]&lt;=5,"Junior",IF(HR_Data[[#This Row],[TotalWorkingYears]]&lt;=15,"Mid-Level","Senior"))</f>
        <v>Junior</v>
      </c>
      <c r="AN850" s="11" t="str">
        <f>IF(HR_Data[[#This Row],[PerformanceRating]]=3,"Standard","Excellent")</f>
        <v>Standard</v>
      </c>
      <c r="AO850" s="11" t="str">
        <f>IF(HR_Data[[#This Row],[JobSatisfaction]]&lt;=2,"Low","High")</f>
        <v>High</v>
      </c>
      <c r="AP850" s="11" t="str">
        <f>IF(AND(HR_Data[[#This Row],[OverTime]]="Yes",HR_Data[[#This Row],[JobSatisfaction]]&lt;=2,HR_Data[[#This Row],[YearsAtCompany]]&lt;=2),"High Risk","Normal")</f>
        <v>Normal</v>
      </c>
    </row>
    <row r="851" spans="1:42" x14ac:dyDescent="0.25">
      <c r="A851" s="6">
        <v>43</v>
      </c>
      <c r="B851" s="4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s="11" t="str">
        <f>IF(HR_Data[[#This Row],[Age]]&lt;=25,"18-25",IF(HR_Data[[#This Row],[Age]]&lt;=35,"26-35",IF(HR_Data[[#This Row],[Age]]&lt;=45,"36-45",IF(HR_Data[[#This Row],[Age]]&lt;=55,"46-55","56+"))))</f>
        <v>36-45</v>
      </c>
      <c r="AK851" s="11" t="str">
        <f>IF(HR_Data[[#This Row],[MonthlyIncome]]&lt;3000,"Low",IF(HR_Data[[#This Row],[MonthlyIncome]]&lt;6000,"Medium",IF(HR_Data[[#This Row],[MonthlyIncome]]&lt;10000,"High","Very High")))</f>
        <v>Medium</v>
      </c>
      <c r="AL85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51" t="str">
        <f>IF(HR_Data[[#This Row],[TotalWorkingYears]]&lt;=5,"Junior",IF(HR_Data[[#This Row],[TotalWorkingYears]]&lt;=15,"Mid-Level","Senior"))</f>
        <v>Mid-Level</v>
      </c>
      <c r="AN851" s="11" t="str">
        <f>IF(HR_Data[[#This Row],[PerformanceRating]]=3,"Standard","Excellent")</f>
        <v>Standard</v>
      </c>
      <c r="AO851" s="11" t="str">
        <f>IF(HR_Data[[#This Row],[JobSatisfaction]]&lt;=2,"Low","High")</f>
        <v>High</v>
      </c>
      <c r="AP851" s="11" t="str">
        <f>IF(AND(HR_Data[[#This Row],[OverTime]]="Yes",HR_Data[[#This Row],[JobSatisfaction]]&lt;=2,HR_Data[[#This Row],[YearsAtCompany]]&lt;=2),"High Risk","Normal")</f>
        <v>Normal</v>
      </c>
    </row>
    <row r="852" spans="1:42" x14ac:dyDescent="0.25">
      <c r="A852" s="6">
        <v>32</v>
      </c>
      <c r="B852" s="4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s="11" t="str">
        <f>IF(HR_Data[[#This Row],[Age]]&lt;=25,"18-25",IF(HR_Data[[#This Row],[Age]]&lt;=35,"26-35",IF(HR_Data[[#This Row],[Age]]&lt;=45,"36-45",IF(HR_Data[[#This Row],[Age]]&lt;=55,"46-55","56+"))))</f>
        <v>26-35</v>
      </c>
      <c r="AK852" s="11" t="str">
        <f>IF(HR_Data[[#This Row],[MonthlyIncome]]&lt;3000,"Low",IF(HR_Data[[#This Row],[MonthlyIncome]]&lt;6000,"Medium",IF(HR_Data[[#This Row],[MonthlyIncome]]&lt;10000,"High","Very High")))</f>
        <v>Low</v>
      </c>
      <c r="AL85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52" t="str">
        <f>IF(HR_Data[[#This Row],[TotalWorkingYears]]&lt;=5,"Junior",IF(HR_Data[[#This Row],[TotalWorkingYears]]&lt;=15,"Mid-Level","Senior"))</f>
        <v>Junior</v>
      </c>
      <c r="AN852" s="11" t="str">
        <f>IF(HR_Data[[#This Row],[PerformanceRating]]=3,"Standard","Excellent")</f>
        <v>Standard</v>
      </c>
      <c r="AO852" s="11" t="str">
        <f>IF(HR_Data[[#This Row],[JobSatisfaction]]&lt;=2,"Low","High")</f>
        <v>Low</v>
      </c>
      <c r="AP852" s="11" t="str">
        <f>IF(AND(HR_Data[[#This Row],[OverTime]]="Yes",HR_Data[[#This Row],[JobSatisfaction]]&lt;=2,HR_Data[[#This Row],[YearsAtCompany]]&lt;=2),"High Risk","Normal")</f>
        <v>Normal</v>
      </c>
    </row>
    <row r="853" spans="1:42" x14ac:dyDescent="0.25">
      <c r="A853" s="6">
        <v>56</v>
      </c>
      <c r="B853" s="4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s="11" t="str">
        <f>IF(HR_Data[[#This Row],[Age]]&lt;=25,"18-25",IF(HR_Data[[#This Row],[Age]]&lt;=35,"26-35",IF(HR_Data[[#This Row],[Age]]&lt;=45,"36-45",IF(HR_Data[[#This Row],[Age]]&lt;=55,"46-55","56+"))))</f>
        <v>56+</v>
      </c>
      <c r="AK853" s="11" t="str">
        <f>IF(HR_Data[[#This Row],[MonthlyIncome]]&lt;3000,"Low",IF(HR_Data[[#This Row],[MonthlyIncome]]&lt;6000,"Medium",IF(HR_Data[[#This Row],[MonthlyIncome]]&lt;10000,"High","Very High")))</f>
        <v>Very High</v>
      </c>
      <c r="AL85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53" t="str">
        <f>IF(HR_Data[[#This Row],[TotalWorkingYears]]&lt;=5,"Junior",IF(HR_Data[[#This Row],[TotalWorkingYears]]&lt;=15,"Mid-Level","Senior"))</f>
        <v>Senior</v>
      </c>
      <c r="AN853" s="11" t="str">
        <f>IF(HR_Data[[#This Row],[PerformanceRating]]=3,"Standard","Excellent")</f>
        <v>Standard</v>
      </c>
      <c r="AO853" s="11" t="str">
        <f>IF(HR_Data[[#This Row],[JobSatisfaction]]&lt;=2,"Low","High")</f>
        <v>Low</v>
      </c>
      <c r="AP853" s="11" t="str">
        <f>IF(AND(HR_Data[[#This Row],[OverTime]]="Yes",HR_Data[[#This Row],[JobSatisfaction]]&lt;=2,HR_Data[[#This Row],[YearsAtCompany]]&lt;=2),"High Risk","Normal")</f>
        <v>Normal</v>
      </c>
    </row>
    <row r="854" spans="1:42" x14ac:dyDescent="0.25">
      <c r="A854" s="6">
        <v>29</v>
      </c>
      <c r="B854" s="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s="11" t="str">
        <f>IF(HR_Data[[#This Row],[Age]]&lt;=25,"18-25",IF(HR_Data[[#This Row],[Age]]&lt;=35,"26-35",IF(HR_Data[[#This Row],[Age]]&lt;=45,"36-45",IF(HR_Data[[#This Row],[Age]]&lt;=55,"46-55","56+"))))</f>
        <v>26-35</v>
      </c>
      <c r="AK854" s="11" t="str">
        <f>IF(HR_Data[[#This Row],[MonthlyIncome]]&lt;3000,"Low",IF(HR_Data[[#This Row],[MonthlyIncome]]&lt;6000,"Medium",IF(HR_Data[[#This Row],[MonthlyIncome]]&lt;10000,"High","Very High")))</f>
        <v>Medium</v>
      </c>
      <c r="AL85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54" t="str">
        <f>IF(HR_Data[[#This Row],[TotalWorkingYears]]&lt;=5,"Junior",IF(HR_Data[[#This Row],[TotalWorkingYears]]&lt;=15,"Mid-Level","Senior"))</f>
        <v>Mid-Level</v>
      </c>
      <c r="AN854" s="11" t="str">
        <f>IF(HR_Data[[#This Row],[PerformanceRating]]=3,"Standard","Excellent")</f>
        <v>Standard</v>
      </c>
      <c r="AO854" s="11" t="str">
        <f>IF(HR_Data[[#This Row],[JobSatisfaction]]&lt;=2,"Low","High")</f>
        <v>High</v>
      </c>
      <c r="AP854" s="11" t="str">
        <f>IF(AND(HR_Data[[#This Row],[OverTime]]="Yes",HR_Data[[#This Row],[JobSatisfaction]]&lt;=2,HR_Data[[#This Row],[YearsAtCompany]]&lt;=2),"High Risk","Normal")</f>
        <v>Normal</v>
      </c>
    </row>
    <row r="855" spans="1:42" x14ac:dyDescent="0.25">
      <c r="A855" s="6">
        <v>19</v>
      </c>
      <c r="B855" s="4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s="11" t="str">
        <f>IF(HR_Data[[#This Row],[Age]]&lt;=25,"18-25",IF(HR_Data[[#This Row],[Age]]&lt;=35,"26-35",IF(HR_Data[[#This Row],[Age]]&lt;=45,"36-45",IF(HR_Data[[#This Row],[Age]]&lt;=55,"46-55","56+"))))</f>
        <v>18-25</v>
      </c>
      <c r="AK855" s="11" t="str">
        <f>IF(HR_Data[[#This Row],[MonthlyIncome]]&lt;3000,"Low",IF(HR_Data[[#This Row],[MonthlyIncome]]&lt;6000,"Medium",IF(HR_Data[[#This Row],[MonthlyIncome]]&lt;10000,"High","Very High")))</f>
        <v>Low</v>
      </c>
      <c r="AL85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55" t="str">
        <f>IF(HR_Data[[#This Row],[TotalWorkingYears]]&lt;=5,"Junior",IF(HR_Data[[#This Row],[TotalWorkingYears]]&lt;=15,"Mid-Level","Senior"))</f>
        <v>Junior</v>
      </c>
      <c r="AN855" s="11" t="str">
        <f>IF(HR_Data[[#This Row],[PerformanceRating]]=3,"Standard","Excellent")</f>
        <v>Excellent</v>
      </c>
      <c r="AO855" s="11" t="str">
        <f>IF(HR_Data[[#This Row],[JobSatisfaction]]&lt;=2,"Low","High")</f>
        <v>Low</v>
      </c>
      <c r="AP855" s="11" t="str">
        <f>IF(AND(HR_Data[[#This Row],[OverTime]]="Yes",HR_Data[[#This Row],[JobSatisfaction]]&lt;=2,HR_Data[[#This Row],[YearsAtCompany]]&lt;=2),"High Risk","Normal")</f>
        <v>Normal</v>
      </c>
    </row>
    <row r="856" spans="1:42" x14ac:dyDescent="0.25">
      <c r="A856" s="6">
        <v>45</v>
      </c>
      <c r="B856" s="4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s="11" t="str">
        <f>IF(HR_Data[[#This Row],[Age]]&lt;=25,"18-25",IF(HR_Data[[#This Row],[Age]]&lt;=35,"26-35",IF(HR_Data[[#This Row],[Age]]&lt;=45,"36-45",IF(HR_Data[[#This Row],[Age]]&lt;=55,"46-55","56+"))))</f>
        <v>36-45</v>
      </c>
      <c r="AK856" s="11" t="str">
        <f>IF(HR_Data[[#This Row],[MonthlyIncome]]&lt;3000,"Low",IF(HR_Data[[#This Row],[MonthlyIncome]]&lt;6000,"Medium",IF(HR_Data[[#This Row],[MonthlyIncome]]&lt;10000,"High","Very High")))</f>
        <v>Medium</v>
      </c>
      <c r="AL85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56" t="str">
        <f>IF(HR_Data[[#This Row],[TotalWorkingYears]]&lt;=5,"Junior",IF(HR_Data[[#This Row],[TotalWorkingYears]]&lt;=15,"Mid-Level","Senior"))</f>
        <v>Mid-Level</v>
      </c>
      <c r="AN856" s="11" t="str">
        <f>IF(HR_Data[[#This Row],[PerformanceRating]]=3,"Standard","Excellent")</f>
        <v>Standard</v>
      </c>
      <c r="AO856" s="11" t="str">
        <f>IF(HR_Data[[#This Row],[JobSatisfaction]]&lt;=2,"Low","High")</f>
        <v>High</v>
      </c>
      <c r="AP856" s="11" t="str">
        <f>IF(AND(HR_Data[[#This Row],[OverTime]]="Yes",HR_Data[[#This Row],[JobSatisfaction]]&lt;=2,HR_Data[[#This Row],[YearsAtCompany]]&lt;=2),"High Risk","Normal")</f>
        <v>Normal</v>
      </c>
    </row>
    <row r="857" spans="1:42" x14ac:dyDescent="0.25">
      <c r="A857" s="6">
        <v>37</v>
      </c>
      <c r="B857" s="4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s="11" t="str">
        <f>IF(HR_Data[[#This Row],[Age]]&lt;=25,"18-25",IF(HR_Data[[#This Row],[Age]]&lt;=35,"26-35",IF(HR_Data[[#This Row],[Age]]&lt;=45,"36-45",IF(HR_Data[[#This Row],[Age]]&lt;=55,"46-55","56+"))))</f>
        <v>36-45</v>
      </c>
      <c r="AK857" s="11" t="str">
        <f>IF(HR_Data[[#This Row],[MonthlyIncome]]&lt;3000,"Low",IF(HR_Data[[#This Row],[MonthlyIncome]]&lt;6000,"Medium",IF(HR_Data[[#This Row],[MonthlyIncome]]&lt;10000,"High","Very High")))</f>
        <v>High</v>
      </c>
      <c r="AL857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857" t="str">
        <f>IF(HR_Data[[#This Row],[TotalWorkingYears]]&lt;=5,"Junior",IF(HR_Data[[#This Row],[TotalWorkingYears]]&lt;=15,"Mid-Level","Senior"))</f>
        <v>Mid-Level</v>
      </c>
      <c r="AN857" s="11" t="str">
        <f>IF(HR_Data[[#This Row],[PerformanceRating]]=3,"Standard","Excellent")</f>
        <v>Standard</v>
      </c>
      <c r="AO857" s="11" t="str">
        <f>IF(HR_Data[[#This Row],[JobSatisfaction]]&lt;=2,"Low","High")</f>
        <v>High</v>
      </c>
      <c r="AP857" s="11" t="str">
        <f>IF(AND(HR_Data[[#This Row],[OverTime]]="Yes",HR_Data[[#This Row],[JobSatisfaction]]&lt;=2,HR_Data[[#This Row],[YearsAtCompany]]&lt;=2),"High Risk","Normal")</f>
        <v>Normal</v>
      </c>
    </row>
    <row r="858" spans="1:42" x14ac:dyDescent="0.25">
      <c r="A858" s="6">
        <v>20</v>
      </c>
      <c r="B858" s="4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s="11" t="str">
        <f>IF(HR_Data[[#This Row],[Age]]&lt;=25,"18-25",IF(HR_Data[[#This Row],[Age]]&lt;=35,"26-35",IF(HR_Data[[#This Row],[Age]]&lt;=45,"36-45",IF(HR_Data[[#This Row],[Age]]&lt;=55,"46-55","56+"))))</f>
        <v>18-25</v>
      </c>
      <c r="AK858" s="11" t="str">
        <f>IF(HR_Data[[#This Row],[MonthlyIncome]]&lt;3000,"Low",IF(HR_Data[[#This Row],[MonthlyIncome]]&lt;6000,"Medium",IF(HR_Data[[#This Row],[MonthlyIncome]]&lt;10000,"High","Very High")))</f>
        <v>Medium</v>
      </c>
      <c r="AL85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58" t="str">
        <f>IF(HR_Data[[#This Row],[TotalWorkingYears]]&lt;=5,"Junior",IF(HR_Data[[#This Row],[TotalWorkingYears]]&lt;=15,"Mid-Level","Senior"))</f>
        <v>Junior</v>
      </c>
      <c r="AN858" s="11" t="str">
        <f>IF(HR_Data[[#This Row],[PerformanceRating]]=3,"Standard","Excellent")</f>
        <v>Standard</v>
      </c>
      <c r="AO858" s="11" t="str">
        <f>IF(HR_Data[[#This Row],[JobSatisfaction]]&lt;=2,"Low","High")</f>
        <v>High</v>
      </c>
      <c r="AP858" s="11" t="str">
        <f>IF(AND(HR_Data[[#This Row],[OverTime]]="Yes",HR_Data[[#This Row],[JobSatisfaction]]&lt;=2,HR_Data[[#This Row],[YearsAtCompany]]&lt;=2),"High Risk","Normal")</f>
        <v>Normal</v>
      </c>
    </row>
    <row r="859" spans="1:42" x14ac:dyDescent="0.25">
      <c r="A859" s="6">
        <v>44</v>
      </c>
      <c r="B859" s="4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s="11" t="str">
        <f>IF(HR_Data[[#This Row],[Age]]&lt;=25,"18-25",IF(HR_Data[[#This Row],[Age]]&lt;=35,"26-35",IF(HR_Data[[#This Row],[Age]]&lt;=45,"36-45",IF(HR_Data[[#This Row],[Age]]&lt;=55,"46-55","56+"))))</f>
        <v>36-45</v>
      </c>
      <c r="AK859" s="11" t="str">
        <f>IF(HR_Data[[#This Row],[MonthlyIncome]]&lt;3000,"Low",IF(HR_Data[[#This Row],[MonthlyIncome]]&lt;6000,"Medium",IF(HR_Data[[#This Row],[MonthlyIncome]]&lt;10000,"High","Very High")))</f>
        <v>Low</v>
      </c>
      <c r="AL85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59" t="str">
        <f>IF(HR_Data[[#This Row],[TotalWorkingYears]]&lt;=5,"Junior",IF(HR_Data[[#This Row],[TotalWorkingYears]]&lt;=15,"Mid-Level","Senior"))</f>
        <v>Mid-Level</v>
      </c>
      <c r="AN859" s="11" t="str">
        <f>IF(HR_Data[[#This Row],[PerformanceRating]]=3,"Standard","Excellent")</f>
        <v>Standard</v>
      </c>
      <c r="AO859" s="11" t="str">
        <f>IF(HR_Data[[#This Row],[JobSatisfaction]]&lt;=2,"Low","High")</f>
        <v>High</v>
      </c>
      <c r="AP859" s="11" t="str">
        <f>IF(AND(HR_Data[[#This Row],[OverTime]]="Yes",HR_Data[[#This Row],[JobSatisfaction]]&lt;=2,HR_Data[[#This Row],[YearsAtCompany]]&lt;=2),"High Risk","Normal")</f>
        <v>Normal</v>
      </c>
    </row>
    <row r="860" spans="1:42" x14ac:dyDescent="0.25">
      <c r="A860" s="6">
        <v>53</v>
      </c>
      <c r="B860" s="4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s="11" t="str">
        <f>IF(HR_Data[[#This Row],[Age]]&lt;=25,"18-25",IF(HR_Data[[#This Row],[Age]]&lt;=35,"26-35",IF(HR_Data[[#This Row],[Age]]&lt;=45,"36-45",IF(HR_Data[[#This Row],[Age]]&lt;=55,"46-55","56+"))))</f>
        <v>46-55</v>
      </c>
      <c r="AK860" s="11" t="str">
        <f>IF(HR_Data[[#This Row],[MonthlyIncome]]&lt;3000,"Low",IF(HR_Data[[#This Row],[MonthlyIncome]]&lt;6000,"Medium",IF(HR_Data[[#This Row],[MonthlyIncome]]&lt;10000,"High","Very High")))</f>
        <v>Very High</v>
      </c>
      <c r="AL86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60" t="str">
        <f>IF(HR_Data[[#This Row],[TotalWorkingYears]]&lt;=5,"Junior",IF(HR_Data[[#This Row],[TotalWorkingYears]]&lt;=15,"Mid-Level","Senior"))</f>
        <v>Senior</v>
      </c>
      <c r="AN860" s="11" t="str">
        <f>IF(HR_Data[[#This Row],[PerformanceRating]]=3,"Standard","Excellent")</f>
        <v>Standard</v>
      </c>
      <c r="AO860" s="11" t="str">
        <f>IF(HR_Data[[#This Row],[JobSatisfaction]]&lt;=2,"Low","High")</f>
        <v>High</v>
      </c>
      <c r="AP860" s="11" t="str">
        <f>IF(AND(HR_Data[[#This Row],[OverTime]]="Yes",HR_Data[[#This Row],[JobSatisfaction]]&lt;=2,HR_Data[[#This Row],[YearsAtCompany]]&lt;=2),"High Risk","Normal")</f>
        <v>Normal</v>
      </c>
    </row>
    <row r="861" spans="1:42" x14ac:dyDescent="0.25">
      <c r="A861" s="6">
        <v>29</v>
      </c>
      <c r="B861" s="4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s="11" t="str">
        <f>IF(HR_Data[[#This Row],[Age]]&lt;=25,"18-25",IF(HR_Data[[#This Row],[Age]]&lt;=35,"26-35",IF(HR_Data[[#This Row],[Age]]&lt;=45,"36-45",IF(HR_Data[[#This Row],[Age]]&lt;=55,"46-55","56+"))))</f>
        <v>26-35</v>
      </c>
      <c r="AK861" s="11" t="str">
        <f>IF(HR_Data[[#This Row],[MonthlyIncome]]&lt;3000,"Low",IF(HR_Data[[#This Row],[MonthlyIncome]]&lt;6000,"Medium",IF(HR_Data[[#This Row],[MonthlyIncome]]&lt;10000,"High","Very High")))</f>
        <v>Low</v>
      </c>
      <c r="AL86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61" t="str">
        <f>IF(HR_Data[[#This Row],[TotalWorkingYears]]&lt;=5,"Junior",IF(HR_Data[[#This Row],[TotalWorkingYears]]&lt;=15,"Mid-Level","Senior"))</f>
        <v>Mid-Level</v>
      </c>
      <c r="AN861" s="11" t="str">
        <f>IF(HR_Data[[#This Row],[PerformanceRating]]=3,"Standard","Excellent")</f>
        <v>Standard</v>
      </c>
      <c r="AO861" s="11" t="str">
        <f>IF(HR_Data[[#This Row],[JobSatisfaction]]&lt;=2,"Low","High")</f>
        <v>High</v>
      </c>
      <c r="AP861" s="11" t="str">
        <f>IF(AND(HR_Data[[#This Row],[OverTime]]="Yes",HR_Data[[#This Row],[JobSatisfaction]]&lt;=2,HR_Data[[#This Row],[YearsAtCompany]]&lt;=2),"High Risk","Normal")</f>
        <v>Normal</v>
      </c>
    </row>
    <row r="862" spans="1:42" x14ac:dyDescent="0.25">
      <c r="A862" s="6">
        <v>22</v>
      </c>
      <c r="B862" s="4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s="11" t="str">
        <f>IF(HR_Data[[#This Row],[Age]]&lt;=25,"18-25",IF(HR_Data[[#This Row],[Age]]&lt;=35,"26-35",IF(HR_Data[[#This Row],[Age]]&lt;=45,"36-45",IF(HR_Data[[#This Row],[Age]]&lt;=55,"46-55","56+"))))</f>
        <v>18-25</v>
      </c>
      <c r="AK862" s="11" t="str">
        <f>IF(HR_Data[[#This Row],[MonthlyIncome]]&lt;3000,"Low",IF(HR_Data[[#This Row],[MonthlyIncome]]&lt;6000,"Medium",IF(HR_Data[[#This Row],[MonthlyIncome]]&lt;10000,"High","Very High")))</f>
        <v>Low</v>
      </c>
      <c r="AL86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62" t="str">
        <f>IF(HR_Data[[#This Row],[TotalWorkingYears]]&lt;=5,"Junior",IF(HR_Data[[#This Row],[TotalWorkingYears]]&lt;=15,"Mid-Level","Senior"))</f>
        <v>Junior</v>
      </c>
      <c r="AN862" s="11" t="str">
        <f>IF(HR_Data[[#This Row],[PerformanceRating]]=3,"Standard","Excellent")</f>
        <v>Standard</v>
      </c>
      <c r="AO862" s="11" t="str">
        <f>IF(HR_Data[[#This Row],[JobSatisfaction]]&lt;=2,"Low","High")</f>
        <v>High</v>
      </c>
      <c r="AP862" s="11" t="str">
        <f>IF(AND(HR_Data[[#This Row],[OverTime]]="Yes",HR_Data[[#This Row],[JobSatisfaction]]&lt;=2,HR_Data[[#This Row],[YearsAtCompany]]&lt;=2),"High Risk","Normal")</f>
        <v>Normal</v>
      </c>
    </row>
    <row r="863" spans="1:42" x14ac:dyDescent="0.25">
      <c r="A863" s="6">
        <v>46</v>
      </c>
      <c r="B863" s="4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s="11" t="str">
        <f>IF(HR_Data[[#This Row],[Age]]&lt;=25,"18-25",IF(HR_Data[[#This Row],[Age]]&lt;=35,"26-35",IF(HR_Data[[#This Row],[Age]]&lt;=45,"36-45",IF(HR_Data[[#This Row],[Age]]&lt;=55,"46-55","56+"))))</f>
        <v>46-55</v>
      </c>
      <c r="AK863" s="11" t="str">
        <f>IF(HR_Data[[#This Row],[MonthlyIncome]]&lt;3000,"Low",IF(HR_Data[[#This Row],[MonthlyIncome]]&lt;6000,"Medium",IF(HR_Data[[#This Row],[MonthlyIncome]]&lt;10000,"High","Very High")))</f>
        <v>Very High</v>
      </c>
      <c r="AL86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863" t="str">
        <f>IF(HR_Data[[#This Row],[TotalWorkingYears]]&lt;=5,"Junior",IF(HR_Data[[#This Row],[TotalWorkingYears]]&lt;=15,"Mid-Level","Senior"))</f>
        <v>Senior</v>
      </c>
      <c r="AN863" s="11" t="str">
        <f>IF(HR_Data[[#This Row],[PerformanceRating]]=3,"Standard","Excellent")</f>
        <v>Excellent</v>
      </c>
      <c r="AO863" s="11" t="str">
        <f>IF(HR_Data[[#This Row],[JobSatisfaction]]&lt;=2,"Low","High")</f>
        <v>Low</v>
      </c>
      <c r="AP863" s="11" t="str">
        <f>IF(AND(HR_Data[[#This Row],[OverTime]]="Yes",HR_Data[[#This Row],[JobSatisfaction]]&lt;=2,HR_Data[[#This Row],[YearsAtCompany]]&lt;=2),"High Risk","Normal")</f>
        <v>Normal</v>
      </c>
    </row>
    <row r="864" spans="1:42" x14ac:dyDescent="0.25">
      <c r="A864" s="6">
        <v>44</v>
      </c>
      <c r="B864" s="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s="11" t="str">
        <f>IF(HR_Data[[#This Row],[Age]]&lt;=25,"18-25",IF(HR_Data[[#This Row],[Age]]&lt;=35,"26-35",IF(HR_Data[[#This Row],[Age]]&lt;=45,"36-45",IF(HR_Data[[#This Row],[Age]]&lt;=55,"46-55","56+"))))</f>
        <v>36-45</v>
      </c>
      <c r="AK864" s="11" t="str">
        <f>IF(HR_Data[[#This Row],[MonthlyIncome]]&lt;3000,"Low",IF(HR_Data[[#This Row],[MonthlyIncome]]&lt;6000,"Medium",IF(HR_Data[[#This Row],[MonthlyIncome]]&lt;10000,"High","Very High")))</f>
        <v>Low</v>
      </c>
      <c r="AL86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64" t="str">
        <f>IF(HR_Data[[#This Row],[TotalWorkingYears]]&lt;=5,"Junior",IF(HR_Data[[#This Row],[TotalWorkingYears]]&lt;=15,"Mid-Level","Senior"))</f>
        <v>Mid-Level</v>
      </c>
      <c r="AN864" s="11" t="str">
        <f>IF(HR_Data[[#This Row],[PerformanceRating]]=3,"Standard","Excellent")</f>
        <v>Standard</v>
      </c>
      <c r="AO864" s="11" t="str">
        <f>IF(HR_Data[[#This Row],[JobSatisfaction]]&lt;=2,"Low","High")</f>
        <v>High</v>
      </c>
      <c r="AP864" s="11" t="str">
        <f>IF(AND(HR_Data[[#This Row],[OverTime]]="Yes",HR_Data[[#This Row],[JobSatisfaction]]&lt;=2,HR_Data[[#This Row],[YearsAtCompany]]&lt;=2),"High Risk","Normal")</f>
        <v>Normal</v>
      </c>
    </row>
    <row r="865" spans="1:42" x14ac:dyDescent="0.25">
      <c r="A865" s="6">
        <v>33</v>
      </c>
      <c r="B865" s="4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s="11" t="str">
        <f>IF(HR_Data[[#This Row],[Age]]&lt;=25,"18-25",IF(HR_Data[[#This Row],[Age]]&lt;=35,"26-35",IF(HR_Data[[#This Row],[Age]]&lt;=45,"36-45",IF(HR_Data[[#This Row],[Age]]&lt;=55,"46-55","56+"))))</f>
        <v>26-35</v>
      </c>
      <c r="AK865" s="11" t="str">
        <f>IF(HR_Data[[#This Row],[MonthlyIncome]]&lt;3000,"Low",IF(HR_Data[[#This Row],[MonthlyIncome]]&lt;6000,"Medium",IF(HR_Data[[#This Row],[MonthlyIncome]]&lt;10000,"High","Very High")))</f>
        <v>Medium</v>
      </c>
      <c r="AL86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65" t="str">
        <f>IF(HR_Data[[#This Row],[TotalWorkingYears]]&lt;=5,"Junior",IF(HR_Data[[#This Row],[TotalWorkingYears]]&lt;=15,"Mid-Level","Senior"))</f>
        <v>Junior</v>
      </c>
      <c r="AN865" s="11" t="str">
        <f>IF(HR_Data[[#This Row],[PerformanceRating]]=3,"Standard","Excellent")</f>
        <v>Standard</v>
      </c>
      <c r="AO865" s="11" t="str">
        <f>IF(HR_Data[[#This Row],[JobSatisfaction]]&lt;=2,"Low","High")</f>
        <v>High</v>
      </c>
      <c r="AP865" s="11" t="str">
        <f>IF(AND(HR_Data[[#This Row],[OverTime]]="Yes",HR_Data[[#This Row],[JobSatisfaction]]&lt;=2,HR_Data[[#This Row],[YearsAtCompany]]&lt;=2),"High Risk","Normal")</f>
        <v>Normal</v>
      </c>
    </row>
    <row r="866" spans="1:42" x14ac:dyDescent="0.25">
      <c r="A866" s="6">
        <v>41</v>
      </c>
      <c r="B866" s="4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s="11" t="str">
        <f>IF(HR_Data[[#This Row],[Age]]&lt;=25,"18-25",IF(HR_Data[[#This Row],[Age]]&lt;=35,"26-35",IF(HR_Data[[#This Row],[Age]]&lt;=45,"36-45",IF(HR_Data[[#This Row],[Age]]&lt;=55,"46-55","56+"))))</f>
        <v>36-45</v>
      </c>
      <c r="AK866" s="11" t="str">
        <f>IF(HR_Data[[#This Row],[MonthlyIncome]]&lt;3000,"Low",IF(HR_Data[[#This Row],[MonthlyIncome]]&lt;6000,"Medium",IF(HR_Data[[#This Row],[MonthlyIncome]]&lt;10000,"High","Very High")))</f>
        <v>Low</v>
      </c>
      <c r="AL86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66" t="str">
        <f>IF(HR_Data[[#This Row],[TotalWorkingYears]]&lt;=5,"Junior",IF(HR_Data[[#This Row],[TotalWorkingYears]]&lt;=15,"Mid-Level","Senior"))</f>
        <v>Junior</v>
      </c>
      <c r="AN866" s="11" t="str">
        <f>IF(HR_Data[[#This Row],[PerformanceRating]]=3,"Standard","Excellent")</f>
        <v>Standard</v>
      </c>
      <c r="AO866" s="11" t="str">
        <f>IF(HR_Data[[#This Row],[JobSatisfaction]]&lt;=2,"Low","High")</f>
        <v>Low</v>
      </c>
      <c r="AP866" s="11" t="str">
        <f>IF(AND(HR_Data[[#This Row],[OverTime]]="Yes",HR_Data[[#This Row],[JobSatisfaction]]&lt;=2,HR_Data[[#This Row],[YearsAtCompany]]&lt;=2),"High Risk","Normal")</f>
        <v>Normal</v>
      </c>
    </row>
    <row r="867" spans="1:42" x14ac:dyDescent="0.25">
      <c r="A867" s="6">
        <v>30</v>
      </c>
      <c r="B867" s="4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s="11" t="str">
        <f>IF(HR_Data[[#This Row],[Age]]&lt;=25,"18-25",IF(HR_Data[[#This Row],[Age]]&lt;=35,"26-35",IF(HR_Data[[#This Row],[Age]]&lt;=45,"36-45",IF(HR_Data[[#This Row],[Age]]&lt;=55,"46-55","56+"))))</f>
        <v>26-35</v>
      </c>
      <c r="AK867" s="11" t="str">
        <f>IF(HR_Data[[#This Row],[MonthlyIncome]]&lt;3000,"Low",IF(HR_Data[[#This Row],[MonthlyIncome]]&lt;6000,"Medium",IF(HR_Data[[#This Row],[MonthlyIncome]]&lt;10000,"High","Very High")))</f>
        <v>Medium</v>
      </c>
      <c r="AL86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67" t="str">
        <f>IF(HR_Data[[#This Row],[TotalWorkingYears]]&lt;=5,"Junior",IF(HR_Data[[#This Row],[TotalWorkingYears]]&lt;=15,"Mid-Level","Senior"))</f>
        <v>Mid-Level</v>
      </c>
      <c r="AN867" s="11" t="str">
        <f>IF(HR_Data[[#This Row],[PerformanceRating]]=3,"Standard","Excellent")</f>
        <v>Standard</v>
      </c>
      <c r="AO867" s="11" t="str">
        <f>IF(HR_Data[[#This Row],[JobSatisfaction]]&lt;=2,"Low","High")</f>
        <v>Low</v>
      </c>
      <c r="AP867" s="11" t="str">
        <f>IF(AND(HR_Data[[#This Row],[OverTime]]="Yes",HR_Data[[#This Row],[JobSatisfaction]]&lt;=2,HR_Data[[#This Row],[YearsAtCompany]]&lt;=2),"High Risk","Normal")</f>
        <v>Normal</v>
      </c>
    </row>
    <row r="868" spans="1:42" x14ac:dyDescent="0.25">
      <c r="A868" s="6">
        <v>40</v>
      </c>
      <c r="B868" s="4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s="11" t="str">
        <f>IF(HR_Data[[#This Row],[Age]]&lt;=25,"18-25",IF(HR_Data[[#This Row],[Age]]&lt;=35,"26-35",IF(HR_Data[[#This Row],[Age]]&lt;=45,"36-45",IF(HR_Data[[#This Row],[Age]]&lt;=55,"46-55","56+"))))</f>
        <v>36-45</v>
      </c>
      <c r="AK868" s="11" t="str">
        <f>IF(HR_Data[[#This Row],[MonthlyIncome]]&lt;3000,"Low",IF(HR_Data[[#This Row],[MonthlyIncome]]&lt;6000,"Medium",IF(HR_Data[[#This Row],[MonthlyIncome]]&lt;10000,"High","Very High")))</f>
        <v>Medium</v>
      </c>
      <c r="AL86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68" t="str">
        <f>IF(HR_Data[[#This Row],[TotalWorkingYears]]&lt;=5,"Junior",IF(HR_Data[[#This Row],[TotalWorkingYears]]&lt;=15,"Mid-Level","Senior"))</f>
        <v>Junior</v>
      </c>
      <c r="AN868" s="11" t="str">
        <f>IF(HR_Data[[#This Row],[PerformanceRating]]=3,"Standard","Excellent")</f>
        <v>Standard</v>
      </c>
      <c r="AO868" s="11" t="str">
        <f>IF(HR_Data[[#This Row],[JobSatisfaction]]&lt;=2,"Low","High")</f>
        <v>Low</v>
      </c>
      <c r="AP868" s="11" t="str">
        <f>IF(AND(HR_Data[[#This Row],[OverTime]]="Yes",HR_Data[[#This Row],[JobSatisfaction]]&lt;=2,HR_Data[[#This Row],[YearsAtCompany]]&lt;=2),"High Risk","Normal")</f>
        <v>Normal</v>
      </c>
    </row>
    <row r="869" spans="1:42" x14ac:dyDescent="0.25">
      <c r="A869" s="6">
        <v>50</v>
      </c>
      <c r="B869" s="4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s="11" t="str">
        <f>IF(HR_Data[[#This Row],[Age]]&lt;=25,"18-25",IF(HR_Data[[#This Row],[Age]]&lt;=35,"26-35",IF(HR_Data[[#This Row],[Age]]&lt;=45,"36-45",IF(HR_Data[[#This Row],[Age]]&lt;=55,"46-55","56+"))))</f>
        <v>46-55</v>
      </c>
      <c r="AK869" s="11" t="str">
        <f>IF(HR_Data[[#This Row],[MonthlyIncome]]&lt;3000,"Low",IF(HR_Data[[#This Row],[MonthlyIncome]]&lt;6000,"Medium",IF(HR_Data[[#This Row],[MonthlyIncome]]&lt;10000,"High","Very High")))</f>
        <v>Very High</v>
      </c>
      <c r="AL86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69" t="str">
        <f>IF(HR_Data[[#This Row],[TotalWorkingYears]]&lt;=5,"Junior",IF(HR_Data[[#This Row],[TotalWorkingYears]]&lt;=15,"Mid-Level","Senior"))</f>
        <v>Senior</v>
      </c>
      <c r="AN869" s="11" t="str">
        <f>IF(HR_Data[[#This Row],[PerformanceRating]]=3,"Standard","Excellent")</f>
        <v>Excellent</v>
      </c>
      <c r="AO869" s="11" t="str">
        <f>IF(HR_Data[[#This Row],[JobSatisfaction]]&lt;=2,"Low","High")</f>
        <v>Low</v>
      </c>
      <c r="AP869" s="11" t="str">
        <f>IF(AND(HR_Data[[#This Row],[OverTime]]="Yes",HR_Data[[#This Row],[JobSatisfaction]]&lt;=2,HR_Data[[#This Row],[YearsAtCompany]]&lt;=2),"High Risk","Normal")</f>
        <v>Normal</v>
      </c>
    </row>
    <row r="870" spans="1:42" x14ac:dyDescent="0.25">
      <c r="A870" s="6">
        <v>28</v>
      </c>
      <c r="B870" s="4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s="11" t="str">
        <f>IF(HR_Data[[#This Row],[Age]]&lt;=25,"18-25",IF(HR_Data[[#This Row],[Age]]&lt;=35,"26-35",IF(HR_Data[[#This Row],[Age]]&lt;=45,"36-45",IF(HR_Data[[#This Row],[Age]]&lt;=55,"46-55","56+"))))</f>
        <v>26-35</v>
      </c>
      <c r="AK870" s="11" t="str">
        <f>IF(HR_Data[[#This Row],[MonthlyIncome]]&lt;3000,"Low",IF(HR_Data[[#This Row],[MonthlyIncome]]&lt;6000,"Medium",IF(HR_Data[[#This Row],[MonthlyIncome]]&lt;10000,"High","Very High")))</f>
        <v>Medium</v>
      </c>
      <c r="AL87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70" t="str">
        <f>IF(HR_Data[[#This Row],[TotalWorkingYears]]&lt;=5,"Junior",IF(HR_Data[[#This Row],[TotalWorkingYears]]&lt;=15,"Mid-Level","Senior"))</f>
        <v>Mid-Level</v>
      </c>
      <c r="AN870" s="11" t="str">
        <f>IF(HR_Data[[#This Row],[PerformanceRating]]=3,"Standard","Excellent")</f>
        <v>Standard</v>
      </c>
      <c r="AO870" s="11" t="str">
        <f>IF(HR_Data[[#This Row],[JobSatisfaction]]&lt;=2,"Low","High")</f>
        <v>Low</v>
      </c>
      <c r="AP870" s="11" t="str">
        <f>IF(AND(HR_Data[[#This Row],[OverTime]]="Yes",HR_Data[[#This Row],[JobSatisfaction]]&lt;=2,HR_Data[[#This Row],[YearsAtCompany]]&lt;=2),"High Risk","Normal")</f>
        <v>Normal</v>
      </c>
    </row>
    <row r="871" spans="1:42" x14ac:dyDescent="0.25">
      <c r="A871" s="6">
        <v>46</v>
      </c>
      <c r="B871" s="4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s="11" t="str">
        <f>IF(HR_Data[[#This Row],[Age]]&lt;=25,"18-25",IF(HR_Data[[#This Row],[Age]]&lt;=35,"26-35",IF(HR_Data[[#This Row],[Age]]&lt;=45,"36-45",IF(HR_Data[[#This Row],[Age]]&lt;=55,"46-55","56+"))))</f>
        <v>46-55</v>
      </c>
      <c r="AK871" s="11" t="str">
        <f>IF(HR_Data[[#This Row],[MonthlyIncome]]&lt;3000,"Low",IF(HR_Data[[#This Row],[MonthlyIncome]]&lt;6000,"Medium",IF(HR_Data[[#This Row],[MonthlyIncome]]&lt;10000,"High","Very High")))</f>
        <v>Very High</v>
      </c>
      <c r="AL87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71" t="str">
        <f>IF(HR_Data[[#This Row],[TotalWorkingYears]]&lt;=5,"Junior",IF(HR_Data[[#This Row],[TotalWorkingYears]]&lt;=15,"Mid-Level","Senior"))</f>
        <v>Senior</v>
      </c>
      <c r="AN871" s="11" t="str">
        <f>IF(HR_Data[[#This Row],[PerformanceRating]]=3,"Standard","Excellent")</f>
        <v>Standard</v>
      </c>
      <c r="AO871" s="11" t="str">
        <f>IF(HR_Data[[#This Row],[JobSatisfaction]]&lt;=2,"Low","High")</f>
        <v>Low</v>
      </c>
      <c r="AP871" s="11" t="str">
        <f>IF(AND(HR_Data[[#This Row],[OverTime]]="Yes",HR_Data[[#This Row],[JobSatisfaction]]&lt;=2,HR_Data[[#This Row],[YearsAtCompany]]&lt;=2),"High Risk","Normal")</f>
        <v>Normal</v>
      </c>
    </row>
    <row r="872" spans="1:42" x14ac:dyDescent="0.25">
      <c r="A872" s="6">
        <v>35</v>
      </c>
      <c r="B872" s="4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s="11" t="str">
        <f>IF(HR_Data[[#This Row],[Age]]&lt;=25,"18-25",IF(HR_Data[[#This Row],[Age]]&lt;=35,"26-35",IF(HR_Data[[#This Row],[Age]]&lt;=45,"36-45",IF(HR_Data[[#This Row],[Age]]&lt;=55,"46-55","56+"))))</f>
        <v>26-35</v>
      </c>
      <c r="AK872" s="11" t="str">
        <f>IF(HR_Data[[#This Row],[MonthlyIncome]]&lt;3000,"Low",IF(HR_Data[[#This Row],[MonthlyIncome]]&lt;6000,"Medium",IF(HR_Data[[#This Row],[MonthlyIncome]]&lt;10000,"High","Very High")))</f>
        <v>High</v>
      </c>
      <c r="AL87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72" t="str">
        <f>IF(HR_Data[[#This Row],[TotalWorkingYears]]&lt;=5,"Junior",IF(HR_Data[[#This Row],[TotalWorkingYears]]&lt;=15,"Mid-Level","Senior"))</f>
        <v>Mid-Level</v>
      </c>
      <c r="AN872" s="11" t="str">
        <f>IF(HR_Data[[#This Row],[PerformanceRating]]=3,"Standard","Excellent")</f>
        <v>Standard</v>
      </c>
      <c r="AO872" s="11" t="str">
        <f>IF(HR_Data[[#This Row],[JobSatisfaction]]&lt;=2,"Low","High")</f>
        <v>Low</v>
      </c>
      <c r="AP872" s="11" t="str">
        <f>IF(AND(HR_Data[[#This Row],[OverTime]]="Yes",HR_Data[[#This Row],[JobSatisfaction]]&lt;=2,HR_Data[[#This Row],[YearsAtCompany]]&lt;=2),"High Risk","Normal")</f>
        <v>Normal</v>
      </c>
    </row>
    <row r="873" spans="1:42" x14ac:dyDescent="0.25">
      <c r="A873" s="6">
        <v>24</v>
      </c>
      <c r="B873" s="4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s="11" t="str">
        <f>IF(HR_Data[[#This Row],[Age]]&lt;=25,"18-25",IF(HR_Data[[#This Row],[Age]]&lt;=35,"26-35",IF(HR_Data[[#This Row],[Age]]&lt;=45,"36-45",IF(HR_Data[[#This Row],[Age]]&lt;=55,"46-55","56+"))))</f>
        <v>18-25</v>
      </c>
      <c r="AK873" s="11" t="str">
        <f>IF(HR_Data[[#This Row],[MonthlyIncome]]&lt;3000,"Low",IF(HR_Data[[#This Row],[MonthlyIncome]]&lt;6000,"Medium",IF(HR_Data[[#This Row],[MonthlyIncome]]&lt;10000,"High","Very High")))</f>
        <v>Low</v>
      </c>
      <c r="AL87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73" t="str">
        <f>IF(HR_Data[[#This Row],[TotalWorkingYears]]&lt;=5,"Junior",IF(HR_Data[[#This Row],[TotalWorkingYears]]&lt;=15,"Mid-Level","Senior"))</f>
        <v>Junior</v>
      </c>
      <c r="AN873" s="11" t="str">
        <f>IF(HR_Data[[#This Row],[PerformanceRating]]=3,"Standard","Excellent")</f>
        <v>Standard</v>
      </c>
      <c r="AO873" s="11" t="str">
        <f>IF(HR_Data[[#This Row],[JobSatisfaction]]&lt;=2,"Low","High")</f>
        <v>Low</v>
      </c>
      <c r="AP873" s="11" t="str">
        <f>IF(AND(HR_Data[[#This Row],[OverTime]]="Yes",HR_Data[[#This Row],[JobSatisfaction]]&lt;=2,HR_Data[[#This Row],[YearsAtCompany]]&lt;=2),"High Risk","Normal")</f>
        <v>Normal</v>
      </c>
    </row>
    <row r="874" spans="1:42" x14ac:dyDescent="0.25">
      <c r="A874" s="6">
        <v>33</v>
      </c>
      <c r="B874" s="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s="11" t="str">
        <f>IF(HR_Data[[#This Row],[Age]]&lt;=25,"18-25",IF(HR_Data[[#This Row],[Age]]&lt;=35,"26-35",IF(HR_Data[[#This Row],[Age]]&lt;=45,"36-45",IF(HR_Data[[#This Row],[Age]]&lt;=55,"46-55","56+"))))</f>
        <v>26-35</v>
      </c>
      <c r="AK874" s="11" t="str">
        <f>IF(HR_Data[[#This Row],[MonthlyIncome]]&lt;3000,"Low",IF(HR_Data[[#This Row],[MonthlyIncome]]&lt;6000,"Medium",IF(HR_Data[[#This Row],[MonthlyIncome]]&lt;10000,"High","Very High")))</f>
        <v>Medium</v>
      </c>
      <c r="AL87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74" t="str">
        <f>IF(HR_Data[[#This Row],[TotalWorkingYears]]&lt;=5,"Junior",IF(HR_Data[[#This Row],[TotalWorkingYears]]&lt;=15,"Mid-Level","Senior"))</f>
        <v>Mid-Level</v>
      </c>
      <c r="AN874" s="11" t="str">
        <f>IF(HR_Data[[#This Row],[PerformanceRating]]=3,"Standard","Excellent")</f>
        <v>Standard</v>
      </c>
      <c r="AO874" s="11" t="str">
        <f>IF(HR_Data[[#This Row],[JobSatisfaction]]&lt;=2,"Low","High")</f>
        <v>High</v>
      </c>
      <c r="AP874" s="11" t="str">
        <f>IF(AND(HR_Data[[#This Row],[OverTime]]="Yes",HR_Data[[#This Row],[JobSatisfaction]]&lt;=2,HR_Data[[#This Row],[YearsAtCompany]]&lt;=2),"High Risk","Normal")</f>
        <v>Normal</v>
      </c>
    </row>
    <row r="875" spans="1:42" x14ac:dyDescent="0.25">
      <c r="A875" s="6">
        <v>36</v>
      </c>
      <c r="B875" s="4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s="11" t="str">
        <f>IF(HR_Data[[#This Row],[Age]]&lt;=25,"18-25",IF(HR_Data[[#This Row],[Age]]&lt;=35,"26-35",IF(HR_Data[[#This Row],[Age]]&lt;=45,"36-45",IF(HR_Data[[#This Row],[Age]]&lt;=55,"46-55","56+"))))</f>
        <v>36-45</v>
      </c>
      <c r="AK875" s="11" t="str">
        <f>IF(HR_Data[[#This Row],[MonthlyIncome]]&lt;3000,"Low",IF(HR_Data[[#This Row],[MonthlyIncome]]&lt;6000,"Medium",IF(HR_Data[[#This Row],[MonthlyIncome]]&lt;10000,"High","Very High")))</f>
        <v>Low</v>
      </c>
      <c r="AL87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75" t="str">
        <f>IF(HR_Data[[#This Row],[TotalWorkingYears]]&lt;=5,"Junior",IF(HR_Data[[#This Row],[TotalWorkingYears]]&lt;=15,"Mid-Level","Senior"))</f>
        <v>Mid-Level</v>
      </c>
      <c r="AN875" s="11" t="str">
        <f>IF(HR_Data[[#This Row],[PerformanceRating]]=3,"Standard","Excellent")</f>
        <v>Standard</v>
      </c>
      <c r="AO875" s="11" t="str">
        <f>IF(HR_Data[[#This Row],[JobSatisfaction]]&lt;=2,"Low","High")</f>
        <v>High</v>
      </c>
      <c r="AP875" s="11" t="str">
        <f>IF(AND(HR_Data[[#This Row],[OverTime]]="Yes",HR_Data[[#This Row],[JobSatisfaction]]&lt;=2,HR_Data[[#This Row],[YearsAtCompany]]&lt;=2),"High Risk","Normal")</f>
        <v>Normal</v>
      </c>
    </row>
    <row r="876" spans="1:42" x14ac:dyDescent="0.25">
      <c r="A876" s="6">
        <v>30</v>
      </c>
      <c r="B876" s="4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s="11" t="str">
        <f>IF(HR_Data[[#This Row],[Age]]&lt;=25,"18-25",IF(HR_Data[[#This Row],[Age]]&lt;=35,"26-35",IF(HR_Data[[#This Row],[Age]]&lt;=45,"36-45",IF(HR_Data[[#This Row],[Age]]&lt;=55,"46-55","56+"))))</f>
        <v>26-35</v>
      </c>
      <c r="AK876" s="11" t="str">
        <f>IF(HR_Data[[#This Row],[MonthlyIncome]]&lt;3000,"Low",IF(HR_Data[[#This Row],[MonthlyIncome]]&lt;6000,"Medium",IF(HR_Data[[#This Row],[MonthlyIncome]]&lt;10000,"High","Very High")))</f>
        <v>Medium</v>
      </c>
      <c r="AL87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76" t="str">
        <f>IF(HR_Data[[#This Row],[TotalWorkingYears]]&lt;=5,"Junior",IF(HR_Data[[#This Row],[TotalWorkingYears]]&lt;=15,"Mid-Level","Senior"))</f>
        <v>Mid-Level</v>
      </c>
      <c r="AN876" s="11" t="str">
        <f>IF(HR_Data[[#This Row],[PerformanceRating]]=3,"Standard","Excellent")</f>
        <v>Standard</v>
      </c>
      <c r="AO876" s="11" t="str">
        <f>IF(HR_Data[[#This Row],[JobSatisfaction]]&lt;=2,"Low","High")</f>
        <v>High</v>
      </c>
      <c r="AP876" s="11" t="str">
        <f>IF(AND(HR_Data[[#This Row],[OverTime]]="Yes",HR_Data[[#This Row],[JobSatisfaction]]&lt;=2,HR_Data[[#This Row],[YearsAtCompany]]&lt;=2),"High Risk","Normal")</f>
        <v>Normal</v>
      </c>
    </row>
    <row r="877" spans="1:42" x14ac:dyDescent="0.25">
      <c r="A877" s="6">
        <v>44</v>
      </c>
      <c r="B877" s="4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s="11" t="str">
        <f>IF(HR_Data[[#This Row],[Age]]&lt;=25,"18-25",IF(HR_Data[[#This Row],[Age]]&lt;=35,"26-35",IF(HR_Data[[#This Row],[Age]]&lt;=45,"36-45",IF(HR_Data[[#This Row],[Age]]&lt;=55,"46-55","56+"))))</f>
        <v>36-45</v>
      </c>
      <c r="AK877" s="11" t="str">
        <f>IF(HR_Data[[#This Row],[MonthlyIncome]]&lt;3000,"Low",IF(HR_Data[[#This Row],[MonthlyIncome]]&lt;6000,"Medium",IF(HR_Data[[#This Row],[MonthlyIncome]]&lt;10000,"High","Very High")))</f>
        <v>Medium</v>
      </c>
      <c r="AL87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877" t="str">
        <f>IF(HR_Data[[#This Row],[TotalWorkingYears]]&lt;=5,"Junior",IF(HR_Data[[#This Row],[TotalWorkingYears]]&lt;=15,"Mid-Level","Senior"))</f>
        <v>Senior</v>
      </c>
      <c r="AN877" s="11" t="str">
        <f>IF(HR_Data[[#This Row],[PerformanceRating]]=3,"Standard","Excellent")</f>
        <v>Excellent</v>
      </c>
      <c r="AO877" s="11" t="str">
        <f>IF(HR_Data[[#This Row],[JobSatisfaction]]&lt;=2,"Low","High")</f>
        <v>High</v>
      </c>
      <c r="AP877" s="11" t="str">
        <f>IF(AND(HR_Data[[#This Row],[OverTime]]="Yes",HR_Data[[#This Row],[JobSatisfaction]]&lt;=2,HR_Data[[#This Row],[YearsAtCompany]]&lt;=2),"High Risk","Normal")</f>
        <v>Normal</v>
      </c>
    </row>
    <row r="878" spans="1:42" x14ac:dyDescent="0.25">
      <c r="A878" s="6">
        <v>20</v>
      </c>
      <c r="B878" s="4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s="11" t="str">
        <f>IF(HR_Data[[#This Row],[Age]]&lt;=25,"18-25",IF(HR_Data[[#This Row],[Age]]&lt;=35,"26-35",IF(HR_Data[[#This Row],[Age]]&lt;=45,"36-45",IF(HR_Data[[#This Row],[Age]]&lt;=55,"46-55","56+"))))</f>
        <v>18-25</v>
      </c>
      <c r="AK878" s="11" t="str">
        <f>IF(HR_Data[[#This Row],[MonthlyIncome]]&lt;3000,"Low",IF(HR_Data[[#This Row],[MonthlyIncome]]&lt;6000,"Medium",IF(HR_Data[[#This Row],[MonthlyIncome]]&lt;10000,"High","Very High")))</f>
        <v>Low</v>
      </c>
      <c r="AL87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78" t="str">
        <f>IF(HR_Data[[#This Row],[TotalWorkingYears]]&lt;=5,"Junior",IF(HR_Data[[#This Row],[TotalWorkingYears]]&lt;=15,"Mid-Level","Senior"))</f>
        <v>Junior</v>
      </c>
      <c r="AN878" s="11" t="str">
        <f>IF(HR_Data[[#This Row],[PerformanceRating]]=3,"Standard","Excellent")</f>
        <v>Standard</v>
      </c>
      <c r="AO878" s="11" t="str">
        <f>IF(HR_Data[[#This Row],[JobSatisfaction]]&lt;=2,"Low","High")</f>
        <v>High</v>
      </c>
      <c r="AP878" s="11" t="str">
        <f>IF(AND(HR_Data[[#This Row],[OverTime]]="Yes",HR_Data[[#This Row],[JobSatisfaction]]&lt;=2,HR_Data[[#This Row],[YearsAtCompany]]&lt;=2),"High Risk","Normal")</f>
        <v>Normal</v>
      </c>
    </row>
    <row r="879" spans="1:42" x14ac:dyDescent="0.25">
      <c r="A879" s="6">
        <v>46</v>
      </c>
      <c r="B879" s="4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s="11" t="str">
        <f>IF(HR_Data[[#This Row],[Age]]&lt;=25,"18-25",IF(HR_Data[[#This Row],[Age]]&lt;=35,"26-35",IF(HR_Data[[#This Row],[Age]]&lt;=45,"36-45",IF(HR_Data[[#This Row],[Age]]&lt;=55,"46-55","56+"))))</f>
        <v>46-55</v>
      </c>
      <c r="AK879" s="11" t="str">
        <f>IF(HR_Data[[#This Row],[MonthlyIncome]]&lt;3000,"Low",IF(HR_Data[[#This Row],[MonthlyIncome]]&lt;6000,"Medium",IF(HR_Data[[#This Row],[MonthlyIncome]]&lt;10000,"High","Very High")))</f>
        <v>High</v>
      </c>
      <c r="AL87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79" t="str">
        <f>IF(HR_Data[[#This Row],[TotalWorkingYears]]&lt;=5,"Junior",IF(HR_Data[[#This Row],[TotalWorkingYears]]&lt;=15,"Mid-Level","Senior"))</f>
        <v>Mid-Level</v>
      </c>
      <c r="AN879" s="11" t="str">
        <f>IF(HR_Data[[#This Row],[PerformanceRating]]=3,"Standard","Excellent")</f>
        <v>Standard</v>
      </c>
      <c r="AO879" s="11" t="str">
        <f>IF(HR_Data[[#This Row],[JobSatisfaction]]&lt;=2,"Low","High")</f>
        <v>High</v>
      </c>
      <c r="AP879" s="11" t="str">
        <f>IF(AND(HR_Data[[#This Row],[OverTime]]="Yes",HR_Data[[#This Row],[JobSatisfaction]]&lt;=2,HR_Data[[#This Row],[YearsAtCompany]]&lt;=2),"High Risk","Normal")</f>
        <v>Normal</v>
      </c>
    </row>
    <row r="880" spans="1:42" x14ac:dyDescent="0.25">
      <c r="A880" s="6">
        <v>42</v>
      </c>
      <c r="B880" s="4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s="11" t="str">
        <f>IF(HR_Data[[#This Row],[Age]]&lt;=25,"18-25",IF(HR_Data[[#This Row],[Age]]&lt;=35,"26-35",IF(HR_Data[[#This Row],[Age]]&lt;=45,"36-45",IF(HR_Data[[#This Row],[Age]]&lt;=55,"46-55","56+"))))</f>
        <v>36-45</v>
      </c>
      <c r="AK880" s="11" t="str">
        <f>IF(HR_Data[[#This Row],[MonthlyIncome]]&lt;3000,"Low",IF(HR_Data[[#This Row],[MonthlyIncome]]&lt;6000,"Medium",IF(HR_Data[[#This Row],[MonthlyIncome]]&lt;10000,"High","Very High")))</f>
        <v>High</v>
      </c>
      <c r="AL88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80" t="str">
        <f>IF(HR_Data[[#This Row],[TotalWorkingYears]]&lt;=5,"Junior",IF(HR_Data[[#This Row],[TotalWorkingYears]]&lt;=15,"Mid-Level","Senior"))</f>
        <v>Mid-Level</v>
      </c>
      <c r="AN880" s="11" t="str">
        <f>IF(HR_Data[[#This Row],[PerformanceRating]]=3,"Standard","Excellent")</f>
        <v>Standard</v>
      </c>
      <c r="AO880" s="11" t="str">
        <f>IF(HR_Data[[#This Row],[JobSatisfaction]]&lt;=2,"Low","High")</f>
        <v>Low</v>
      </c>
      <c r="AP880" s="11" t="str">
        <f>IF(AND(HR_Data[[#This Row],[OverTime]]="Yes",HR_Data[[#This Row],[JobSatisfaction]]&lt;=2,HR_Data[[#This Row],[YearsAtCompany]]&lt;=2),"High Risk","Normal")</f>
        <v>Normal</v>
      </c>
    </row>
    <row r="881" spans="1:42" x14ac:dyDescent="0.25">
      <c r="A881" s="6">
        <v>60</v>
      </c>
      <c r="B881" s="4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s="11" t="str">
        <f>IF(HR_Data[[#This Row],[Age]]&lt;=25,"18-25",IF(HR_Data[[#This Row],[Age]]&lt;=35,"26-35",IF(HR_Data[[#This Row],[Age]]&lt;=45,"36-45",IF(HR_Data[[#This Row],[Age]]&lt;=55,"46-55","56+"))))</f>
        <v>56+</v>
      </c>
      <c r="AK881" s="11" t="str">
        <f>IF(HR_Data[[#This Row],[MonthlyIncome]]&lt;3000,"Low",IF(HR_Data[[#This Row],[MonthlyIncome]]&lt;6000,"Medium",IF(HR_Data[[#This Row],[MonthlyIncome]]&lt;10000,"High","Very High")))</f>
        <v>Medium</v>
      </c>
      <c r="AL881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881" t="str">
        <f>IF(HR_Data[[#This Row],[TotalWorkingYears]]&lt;=5,"Junior",IF(HR_Data[[#This Row],[TotalWorkingYears]]&lt;=15,"Mid-Level","Senior"))</f>
        <v>Mid-Level</v>
      </c>
      <c r="AN881" s="11" t="str">
        <f>IF(HR_Data[[#This Row],[PerformanceRating]]=3,"Standard","Excellent")</f>
        <v>Standard</v>
      </c>
      <c r="AO881" s="11" t="str">
        <f>IF(HR_Data[[#This Row],[JobSatisfaction]]&lt;=2,"Low","High")</f>
        <v>High</v>
      </c>
      <c r="AP881" s="11" t="str">
        <f>IF(AND(HR_Data[[#This Row],[OverTime]]="Yes",HR_Data[[#This Row],[JobSatisfaction]]&lt;=2,HR_Data[[#This Row],[YearsAtCompany]]&lt;=2),"High Risk","Normal")</f>
        <v>Normal</v>
      </c>
    </row>
    <row r="882" spans="1:42" x14ac:dyDescent="0.25">
      <c r="A882" s="6">
        <v>32</v>
      </c>
      <c r="B882" s="4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s="11" t="str">
        <f>IF(HR_Data[[#This Row],[Age]]&lt;=25,"18-25",IF(HR_Data[[#This Row],[Age]]&lt;=35,"26-35",IF(HR_Data[[#This Row],[Age]]&lt;=45,"36-45",IF(HR_Data[[#This Row],[Age]]&lt;=55,"46-55","56+"))))</f>
        <v>26-35</v>
      </c>
      <c r="AK882" s="11" t="str">
        <f>IF(HR_Data[[#This Row],[MonthlyIncome]]&lt;3000,"Low",IF(HR_Data[[#This Row],[MonthlyIncome]]&lt;6000,"Medium",IF(HR_Data[[#This Row],[MonthlyIncome]]&lt;10000,"High","Very High")))</f>
        <v>Low</v>
      </c>
      <c r="AL88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82" t="str">
        <f>IF(HR_Data[[#This Row],[TotalWorkingYears]]&lt;=5,"Junior",IF(HR_Data[[#This Row],[TotalWorkingYears]]&lt;=15,"Mid-Level","Senior"))</f>
        <v>Junior</v>
      </c>
      <c r="AN882" s="11" t="str">
        <f>IF(HR_Data[[#This Row],[PerformanceRating]]=3,"Standard","Excellent")</f>
        <v>Excellent</v>
      </c>
      <c r="AO882" s="11" t="str">
        <f>IF(HR_Data[[#This Row],[JobSatisfaction]]&lt;=2,"Low","High")</f>
        <v>Low</v>
      </c>
      <c r="AP882" s="11" t="str">
        <f>IF(AND(HR_Data[[#This Row],[OverTime]]="Yes",HR_Data[[#This Row],[JobSatisfaction]]&lt;=2,HR_Data[[#This Row],[YearsAtCompany]]&lt;=2),"High Risk","Normal")</f>
        <v>Normal</v>
      </c>
    </row>
    <row r="883" spans="1:42" x14ac:dyDescent="0.25">
      <c r="A883" s="6">
        <v>32</v>
      </c>
      <c r="B883" s="4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s="11" t="str">
        <f>IF(HR_Data[[#This Row],[Age]]&lt;=25,"18-25",IF(HR_Data[[#This Row],[Age]]&lt;=35,"26-35",IF(HR_Data[[#This Row],[Age]]&lt;=45,"36-45",IF(HR_Data[[#This Row],[Age]]&lt;=55,"46-55","56+"))))</f>
        <v>26-35</v>
      </c>
      <c r="AK883" s="11" t="str">
        <f>IF(HR_Data[[#This Row],[MonthlyIncome]]&lt;3000,"Low",IF(HR_Data[[#This Row],[MonthlyIncome]]&lt;6000,"Medium",IF(HR_Data[[#This Row],[MonthlyIncome]]&lt;10000,"High","Very High")))</f>
        <v>Medium</v>
      </c>
      <c r="AL88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83" t="str">
        <f>IF(HR_Data[[#This Row],[TotalWorkingYears]]&lt;=5,"Junior",IF(HR_Data[[#This Row],[TotalWorkingYears]]&lt;=15,"Mid-Level","Senior"))</f>
        <v>Mid-Level</v>
      </c>
      <c r="AN883" s="11" t="str">
        <f>IF(HR_Data[[#This Row],[PerformanceRating]]=3,"Standard","Excellent")</f>
        <v>Standard</v>
      </c>
      <c r="AO883" s="11" t="str">
        <f>IF(HR_Data[[#This Row],[JobSatisfaction]]&lt;=2,"Low","High")</f>
        <v>High</v>
      </c>
      <c r="AP883" s="11" t="str">
        <f>IF(AND(HR_Data[[#This Row],[OverTime]]="Yes",HR_Data[[#This Row],[JobSatisfaction]]&lt;=2,HR_Data[[#This Row],[YearsAtCompany]]&lt;=2),"High Risk","Normal")</f>
        <v>Normal</v>
      </c>
    </row>
    <row r="884" spans="1:42" x14ac:dyDescent="0.25">
      <c r="A884" s="6">
        <v>36</v>
      </c>
      <c r="B884" s="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s="11" t="str">
        <f>IF(HR_Data[[#This Row],[Age]]&lt;=25,"18-25",IF(HR_Data[[#This Row],[Age]]&lt;=35,"26-35",IF(HR_Data[[#This Row],[Age]]&lt;=45,"36-45",IF(HR_Data[[#This Row],[Age]]&lt;=55,"46-55","56+"))))</f>
        <v>36-45</v>
      </c>
      <c r="AK884" s="11" t="str">
        <f>IF(HR_Data[[#This Row],[MonthlyIncome]]&lt;3000,"Low",IF(HR_Data[[#This Row],[MonthlyIncome]]&lt;6000,"Medium",IF(HR_Data[[#This Row],[MonthlyIncome]]&lt;10000,"High","Very High")))</f>
        <v>Very High</v>
      </c>
      <c r="AL88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84" t="str">
        <f>IF(HR_Data[[#This Row],[TotalWorkingYears]]&lt;=5,"Junior",IF(HR_Data[[#This Row],[TotalWorkingYears]]&lt;=15,"Mid-Level","Senior"))</f>
        <v>Senior</v>
      </c>
      <c r="AN884" s="11" t="str">
        <f>IF(HR_Data[[#This Row],[PerformanceRating]]=3,"Standard","Excellent")</f>
        <v>Excellent</v>
      </c>
      <c r="AO884" s="11" t="str">
        <f>IF(HR_Data[[#This Row],[JobSatisfaction]]&lt;=2,"Low","High")</f>
        <v>Low</v>
      </c>
      <c r="AP884" s="11" t="str">
        <f>IF(AND(HR_Data[[#This Row],[OverTime]]="Yes",HR_Data[[#This Row],[JobSatisfaction]]&lt;=2,HR_Data[[#This Row],[YearsAtCompany]]&lt;=2),"High Risk","Normal")</f>
        <v>Normal</v>
      </c>
    </row>
    <row r="885" spans="1:42" x14ac:dyDescent="0.25">
      <c r="A885" s="6">
        <v>33</v>
      </c>
      <c r="B885" s="4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s="11" t="str">
        <f>IF(HR_Data[[#This Row],[Age]]&lt;=25,"18-25",IF(HR_Data[[#This Row],[Age]]&lt;=35,"26-35",IF(HR_Data[[#This Row],[Age]]&lt;=45,"36-45",IF(HR_Data[[#This Row],[Age]]&lt;=55,"46-55","56+"))))</f>
        <v>26-35</v>
      </c>
      <c r="AK885" s="11" t="str">
        <f>IF(HR_Data[[#This Row],[MonthlyIncome]]&lt;3000,"Low",IF(HR_Data[[#This Row],[MonthlyIncome]]&lt;6000,"Medium",IF(HR_Data[[#This Row],[MonthlyIncome]]&lt;10000,"High","Very High")))</f>
        <v>Low</v>
      </c>
      <c r="AL885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885" t="str">
        <f>IF(HR_Data[[#This Row],[TotalWorkingYears]]&lt;=5,"Junior",IF(HR_Data[[#This Row],[TotalWorkingYears]]&lt;=15,"Mid-Level","Senior"))</f>
        <v>Mid-Level</v>
      </c>
      <c r="AN885" s="11" t="str">
        <f>IF(HR_Data[[#This Row],[PerformanceRating]]=3,"Standard","Excellent")</f>
        <v>Standard</v>
      </c>
      <c r="AO885" s="11" t="str">
        <f>IF(HR_Data[[#This Row],[JobSatisfaction]]&lt;=2,"Low","High")</f>
        <v>High</v>
      </c>
      <c r="AP885" s="11" t="str">
        <f>IF(AND(HR_Data[[#This Row],[OverTime]]="Yes",HR_Data[[#This Row],[JobSatisfaction]]&lt;=2,HR_Data[[#This Row],[YearsAtCompany]]&lt;=2),"High Risk","Normal")</f>
        <v>Normal</v>
      </c>
    </row>
    <row r="886" spans="1:42" x14ac:dyDescent="0.25">
      <c r="A886" s="6">
        <v>40</v>
      </c>
      <c r="B886" s="4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s="11" t="str">
        <f>IF(HR_Data[[#This Row],[Age]]&lt;=25,"18-25",IF(HR_Data[[#This Row],[Age]]&lt;=35,"26-35",IF(HR_Data[[#This Row],[Age]]&lt;=45,"36-45",IF(HR_Data[[#This Row],[Age]]&lt;=55,"46-55","56+"))))</f>
        <v>36-45</v>
      </c>
      <c r="AK886" s="11" t="str">
        <f>IF(HR_Data[[#This Row],[MonthlyIncome]]&lt;3000,"Low",IF(HR_Data[[#This Row],[MonthlyIncome]]&lt;6000,"Medium",IF(HR_Data[[#This Row],[MonthlyIncome]]&lt;10000,"High","Very High")))</f>
        <v>High</v>
      </c>
      <c r="AL88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86" t="str">
        <f>IF(HR_Data[[#This Row],[TotalWorkingYears]]&lt;=5,"Junior",IF(HR_Data[[#This Row],[TotalWorkingYears]]&lt;=15,"Mid-Level","Senior"))</f>
        <v>Mid-Level</v>
      </c>
      <c r="AN886" s="11" t="str">
        <f>IF(HR_Data[[#This Row],[PerformanceRating]]=3,"Standard","Excellent")</f>
        <v>Standard</v>
      </c>
      <c r="AO886" s="11" t="str">
        <f>IF(HR_Data[[#This Row],[JobSatisfaction]]&lt;=2,"Low","High")</f>
        <v>Low</v>
      </c>
      <c r="AP886" s="11" t="str">
        <f>IF(AND(HR_Data[[#This Row],[OverTime]]="Yes",HR_Data[[#This Row],[JobSatisfaction]]&lt;=2,HR_Data[[#This Row],[YearsAtCompany]]&lt;=2),"High Risk","Normal")</f>
        <v>Normal</v>
      </c>
    </row>
    <row r="887" spans="1:42" x14ac:dyDescent="0.25">
      <c r="A887" s="6">
        <v>25</v>
      </c>
      <c r="B887" s="4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s="11" t="str">
        <f>IF(HR_Data[[#This Row],[Age]]&lt;=25,"18-25",IF(HR_Data[[#This Row],[Age]]&lt;=35,"26-35",IF(HR_Data[[#This Row],[Age]]&lt;=45,"36-45",IF(HR_Data[[#This Row],[Age]]&lt;=55,"46-55","56+"))))</f>
        <v>18-25</v>
      </c>
      <c r="AK887" s="11" t="str">
        <f>IF(HR_Data[[#This Row],[MonthlyIncome]]&lt;3000,"Low",IF(HR_Data[[#This Row],[MonthlyIncome]]&lt;6000,"Medium",IF(HR_Data[[#This Row],[MonthlyIncome]]&lt;10000,"High","Very High")))</f>
        <v>Medium</v>
      </c>
      <c r="AL88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87" t="str">
        <f>IF(HR_Data[[#This Row],[TotalWorkingYears]]&lt;=5,"Junior",IF(HR_Data[[#This Row],[TotalWorkingYears]]&lt;=15,"Mid-Level","Senior"))</f>
        <v>Junior</v>
      </c>
      <c r="AN887" s="11" t="str">
        <f>IF(HR_Data[[#This Row],[PerformanceRating]]=3,"Standard","Excellent")</f>
        <v>Standard</v>
      </c>
      <c r="AO887" s="11" t="str">
        <f>IF(HR_Data[[#This Row],[JobSatisfaction]]&lt;=2,"Low","High")</f>
        <v>High</v>
      </c>
      <c r="AP887" s="11" t="str">
        <f>IF(AND(HR_Data[[#This Row],[OverTime]]="Yes",HR_Data[[#This Row],[JobSatisfaction]]&lt;=2,HR_Data[[#This Row],[YearsAtCompany]]&lt;=2),"High Risk","Normal")</f>
        <v>Normal</v>
      </c>
    </row>
    <row r="888" spans="1:42" x14ac:dyDescent="0.25">
      <c r="A888" s="6">
        <v>30</v>
      </c>
      <c r="B888" s="4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s="11" t="str">
        <f>IF(HR_Data[[#This Row],[Age]]&lt;=25,"18-25",IF(HR_Data[[#This Row],[Age]]&lt;=35,"26-35",IF(HR_Data[[#This Row],[Age]]&lt;=45,"36-45",IF(HR_Data[[#This Row],[Age]]&lt;=55,"46-55","56+"))))</f>
        <v>26-35</v>
      </c>
      <c r="AK888" s="11" t="str">
        <f>IF(HR_Data[[#This Row],[MonthlyIncome]]&lt;3000,"Low",IF(HR_Data[[#This Row],[MonthlyIncome]]&lt;6000,"Medium",IF(HR_Data[[#This Row],[MonthlyIncome]]&lt;10000,"High","Very High")))</f>
        <v>Medium</v>
      </c>
      <c r="AL88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888" t="str">
        <f>IF(HR_Data[[#This Row],[TotalWorkingYears]]&lt;=5,"Junior",IF(HR_Data[[#This Row],[TotalWorkingYears]]&lt;=15,"Mid-Level","Senior"))</f>
        <v>Mid-Level</v>
      </c>
      <c r="AN888" s="11" t="str">
        <f>IF(HR_Data[[#This Row],[PerformanceRating]]=3,"Standard","Excellent")</f>
        <v>Excellent</v>
      </c>
      <c r="AO888" s="11" t="str">
        <f>IF(HR_Data[[#This Row],[JobSatisfaction]]&lt;=2,"Low","High")</f>
        <v>Low</v>
      </c>
      <c r="AP888" s="11" t="str">
        <f>IF(AND(HR_Data[[#This Row],[OverTime]]="Yes",HR_Data[[#This Row],[JobSatisfaction]]&lt;=2,HR_Data[[#This Row],[YearsAtCompany]]&lt;=2),"High Risk","Normal")</f>
        <v>Normal</v>
      </c>
    </row>
    <row r="889" spans="1:42" x14ac:dyDescent="0.25">
      <c r="A889" s="6">
        <v>42</v>
      </c>
      <c r="B889" s="4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s="11" t="str">
        <f>IF(HR_Data[[#This Row],[Age]]&lt;=25,"18-25",IF(HR_Data[[#This Row],[Age]]&lt;=35,"26-35",IF(HR_Data[[#This Row],[Age]]&lt;=45,"36-45",IF(HR_Data[[#This Row],[Age]]&lt;=55,"46-55","56+"))))</f>
        <v>36-45</v>
      </c>
      <c r="AK889" s="11" t="str">
        <f>IF(HR_Data[[#This Row],[MonthlyIncome]]&lt;3000,"Low",IF(HR_Data[[#This Row],[MonthlyIncome]]&lt;6000,"Medium",IF(HR_Data[[#This Row],[MonthlyIncome]]&lt;10000,"High","Very High")))</f>
        <v>Very High</v>
      </c>
      <c r="AL88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89" t="str">
        <f>IF(HR_Data[[#This Row],[TotalWorkingYears]]&lt;=5,"Junior",IF(HR_Data[[#This Row],[TotalWorkingYears]]&lt;=15,"Mid-Level","Senior"))</f>
        <v>Senior</v>
      </c>
      <c r="AN889" s="11" t="str">
        <f>IF(HR_Data[[#This Row],[PerformanceRating]]=3,"Standard","Excellent")</f>
        <v>Standard</v>
      </c>
      <c r="AO889" s="11" t="str">
        <f>IF(HR_Data[[#This Row],[JobSatisfaction]]&lt;=2,"Low","High")</f>
        <v>Low</v>
      </c>
      <c r="AP889" s="11" t="str">
        <f>IF(AND(HR_Data[[#This Row],[OverTime]]="Yes",HR_Data[[#This Row],[JobSatisfaction]]&lt;=2,HR_Data[[#This Row],[YearsAtCompany]]&lt;=2),"High Risk","Normal")</f>
        <v>High Risk</v>
      </c>
    </row>
    <row r="890" spans="1:42" x14ac:dyDescent="0.25">
      <c r="A890" s="6">
        <v>35</v>
      </c>
      <c r="B890" s="4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s="11" t="str">
        <f>IF(HR_Data[[#This Row],[Age]]&lt;=25,"18-25",IF(HR_Data[[#This Row],[Age]]&lt;=35,"26-35",IF(HR_Data[[#This Row],[Age]]&lt;=45,"36-45",IF(HR_Data[[#This Row],[Age]]&lt;=55,"46-55","56+"))))</f>
        <v>26-35</v>
      </c>
      <c r="AK890" s="11" t="str">
        <f>IF(HR_Data[[#This Row],[MonthlyIncome]]&lt;3000,"Low",IF(HR_Data[[#This Row],[MonthlyIncome]]&lt;6000,"Medium",IF(HR_Data[[#This Row],[MonthlyIncome]]&lt;10000,"High","Very High")))</f>
        <v>Very High</v>
      </c>
      <c r="AL89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890" t="str">
        <f>IF(HR_Data[[#This Row],[TotalWorkingYears]]&lt;=5,"Junior",IF(HR_Data[[#This Row],[TotalWorkingYears]]&lt;=15,"Mid-Level","Senior"))</f>
        <v>Senior</v>
      </c>
      <c r="AN890" s="11" t="str">
        <f>IF(HR_Data[[#This Row],[PerformanceRating]]=3,"Standard","Excellent")</f>
        <v>Standard</v>
      </c>
      <c r="AO890" s="11" t="str">
        <f>IF(HR_Data[[#This Row],[JobSatisfaction]]&lt;=2,"Low","High")</f>
        <v>High</v>
      </c>
      <c r="AP890" s="11" t="str">
        <f>IF(AND(HR_Data[[#This Row],[OverTime]]="Yes",HR_Data[[#This Row],[JobSatisfaction]]&lt;=2,HR_Data[[#This Row],[YearsAtCompany]]&lt;=2),"High Risk","Normal")</f>
        <v>Normal</v>
      </c>
    </row>
    <row r="891" spans="1:42" x14ac:dyDescent="0.25">
      <c r="A891" s="6">
        <v>27</v>
      </c>
      <c r="B891" s="4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s="11" t="str">
        <f>IF(HR_Data[[#This Row],[Age]]&lt;=25,"18-25",IF(HR_Data[[#This Row],[Age]]&lt;=35,"26-35",IF(HR_Data[[#This Row],[Age]]&lt;=45,"36-45",IF(HR_Data[[#This Row],[Age]]&lt;=55,"46-55","56+"))))</f>
        <v>26-35</v>
      </c>
      <c r="AK891" s="11" t="str">
        <f>IF(HR_Data[[#This Row],[MonthlyIncome]]&lt;3000,"Low",IF(HR_Data[[#This Row],[MonthlyIncome]]&lt;6000,"Medium",IF(HR_Data[[#This Row],[MonthlyIncome]]&lt;10000,"High","Very High")))</f>
        <v>Low</v>
      </c>
      <c r="AL89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91" t="str">
        <f>IF(HR_Data[[#This Row],[TotalWorkingYears]]&lt;=5,"Junior",IF(HR_Data[[#This Row],[TotalWorkingYears]]&lt;=15,"Mid-Level","Senior"))</f>
        <v>Mid-Level</v>
      </c>
      <c r="AN891" s="11" t="str">
        <f>IF(HR_Data[[#This Row],[PerformanceRating]]=3,"Standard","Excellent")</f>
        <v>Standard</v>
      </c>
      <c r="AO891" s="11" t="str">
        <f>IF(HR_Data[[#This Row],[JobSatisfaction]]&lt;=2,"Low","High")</f>
        <v>Low</v>
      </c>
      <c r="AP891" s="11" t="str">
        <f>IF(AND(HR_Data[[#This Row],[OverTime]]="Yes",HR_Data[[#This Row],[JobSatisfaction]]&lt;=2,HR_Data[[#This Row],[YearsAtCompany]]&lt;=2),"High Risk","Normal")</f>
        <v>Normal</v>
      </c>
    </row>
    <row r="892" spans="1:42" x14ac:dyDescent="0.25">
      <c r="A892" s="6">
        <v>54</v>
      </c>
      <c r="B892" s="4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s="11" t="str">
        <f>IF(HR_Data[[#This Row],[Age]]&lt;=25,"18-25",IF(HR_Data[[#This Row],[Age]]&lt;=35,"26-35",IF(HR_Data[[#This Row],[Age]]&lt;=45,"36-45",IF(HR_Data[[#This Row],[Age]]&lt;=55,"46-55","56+"))))</f>
        <v>46-55</v>
      </c>
      <c r="AK892" s="11" t="str">
        <f>IF(HR_Data[[#This Row],[MonthlyIncome]]&lt;3000,"Low",IF(HR_Data[[#This Row],[MonthlyIncome]]&lt;6000,"Medium",IF(HR_Data[[#This Row],[MonthlyIncome]]&lt;10000,"High","Very High")))</f>
        <v>Very High</v>
      </c>
      <c r="AL89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92" t="str">
        <f>IF(HR_Data[[#This Row],[TotalWorkingYears]]&lt;=5,"Junior",IF(HR_Data[[#This Row],[TotalWorkingYears]]&lt;=15,"Mid-Level","Senior"))</f>
        <v>Senior</v>
      </c>
      <c r="AN892" s="11" t="str">
        <f>IF(HR_Data[[#This Row],[PerformanceRating]]=3,"Standard","Excellent")</f>
        <v>Standard</v>
      </c>
      <c r="AO892" s="11" t="str">
        <f>IF(HR_Data[[#This Row],[JobSatisfaction]]&lt;=2,"Low","High")</f>
        <v>High</v>
      </c>
      <c r="AP892" s="11" t="str">
        <f>IF(AND(HR_Data[[#This Row],[OverTime]]="Yes",HR_Data[[#This Row],[JobSatisfaction]]&lt;=2,HR_Data[[#This Row],[YearsAtCompany]]&lt;=2),"High Risk","Normal")</f>
        <v>Normal</v>
      </c>
    </row>
    <row r="893" spans="1:42" x14ac:dyDescent="0.25">
      <c r="A893" s="6">
        <v>44</v>
      </c>
      <c r="B893" s="4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s="11" t="str">
        <f>IF(HR_Data[[#This Row],[Age]]&lt;=25,"18-25",IF(HR_Data[[#This Row],[Age]]&lt;=35,"26-35",IF(HR_Data[[#This Row],[Age]]&lt;=45,"36-45",IF(HR_Data[[#This Row],[Age]]&lt;=55,"46-55","56+"))))</f>
        <v>36-45</v>
      </c>
      <c r="AK893" s="11" t="str">
        <f>IF(HR_Data[[#This Row],[MonthlyIncome]]&lt;3000,"Low",IF(HR_Data[[#This Row],[MonthlyIncome]]&lt;6000,"Medium",IF(HR_Data[[#This Row],[MonthlyIncome]]&lt;10000,"High","Very High")))</f>
        <v>Low</v>
      </c>
      <c r="AL89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93" t="str">
        <f>IF(HR_Data[[#This Row],[TotalWorkingYears]]&lt;=5,"Junior",IF(HR_Data[[#This Row],[TotalWorkingYears]]&lt;=15,"Mid-Level","Senior"))</f>
        <v>Mid-Level</v>
      </c>
      <c r="AN893" s="11" t="str">
        <f>IF(HR_Data[[#This Row],[PerformanceRating]]=3,"Standard","Excellent")</f>
        <v>Standard</v>
      </c>
      <c r="AO893" s="11" t="str">
        <f>IF(HR_Data[[#This Row],[JobSatisfaction]]&lt;=2,"Low","High")</f>
        <v>High</v>
      </c>
      <c r="AP893" s="11" t="str">
        <f>IF(AND(HR_Data[[#This Row],[OverTime]]="Yes",HR_Data[[#This Row],[JobSatisfaction]]&lt;=2,HR_Data[[#This Row],[YearsAtCompany]]&lt;=2),"High Risk","Normal")</f>
        <v>Normal</v>
      </c>
    </row>
    <row r="894" spans="1:42" x14ac:dyDescent="0.25">
      <c r="A894" s="6">
        <v>19</v>
      </c>
      <c r="B894" s="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s="11" t="str">
        <f>IF(HR_Data[[#This Row],[Age]]&lt;=25,"18-25",IF(HR_Data[[#This Row],[Age]]&lt;=35,"26-35",IF(HR_Data[[#This Row],[Age]]&lt;=45,"36-45",IF(HR_Data[[#This Row],[Age]]&lt;=55,"46-55","56+"))))</f>
        <v>18-25</v>
      </c>
      <c r="AK894" s="11" t="str">
        <f>IF(HR_Data[[#This Row],[MonthlyIncome]]&lt;3000,"Low",IF(HR_Data[[#This Row],[MonthlyIncome]]&lt;6000,"Medium",IF(HR_Data[[#This Row],[MonthlyIncome]]&lt;10000,"High","Very High")))</f>
        <v>Low</v>
      </c>
      <c r="AL89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894" t="str">
        <f>IF(HR_Data[[#This Row],[TotalWorkingYears]]&lt;=5,"Junior",IF(HR_Data[[#This Row],[TotalWorkingYears]]&lt;=15,"Mid-Level","Senior"))</f>
        <v>Junior</v>
      </c>
      <c r="AN894" s="11" t="str">
        <f>IF(HR_Data[[#This Row],[PerformanceRating]]=3,"Standard","Excellent")</f>
        <v>Excellent</v>
      </c>
      <c r="AO894" s="11" t="str">
        <f>IF(HR_Data[[#This Row],[JobSatisfaction]]&lt;=2,"Low","High")</f>
        <v>Low</v>
      </c>
      <c r="AP894" s="11" t="str">
        <f>IF(AND(HR_Data[[#This Row],[OverTime]]="Yes",HR_Data[[#This Row],[JobSatisfaction]]&lt;=2,HR_Data[[#This Row],[YearsAtCompany]]&lt;=2),"High Risk","Normal")</f>
        <v>High Risk</v>
      </c>
    </row>
    <row r="895" spans="1:42" x14ac:dyDescent="0.25">
      <c r="A895" s="6">
        <v>29</v>
      </c>
      <c r="B895" s="4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s="11" t="str">
        <f>IF(HR_Data[[#This Row],[Age]]&lt;=25,"18-25",IF(HR_Data[[#This Row],[Age]]&lt;=35,"26-35",IF(HR_Data[[#This Row],[Age]]&lt;=45,"36-45",IF(HR_Data[[#This Row],[Age]]&lt;=55,"46-55","56+"))))</f>
        <v>26-35</v>
      </c>
      <c r="AK895" s="11" t="str">
        <f>IF(HR_Data[[#This Row],[MonthlyIncome]]&lt;3000,"Low",IF(HR_Data[[#This Row],[MonthlyIncome]]&lt;6000,"Medium",IF(HR_Data[[#This Row],[MonthlyIncome]]&lt;10000,"High","Very High")))</f>
        <v>Medium</v>
      </c>
      <c r="AL89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895" t="str">
        <f>IF(HR_Data[[#This Row],[TotalWorkingYears]]&lt;=5,"Junior",IF(HR_Data[[#This Row],[TotalWorkingYears]]&lt;=15,"Mid-Level","Senior"))</f>
        <v>Junior</v>
      </c>
      <c r="AN895" s="11" t="str">
        <f>IF(HR_Data[[#This Row],[PerformanceRating]]=3,"Standard","Excellent")</f>
        <v>Standard</v>
      </c>
      <c r="AO895" s="11" t="str">
        <f>IF(HR_Data[[#This Row],[JobSatisfaction]]&lt;=2,"Low","High")</f>
        <v>High</v>
      </c>
      <c r="AP895" s="11" t="str">
        <f>IF(AND(HR_Data[[#This Row],[OverTime]]="Yes",HR_Data[[#This Row],[JobSatisfaction]]&lt;=2,HR_Data[[#This Row],[YearsAtCompany]]&lt;=2),"High Risk","Normal")</f>
        <v>Normal</v>
      </c>
    </row>
    <row r="896" spans="1:42" x14ac:dyDescent="0.25">
      <c r="A896" s="6">
        <v>54</v>
      </c>
      <c r="B896" s="4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s="11" t="str">
        <f>IF(HR_Data[[#This Row],[Age]]&lt;=25,"18-25",IF(HR_Data[[#This Row],[Age]]&lt;=35,"26-35",IF(HR_Data[[#This Row],[Age]]&lt;=45,"36-45",IF(HR_Data[[#This Row],[Age]]&lt;=55,"46-55","56+"))))</f>
        <v>46-55</v>
      </c>
      <c r="AK896" s="11" t="str">
        <f>IF(HR_Data[[#This Row],[MonthlyIncome]]&lt;3000,"Low",IF(HR_Data[[#This Row],[MonthlyIncome]]&lt;6000,"Medium",IF(HR_Data[[#This Row],[MonthlyIncome]]&lt;10000,"High","Very High")))</f>
        <v>Very High</v>
      </c>
      <c r="AL89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96" t="str">
        <f>IF(HR_Data[[#This Row],[TotalWorkingYears]]&lt;=5,"Junior",IF(HR_Data[[#This Row],[TotalWorkingYears]]&lt;=15,"Mid-Level","Senior"))</f>
        <v>Senior</v>
      </c>
      <c r="AN896" s="11" t="str">
        <f>IF(HR_Data[[#This Row],[PerformanceRating]]=3,"Standard","Excellent")</f>
        <v>Standard</v>
      </c>
      <c r="AO896" s="11" t="str">
        <f>IF(HR_Data[[#This Row],[JobSatisfaction]]&lt;=2,"Low","High")</f>
        <v>High</v>
      </c>
      <c r="AP896" s="11" t="str">
        <f>IF(AND(HR_Data[[#This Row],[OverTime]]="Yes",HR_Data[[#This Row],[JobSatisfaction]]&lt;=2,HR_Data[[#This Row],[YearsAtCompany]]&lt;=2),"High Risk","Normal")</f>
        <v>Normal</v>
      </c>
    </row>
    <row r="897" spans="1:42" x14ac:dyDescent="0.25">
      <c r="A897" s="6">
        <v>31</v>
      </c>
      <c r="B897" s="4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s="11" t="str">
        <f>IF(HR_Data[[#This Row],[Age]]&lt;=25,"18-25",IF(HR_Data[[#This Row],[Age]]&lt;=35,"26-35",IF(HR_Data[[#This Row],[Age]]&lt;=45,"36-45",IF(HR_Data[[#This Row],[Age]]&lt;=55,"46-55","56+"))))</f>
        <v>26-35</v>
      </c>
      <c r="AK897" s="11" t="str">
        <f>IF(HR_Data[[#This Row],[MonthlyIncome]]&lt;3000,"Low",IF(HR_Data[[#This Row],[MonthlyIncome]]&lt;6000,"Medium",IF(HR_Data[[#This Row],[MonthlyIncome]]&lt;10000,"High","Very High")))</f>
        <v>High</v>
      </c>
      <c r="AL89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97" t="str">
        <f>IF(HR_Data[[#This Row],[TotalWorkingYears]]&lt;=5,"Junior",IF(HR_Data[[#This Row],[TotalWorkingYears]]&lt;=15,"Mid-Level","Senior"))</f>
        <v>Mid-Level</v>
      </c>
      <c r="AN897" s="11" t="str">
        <f>IF(HR_Data[[#This Row],[PerformanceRating]]=3,"Standard","Excellent")</f>
        <v>Standard</v>
      </c>
      <c r="AO897" s="11" t="str">
        <f>IF(HR_Data[[#This Row],[JobSatisfaction]]&lt;=2,"Low","High")</f>
        <v>Low</v>
      </c>
      <c r="AP897" s="11" t="str">
        <f>IF(AND(HR_Data[[#This Row],[OverTime]]="Yes",HR_Data[[#This Row],[JobSatisfaction]]&lt;=2,HR_Data[[#This Row],[YearsAtCompany]]&lt;=2),"High Risk","Normal")</f>
        <v>Normal</v>
      </c>
    </row>
    <row r="898" spans="1:42" x14ac:dyDescent="0.25">
      <c r="A898" s="6">
        <v>31</v>
      </c>
      <c r="B898" s="4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s="11" t="str">
        <f>IF(HR_Data[[#This Row],[Age]]&lt;=25,"18-25",IF(HR_Data[[#This Row],[Age]]&lt;=35,"26-35",IF(HR_Data[[#This Row],[Age]]&lt;=45,"36-45",IF(HR_Data[[#This Row],[Age]]&lt;=55,"46-55","56+"))))</f>
        <v>26-35</v>
      </c>
      <c r="AK898" s="11" t="str">
        <f>IF(HR_Data[[#This Row],[MonthlyIncome]]&lt;3000,"Low",IF(HR_Data[[#This Row],[MonthlyIncome]]&lt;6000,"Medium",IF(HR_Data[[#This Row],[MonthlyIncome]]&lt;10000,"High","Very High")))</f>
        <v>High</v>
      </c>
      <c r="AL89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98" t="str">
        <f>IF(HR_Data[[#This Row],[TotalWorkingYears]]&lt;=5,"Junior",IF(HR_Data[[#This Row],[TotalWorkingYears]]&lt;=15,"Mid-Level","Senior"))</f>
        <v>Mid-Level</v>
      </c>
      <c r="AN898" s="11" t="str">
        <f>IF(HR_Data[[#This Row],[PerformanceRating]]=3,"Standard","Excellent")</f>
        <v>Standard</v>
      </c>
      <c r="AO898" s="11" t="str">
        <f>IF(HR_Data[[#This Row],[JobSatisfaction]]&lt;=2,"Low","High")</f>
        <v>Low</v>
      </c>
      <c r="AP898" s="11" t="str">
        <f>IF(AND(HR_Data[[#This Row],[OverTime]]="Yes",HR_Data[[#This Row],[JobSatisfaction]]&lt;=2,HR_Data[[#This Row],[YearsAtCompany]]&lt;=2),"High Risk","Normal")</f>
        <v>Normal</v>
      </c>
    </row>
    <row r="899" spans="1:42" x14ac:dyDescent="0.25">
      <c r="A899" s="6">
        <v>59</v>
      </c>
      <c r="B899" s="4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s="11" t="str">
        <f>IF(HR_Data[[#This Row],[Age]]&lt;=25,"18-25",IF(HR_Data[[#This Row],[Age]]&lt;=35,"26-35",IF(HR_Data[[#This Row],[Age]]&lt;=45,"36-45",IF(HR_Data[[#This Row],[Age]]&lt;=55,"46-55","56+"))))</f>
        <v>56+</v>
      </c>
      <c r="AK899" s="11" t="str">
        <f>IF(HR_Data[[#This Row],[MonthlyIncome]]&lt;3000,"Low",IF(HR_Data[[#This Row],[MonthlyIncome]]&lt;6000,"Medium",IF(HR_Data[[#This Row],[MonthlyIncome]]&lt;10000,"High","Very High")))</f>
        <v>Medium</v>
      </c>
      <c r="AL89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899" t="str">
        <f>IF(HR_Data[[#This Row],[TotalWorkingYears]]&lt;=5,"Junior",IF(HR_Data[[#This Row],[TotalWorkingYears]]&lt;=15,"Mid-Level","Senior"))</f>
        <v>Mid-Level</v>
      </c>
      <c r="AN899" s="11" t="str">
        <f>IF(HR_Data[[#This Row],[PerformanceRating]]=3,"Standard","Excellent")</f>
        <v>Standard</v>
      </c>
      <c r="AO899" s="11" t="str">
        <f>IF(HR_Data[[#This Row],[JobSatisfaction]]&lt;=2,"Low","High")</f>
        <v>High</v>
      </c>
      <c r="AP899" s="11" t="str">
        <f>IF(AND(HR_Data[[#This Row],[OverTime]]="Yes",HR_Data[[#This Row],[JobSatisfaction]]&lt;=2,HR_Data[[#This Row],[YearsAtCompany]]&lt;=2),"High Risk","Normal")</f>
        <v>Normal</v>
      </c>
    </row>
    <row r="900" spans="1:42" x14ac:dyDescent="0.25">
      <c r="A900" s="6">
        <v>43</v>
      </c>
      <c r="B900" s="4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s="11" t="str">
        <f>IF(HR_Data[[#This Row],[Age]]&lt;=25,"18-25",IF(HR_Data[[#This Row],[Age]]&lt;=35,"26-35",IF(HR_Data[[#This Row],[Age]]&lt;=45,"36-45",IF(HR_Data[[#This Row],[Age]]&lt;=55,"46-55","56+"))))</f>
        <v>36-45</v>
      </c>
      <c r="AK900" s="11" t="str">
        <f>IF(HR_Data[[#This Row],[MonthlyIncome]]&lt;3000,"Low",IF(HR_Data[[#This Row],[MonthlyIncome]]&lt;6000,"Medium",IF(HR_Data[[#This Row],[MonthlyIncome]]&lt;10000,"High","Very High")))</f>
        <v>Very High</v>
      </c>
      <c r="AL90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00" t="str">
        <f>IF(HR_Data[[#This Row],[TotalWorkingYears]]&lt;=5,"Junior",IF(HR_Data[[#This Row],[TotalWorkingYears]]&lt;=15,"Mid-Level","Senior"))</f>
        <v>Senior</v>
      </c>
      <c r="AN900" s="11" t="str">
        <f>IF(HR_Data[[#This Row],[PerformanceRating]]=3,"Standard","Excellent")</f>
        <v>Standard</v>
      </c>
      <c r="AO900" s="11" t="str">
        <f>IF(HR_Data[[#This Row],[JobSatisfaction]]&lt;=2,"Low","High")</f>
        <v>High</v>
      </c>
      <c r="AP900" s="11" t="str">
        <f>IF(AND(HR_Data[[#This Row],[OverTime]]="Yes",HR_Data[[#This Row],[JobSatisfaction]]&lt;=2,HR_Data[[#This Row],[YearsAtCompany]]&lt;=2),"High Risk","Normal")</f>
        <v>Normal</v>
      </c>
    </row>
    <row r="901" spans="1:42" x14ac:dyDescent="0.25">
      <c r="A901" s="6">
        <v>49</v>
      </c>
      <c r="B901" s="4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s="11" t="str">
        <f>IF(HR_Data[[#This Row],[Age]]&lt;=25,"18-25",IF(HR_Data[[#This Row],[Age]]&lt;=35,"26-35",IF(HR_Data[[#This Row],[Age]]&lt;=45,"36-45",IF(HR_Data[[#This Row],[Age]]&lt;=55,"46-55","56+"))))</f>
        <v>46-55</v>
      </c>
      <c r="AK901" s="11" t="str">
        <f>IF(HR_Data[[#This Row],[MonthlyIncome]]&lt;3000,"Low",IF(HR_Data[[#This Row],[MonthlyIncome]]&lt;6000,"Medium",IF(HR_Data[[#This Row],[MonthlyIncome]]&lt;10000,"High","Very High")))</f>
        <v>Very High</v>
      </c>
      <c r="AL90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01" t="str">
        <f>IF(HR_Data[[#This Row],[TotalWorkingYears]]&lt;=5,"Junior",IF(HR_Data[[#This Row],[TotalWorkingYears]]&lt;=15,"Mid-Level","Senior"))</f>
        <v>Senior</v>
      </c>
      <c r="AN901" s="11" t="str">
        <f>IF(HR_Data[[#This Row],[PerformanceRating]]=3,"Standard","Excellent")</f>
        <v>Standard</v>
      </c>
      <c r="AO901" s="11" t="str">
        <f>IF(HR_Data[[#This Row],[JobSatisfaction]]&lt;=2,"Low","High")</f>
        <v>High</v>
      </c>
      <c r="AP901" s="11" t="str">
        <f>IF(AND(HR_Data[[#This Row],[OverTime]]="Yes",HR_Data[[#This Row],[JobSatisfaction]]&lt;=2,HR_Data[[#This Row],[YearsAtCompany]]&lt;=2),"High Risk","Normal")</f>
        <v>Normal</v>
      </c>
    </row>
    <row r="902" spans="1:42" x14ac:dyDescent="0.25">
      <c r="A902" s="6">
        <v>36</v>
      </c>
      <c r="B902" s="4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s="11" t="str">
        <f>IF(HR_Data[[#This Row],[Age]]&lt;=25,"18-25",IF(HR_Data[[#This Row],[Age]]&lt;=35,"26-35",IF(HR_Data[[#This Row],[Age]]&lt;=45,"36-45",IF(HR_Data[[#This Row],[Age]]&lt;=55,"46-55","56+"))))</f>
        <v>36-45</v>
      </c>
      <c r="AK902" s="11" t="str">
        <f>IF(HR_Data[[#This Row],[MonthlyIncome]]&lt;3000,"Low",IF(HR_Data[[#This Row],[MonthlyIncome]]&lt;6000,"Medium",IF(HR_Data[[#This Row],[MonthlyIncome]]&lt;10000,"High","Very High")))</f>
        <v>Medium</v>
      </c>
      <c r="AL90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902" t="str">
        <f>IF(HR_Data[[#This Row],[TotalWorkingYears]]&lt;=5,"Junior",IF(HR_Data[[#This Row],[TotalWorkingYears]]&lt;=15,"Mid-Level","Senior"))</f>
        <v>Mid-Level</v>
      </c>
      <c r="AN902" s="11" t="str">
        <f>IF(HR_Data[[#This Row],[PerformanceRating]]=3,"Standard","Excellent")</f>
        <v>Standard</v>
      </c>
      <c r="AO902" s="11" t="str">
        <f>IF(HR_Data[[#This Row],[JobSatisfaction]]&lt;=2,"Low","High")</f>
        <v>Low</v>
      </c>
      <c r="AP902" s="11" t="str">
        <f>IF(AND(HR_Data[[#This Row],[OverTime]]="Yes",HR_Data[[#This Row],[JobSatisfaction]]&lt;=2,HR_Data[[#This Row],[YearsAtCompany]]&lt;=2),"High Risk","Normal")</f>
        <v>Normal</v>
      </c>
    </row>
    <row r="903" spans="1:42" x14ac:dyDescent="0.25">
      <c r="A903" s="6">
        <v>48</v>
      </c>
      <c r="B903" s="4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s="11" t="str">
        <f>IF(HR_Data[[#This Row],[Age]]&lt;=25,"18-25",IF(HR_Data[[#This Row],[Age]]&lt;=35,"26-35",IF(HR_Data[[#This Row],[Age]]&lt;=45,"36-45",IF(HR_Data[[#This Row],[Age]]&lt;=55,"46-55","56+"))))</f>
        <v>46-55</v>
      </c>
      <c r="AK903" s="11" t="str">
        <f>IF(HR_Data[[#This Row],[MonthlyIncome]]&lt;3000,"Low",IF(HR_Data[[#This Row],[MonthlyIncome]]&lt;6000,"Medium",IF(HR_Data[[#This Row],[MonthlyIncome]]&lt;10000,"High","Very High")))</f>
        <v>Low</v>
      </c>
      <c r="AL90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03" t="str">
        <f>IF(HR_Data[[#This Row],[TotalWorkingYears]]&lt;=5,"Junior",IF(HR_Data[[#This Row],[TotalWorkingYears]]&lt;=15,"Mid-Level","Senior"))</f>
        <v>Mid-Level</v>
      </c>
      <c r="AN903" s="11" t="str">
        <f>IF(HR_Data[[#This Row],[PerformanceRating]]=3,"Standard","Excellent")</f>
        <v>Standard</v>
      </c>
      <c r="AO903" s="11" t="str">
        <f>IF(HR_Data[[#This Row],[JobSatisfaction]]&lt;=2,"Low","High")</f>
        <v>Low</v>
      </c>
      <c r="AP903" s="11" t="str">
        <f>IF(AND(HR_Data[[#This Row],[OverTime]]="Yes",HR_Data[[#This Row],[JobSatisfaction]]&lt;=2,HR_Data[[#This Row],[YearsAtCompany]]&lt;=2),"High Risk","Normal")</f>
        <v>Normal</v>
      </c>
    </row>
    <row r="904" spans="1:42" x14ac:dyDescent="0.25">
      <c r="A904" s="6">
        <v>27</v>
      </c>
      <c r="B904" s="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s="11" t="str">
        <f>IF(HR_Data[[#This Row],[Age]]&lt;=25,"18-25",IF(HR_Data[[#This Row],[Age]]&lt;=35,"26-35",IF(HR_Data[[#This Row],[Age]]&lt;=45,"36-45",IF(HR_Data[[#This Row],[Age]]&lt;=55,"46-55","56+"))))</f>
        <v>26-35</v>
      </c>
      <c r="AK904" s="11" t="str">
        <f>IF(HR_Data[[#This Row],[MonthlyIncome]]&lt;3000,"Low",IF(HR_Data[[#This Row],[MonthlyIncome]]&lt;6000,"Medium",IF(HR_Data[[#This Row],[MonthlyIncome]]&lt;10000,"High","Very High")))</f>
        <v>Low</v>
      </c>
      <c r="AL90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04" t="str">
        <f>IF(HR_Data[[#This Row],[TotalWorkingYears]]&lt;=5,"Junior",IF(HR_Data[[#This Row],[TotalWorkingYears]]&lt;=15,"Mid-Level","Senior"))</f>
        <v>Junior</v>
      </c>
      <c r="AN904" s="11" t="str">
        <f>IF(HR_Data[[#This Row],[PerformanceRating]]=3,"Standard","Excellent")</f>
        <v>Standard</v>
      </c>
      <c r="AO904" s="11" t="str">
        <f>IF(HR_Data[[#This Row],[JobSatisfaction]]&lt;=2,"Low","High")</f>
        <v>High</v>
      </c>
      <c r="AP904" s="11" t="str">
        <f>IF(AND(HR_Data[[#This Row],[OverTime]]="Yes",HR_Data[[#This Row],[JobSatisfaction]]&lt;=2,HR_Data[[#This Row],[YearsAtCompany]]&lt;=2),"High Risk","Normal")</f>
        <v>Normal</v>
      </c>
    </row>
    <row r="905" spans="1:42" x14ac:dyDescent="0.25">
      <c r="A905" s="6">
        <v>29</v>
      </c>
      <c r="B905" s="4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s="11" t="str">
        <f>IF(HR_Data[[#This Row],[Age]]&lt;=25,"18-25",IF(HR_Data[[#This Row],[Age]]&lt;=35,"26-35",IF(HR_Data[[#This Row],[Age]]&lt;=45,"36-45",IF(HR_Data[[#This Row],[Age]]&lt;=55,"46-55","56+"))))</f>
        <v>26-35</v>
      </c>
      <c r="AK905" s="11" t="str">
        <f>IF(HR_Data[[#This Row],[MonthlyIncome]]&lt;3000,"Low",IF(HR_Data[[#This Row],[MonthlyIncome]]&lt;6000,"Medium",IF(HR_Data[[#This Row],[MonthlyIncome]]&lt;10000,"High","Very High")))</f>
        <v>High</v>
      </c>
      <c r="AL90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05" t="str">
        <f>IF(HR_Data[[#This Row],[TotalWorkingYears]]&lt;=5,"Junior",IF(HR_Data[[#This Row],[TotalWorkingYears]]&lt;=15,"Mid-Level","Senior"))</f>
        <v>Mid-Level</v>
      </c>
      <c r="AN905" s="11" t="str">
        <f>IF(HR_Data[[#This Row],[PerformanceRating]]=3,"Standard","Excellent")</f>
        <v>Standard</v>
      </c>
      <c r="AO905" s="11" t="str">
        <f>IF(HR_Data[[#This Row],[JobSatisfaction]]&lt;=2,"Low","High")</f>
        <v>High</v>
      </c>
      <c r="AP905" s="11" t="str">
        <f>IF(AND(HR_Data[[#This Row],[OverTime]]="Yes",HR_Data[[#This Row],[JobSatisfaction]]&lt;=2,HR_Data[[#This Row],[YearsAtCompany]]&lt;=2),"High Risk","Normal")</f>
        <v>Normal</v>
      </c>
    </row>
    <row r="906" spans="1:42" x14ac:dyDescent="0.25">
      <c r="A906" s="6">
        <v>48</v>
      </c>
      <c r="B906" s="4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s="11" t="str">
        <f>IF(HR_Data[[#This Row],[Age]]&lt;=25,"18-25",IF(HR_Data[[#This Row],[Age]]&lt;=35,"26-35",IF(HR_Data[[#This Row],[Age]]&lt;=45,"36-45",IF(HR_Data[[#This Row],[Age]]&lt;=55,"46-55","56+"))))</f>
        <v>46-55</v>
      </c>
      <c r="AK906" s="11" t="str">
        <f>IF(HR_Data[[#This Row],[MonthlyIncome]]&lt;3000,"Low",IF(HR_Data[[#This Row],[MonthlyIncome]]&lt;6000,"Medium",IF(HR_Data[[#This Row],[MonthlyIncome]]&lt;10000,"High","Very High")))</f>
        <v>Very High</v>
      </c>
      <c r="AL90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06" t="str">
        <f>IF(HR_Data[[#This Row],[TotalWorkingYears]]&lt;=5,"Junior",IF(HR_Data[[#This Row],[TotalWorkingYears]]&lt;=15,"Mid-Level","Senior"))</f>
        <v>Senior</v>
      </c>
      <c r="AN906" s="11" t="str">
        <f>IF(HR_Data[[#This Row],[PerformanceRating]]=3,"Standard","Excellent")</f>
        <v>Standard</v>
      </c>
      <c r="AO906" s="11" t="str">
        <f>IF(HR_Data[[#This Row],[JobSatisfaction]]&lt;=2,"Low","High")</f>
        <v>High</v>
      </c>
      <c r="AP906" s="11" t="str">
        <f>IF(AND(HR_Data[[#This Row],[OverTime]]="Yes",HR_Data[[#This Row],[JobSatisfaction]]&lt;=2,HR_Data[[#This Row],[YearsAtCompany]]&lt;=2),"High Risk","Normal")</f>
        <v>Normal</v>
      </c>
    </row>
    <row r="907" spans="1:42" x14ac:dyDescent="0.25">
      <c r="A907" s="6">
        <v>29</v>
      </c>
      <c r="B907" s="4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s="11" t="str">
        <f>IF(HR_Data[[#This Row],[Age]]&lt;=25,"18-25",IF(HR_Data[[#This Row],[Age]]&lt;=35,"26-35",IF(HR_Data[[#This Row],[Age]]&lt;=45,"36-45",IF(HR_Data[[#This Row],[Age]]&lt;=55,"46-55","56+"))))</f>
        <v>26-35</v>
      </c>
      <c r="AK907" s="11" t="str">
        <f>IF(HR_Data[[#This Row],[MonthlyIncome]]&lt;3000,"Low",IF(HR_Data[[#This Row],[MonthlyIncome]]&lt;6000,"Medium",IF(HR_Data[[#This Row],[MonthlyIncome]]&lt;10000,"High","Very High")))</f>
        <v>Very High</v>
      </c>
      <c r="AL90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07" t="str">
        <f>IF(HR_Data[[#This Row],[TotalWorkingYears]]&lt;=5,"Junior",IF(HR_Data[[#This Row],[TotalWorkingYears]]&lt;=15,"Mid-Level","Senior"))</f>
        <v>Mid-Level</v>
      </c>
      <c r="AN907" s="11" t="str">
        <f>IF(HR_Data[[#This Row],[PerformanceRating]]=3,"Standard","Excellent")</f>
        <v>Standard</v>
      </c>
      <c r="AO907" s="11" t="str">
        <f>IF(HR_Data[[#This Row],[JobSatisfaction]]&lt;=2,"Low","High")</f>
        <v>High</v>
      </c>
      <c r="AP907" s="11" t="str">
        <f>IF(AND(HR_Data[[#This Row],[OverTime]]="Yes",HR_Data[[#This Row],[JobSatisfaction]]&lt;=2,HR_Data[[#This Row],[YearsAtCompany]]&lt;=2),"High Risk","Normal")</f>
        <v>Normal</v>
      </c>
    </row>
    <row r="908" spans="1:42" x14ac:dyDescent="0.25">
      <c r="A908" s="6">
        <v>34</v>
      </c>
      <c r="B908" s="4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s="11" t="str">
        <f>IF(HR_Data[[#This Row],[Age]]&lt;=25,"18-25",IF(HR_Data[[#This Row],[Age]]&lt;=35,"26-35",IF(HR_Data[[#This Row],[Age]]&lt;=45,"36-45",IF(HR_Data[[#This Row],[Age]]&lt;=55,"46-55","56+"))))</f>
        <v>26-35</v>
      </c>
      <c r="AK908" s="11" t="str">
        <f>IF(HR_Data[[#This Row],[MonthlyIncome]]&lt;3000,"Low",IF(HR_Data[[#This Row],[MonthlyIncome]]&lt;6000,"Medium",IF(HR_Data[[#This Row],[MonthlyIncome]]&lt;10000,"High","Very High")))</f>
        <v>Low</v>
      </c>
      <c r="AL90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08" t="str">
        <f>IF(HR_Data[[#This Row],[TotalWorkingYears]]&lt;=5,"Junior",IF(HR_Data[[#This Row],[TotalWorkingYears]]&lt;=15,"Mid-Level","Senior"))</f>
        <v>Junior</v>
      </c>
      <c r="AN908" s="11" t="str">
        <f>IF(HR_Data[[#This Row],[PerformanceRating]]=3,"Standard","Excellent")</f>
        <v>Standard</v>
      </c>
      <c r="AO908" s="11" t="str">
        <f>IF(HR_Data[[#This Row],[JobSatisfaction]]&lt;=2,"Low","High")</f>
        <v>High</v>
      </c>
      <c r="AP908" s="11" t="str">
        <f>IF(AND(HR_Data[[#This Row],[OverTime]]="Yes",HR_Data[[#This Row],[JobSatisfaction]]&lt;=2,HR_Data[[#This Row],[YearsAtCompany]]&lt;=2),"High Risk","Normal")</f>
        <v>Normal</v>
      </c>
    </row>
    <row r="909" spans="1:42" x14ac:dyDescent="0.25">
      <c r="A909" s="6">
        <v>44</v>
      </c>
      <c r="B909" s="4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s="11" t="str">
        <f>IF(HR_Data[[#This Row],[Age]]&lt;=25,"18-25",IF(HR_Data[[#This Row],[Age]]&lt;=35,"26-35",IF(HR_Data[[#This Row],[Age]]&lt;=45,"36-45",IF(HR_Data[[#This Row],[Age]]&lt;=55,"46-55","56+"))))</f>
        <v>36-45</v>
      </c>
      <c r="AK909" s="11" t="str">
        <f>IF(HR_Data[[#This Row],[MonthlyIncome]]&lt;3000,"Low",IF(HR_Data[[#This Row],[MonthlyIncome]]&lt;6000,"Medium",IF(HR_Data[[#This Row],[MonthlyIncome]]&lt;10000,"High","Very High")))</f>
        <v>Very High</v>
      </c>
      <c r="AL90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09" t="str">
        <f>IF(HR_Data[[#This Row],[TotalWorkingYears]]&lt;=5,"Junior",IF(HR_Data[[#This Row],[TotalWorkingYears]]&lt;=15,"Mid-Level","Senior"))</f>
        <v>Senior</v>
      </c>
      <c r="AN909" s="11" t="str">
        <f>IF(HR_Data[[#This Row],[PerformanceRating]]=3,"Standard","Excellent")</f>
        <v>Standard</v>
      </c>
      <c r="AO909" s="11" t="str">
        <f>IF(HR_Data[[#This Row],[JobSatisfaction]]&lt;=2,"Low","High")</f>
        <v>Low</v>
      </c>
      <c r="AP909" s="11" t="str">
        <f>IF(AND(HR_Data[[#This Row],[OverTime]]="Yes",HR_Data[[#This Row],[JobSatisfaction]]&lt;=2,HR_Data[[#This Row],[YearsAtCompany]]&lt;=2),"High Risk","Normal")</f>
        <v>Normal</v>
      </c>
    </row>
    <row r="910" spans="1:42" x14ac:dyDescent="0.25">
      <c r="A910" s="6">
        <v>33</v>
      </c>
      <c r="B910" s="4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s="11" t="str">
        <f>IF(HR_Data[[#This Row],[Age]]&lt;=25,"18-25",IF(HR_Data[[#This Row],[Age]]&lt;=35,"26-35",IF(HR_Data[[#This Row],[Age]]&lt;=45,"36-45",IF(HR_Data[[#This Row],[Age]]&lt;=55,"46-55","56+"))))</f>
        <v>26-35</v>
      </c>
      <c r="AK910" s="11" t="str">
        <f>IF(HR_Data[[#This Row],[MonthlyIncome]]&lt;3000,"Low",IF(HR_Data[[#This Row],[MonthlyIncome]]&lt;6000,"Medium",IF(HR_Data[[#This Row],[MonthlyIncome]]&lt;10000,"High","Very High")))</f>
        <v>High</v>
      </c>
      <c r="AL91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10" t="str">
        <f>IF(HR_Data[[#This Row],[TotalWorkingYears]]&lt;=5,"Junior",IF(HR_Data[[#This Row],[TotalWorkingYears]]&lt;=15,"Mid-Level","Senior"))</f>
        <v>Mid-Level</v>
      </c>
      <c r="AN910" s="11" t="str">
        <f>IF(HR_Data[[#This Row],[PerformanceRating]]=3,"Standard","Excellent")</f>
        <v>Standard</v>
      </c>
      <c r="AO910" s="11" t="str">
        <f>IF(HR_Data[[#This Row],[JobSatisfaction]]&lt;=2,"Low","High")</f>
        <v>High</v>
      </c>
      <c r="AP910" s="11" t="str">
        <f>IF(AND(HR_Data[[#This Row],[OverTime]]="Yes",HR_Data[[#This Row],[JobSatisfaction]]&lt;=2,HR_Data[[#This Row],[YearsAtCompany]]&lt;=2),"High Risk","Normal")</f>
        <v>Normal</v>
      </c>
    </row>
    <row r="911" spans="1:42" x14ac:dyDescent="0.25">
      <c r="A911" s="6">
        <v>19</v>
      </c>
      <c r="B911" s="4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s="11" t="str">
        <f>IF(HR_Data[[#This Row],[Age]]&lt;=25,"18-25",IF(HR_Data[[#This Row],[Age]]&lt;=35,"26-35",IF(HR_Data[[#This Row],[Age]]&lt;=45,"36-45",IF(HR_Data[[#This Row],[Age]]&lt;=55,"46-55","56+"))))</f>
        <v>18-25</v>
      </c>
      <c r="AK911" s="11" t="str">
        <f>IF(HR_Data[[#This Row],[MonthlyIncome]]&lt;3000,"Low",IF(HR_Data[[#This Row],[MonthlyIncome]]&lt;6000,"Medium",IF(HR_Data[[#This Row],[MonthlyIncome]]&lt;10000,"High","Very High")))</f>
        <v>Low</v>
      </c>
      <c r="AL91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11" t="str">
        <f>IF(HR_Data[[#This Row],[TotalWorkingYears]]&lt;=5,"Junior",IF(HR_Data[[#This Row],[TotalWorkingYears]]&lt;=15,"Mid-Level","Senior"))</f>
        <v>Junior</v>
      </c>
      <c r="AN911" s="11" t="str">
        <f>IF(HR_Data[[#This Row],[PerformanceRating]]=3,"Standard","Excellent")</f>
        <v>Standard</v>
      </c>
      <c r="AO911" s="11" t="str">
        <f>IF(HR_Data[[#This Row],[JobSatisfaction]]&lt;=2,"Low","High")</f>
        <v>High</v>
      </c>
      <c r="AP911" s="11" t="str">
        <f>IF(AND(HR_Data[[#This Row],[OverTime]]="Yes",HR_Data[[#This Row],[JobSatisfaction]]&lt;=2,HR_Data[[#This Row],[YearsAtCompany]]&lt;=2),"High Risk","Normal")</f>
        <v>Normal</v>
      </c>
    </row>
    <row r="912" spans="1:42" x14ac:dyDescent="0.25">
      <c r="A912" s="6">
        <v>23</v>
      </c>
      <c r="B912" s="4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s="11" t="str">
        <f>IF(HR_Data[[#This Row],[Age]]&lt;=25,"18-25",IF(HR_Data[[#This Row],[Age]]&lt;=35,"26-35",IF(HR_Data[[#This Row],[Age]]&lt;=45,"36-45",IF(HR_Data[[#This Row],[Age]]&lt;=55,"46-55","56+"))))</f>
        <v>18-25</v>
      </c>
      <c r="AK912" s="11" t="str">
        <f>IF(HR_Data[[#This Row],[MonthlyIncome]]&lt;3000,"Low",IF(HR_Data[[#This Row],[MonthlyIncome]]&lt;6000,"Medium",IF(HR_Data[[#This Row],[MonthlyIncome]]&lt;10000,"High","Very High")))</f>
        <v>Low</v>
      </c>
      <c r="AL91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12" t="str">
        <f>IF(HR_Data[[#This Row],[TotalWorkingYears]]&lt;=5,"Junior",IF(HR_Data[[#This Row],[TotalWorkingYears]]&lt;=15,"Mid-Level","Senior"))</f>
        <v>Junior</v>
      </c>
      <c r="AN912" s="11" t="str">
        <f>IF(HR_Data[[#This Row],[PerformanceRating]]=3,"Standard","Excellent")</f>
        <v>Excellent</v>
      </c>
      <c r="AO912" s="11" t="str">
        <f>IF(HR_Data[[#This Row],[JobSatisfaction]]&lt;=2,"Low","High")</f>
        <v>High</v>
      </c>
      <c r="AP912" s="11" t="str">
        <f>IF(AND(HR_Data[[#This Row],[OverTime]]="Yes",HR_Data[[#This Row],[JobSatisfaction]]&lt;=2,HR_Data[[#This Row],[YearsAtCompany]]&lt;=2),"High Risk","Normal")</f>
        <v>Normal</v>
      </c>
    </row>
    <row r="913" spans="1:42" x14ac:dyDescent="0.25">
      <c r="A913" s="6">
        <v>25</v>
      </c>
      <c r="B913" s="4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s="11" t="str">
        <f>IF(HR_Data[[#This Row],[Age]]&lt;=25,"18-25",IF(HR_Data[[#This Row],[Age]]&lt;=35,"26-35",IF(HR_Data[[#This Row],[Age]]&lt;=45,"36-45",IF(HR_Data[[#This Row],[Age]]&lt;=55,"46-55","56+"))))</f>
        <v>18-25</v>
      </c>
      <c r="AK913" s="11" t="str">
        <f>IF(HR_Data[[#This Row],[MonthlyIncome]]&lt;3000,"Low",IF(HR_Data[[#This Row],[MonthlyIncome]]&lt;6000,"Medium",IF(HR_Data[[#This Row],[MonthlyIncome]]&lt;10000,"High","Very High")))</f>
        <v>Low</v>
      </c>
      <c r="AL91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13" t="str">
        <f>IF(HR_Data[[#This Row],[TotalWorkingYears]]&lt;=5,"Junior",IF(HR_Data[[#This Row],[TotalWorkingYears]]&lt;=15,"Mid-Level","Senior"))</f>
        <v>Junior</v>
      </c>
      <c r="AN913" s="11" t="str">
        <f>IF(HR_Data[[#This Row],[PerformanceRating]]=3,"Standard","Excellent")</f>
        <v>Standard</v>
      </c>
      <c r="AO913" s="11" t="str">
        <f>IF(HR_Data[[#This Row],[JobSatisfaction]]&lt;=2,"Low","High")</f>
        <v>High</v>
      </c>
      <c r="AP913" s="11" t="str">
        <f>IF(AND(HR_Data[[#This Row],[OverTime]]="Yes",HR_Data[[#This Row],[JobSatisfaction]]&lt;=2,HR_Data[[#This Row],[YearsAtCompany]]&lt;=2),"High Risk","Normal")</f>
        <v>Normal</v>
      </c>
    </row>
    <row r="914" spans="1:42" x14ac:dyDescent="0.25">
      <c r="A914" s="6">
        <v>26</v>
      </c>
      <c r="B914" s="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s="11" t="str">
        <f>IF(HR_Data[[#This Row],[Age]]&lt;=25,"18-25",IF(HR_Data[[#This Row],[Age]]&lt;=35,"26-35",IF(HR_Data[[#This Row],[Age]]&lt;=45,"36-45",IF(HR_Data[[#This Row],[Age]]&lt;=55,"46-55","56+"))))</f>
        <v>26-35</v>
      </c>
      <c r="AK914" s="11" t="str">
        <f>IF(HR_Data[[#This Row],[MonthlyIncome]]&lt;3000,"Low",IF(HR_Data[[#This Row],[MonthlyIncome]]&lt;6000,"Medium",IF(HR_Data[[#This Row],[MonthlyIncome]]&lt;10000,"High","Very High")))</f>
        <v>Low</v>
      </c>
      <c r="AL91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14" t="str">
        <f>IF(HR_Data[[#This Row],[TotalWorkingYears]]&lt;=5,"Junior",IF(HR_Data[[#This Row],[TotalWorkingYears]]&lt;=15,"Mid-Level","Senior"))</f>
        <v>Mid-Level</v>
      </c>
      <c r="AN914" s="11" t="str">
        <f>IF(HR_Data[[#This Row],[PerformanceRating]]=3,"Standard","Excellent")</f>
        <v>Excellent</v>
      </c>
      <c r="AO914" s="11" t="str">
        <f>IF(HR_Data[[#This Row],[JobSatisfaction]]&lt;=2,"Low","High")</f>
        <v>High</v>
      </c>
      <c r="AP914" s="11" t="str">
        <f>IF(AND(HR_Data[[#This Row],[OverTime]]="Yes",HR_Data[[#This Row],[JobSatisfaction]]&lt;=2,HR_Data[[#This Row],[YearsAtCompany]]&lt;=2),"High Risk","Normal")</f>
        <v>Normal</v>
      </c>
    </row>
    <row r="915" spans="1:42" x14ac:dyDescent="0.25">
      <c r="A915" s="6">
        <v>45</v>
      </c>
      <c r="B915" s="4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s="11" t="str">
        <f>IF(HR_Data[[#This Row],[Age]]&lt;=25,"18-25",IF(HR_Data[[#This Row],[Age]]&lt;=35,"26-35",IF(HR_Data[[#This Row],[Age]]&lt;=45,"36-45",IF(HR_Data[[#This Row],[Age]]&lt;=55,"46-55","56+"))))</f>
        <v>36-45</v>
      </c>
      <c r="AK915" s="11" t="str">
        <f>IF(HR_Data[[#This Row],[MonthlyIncome]]&lt;3000,"Low",IF(HR_Data[[#This Row],[MonthlyIncome]]&lt;6000,"Medium",IF(HR_Data[[#This Row],[MonthlyIncome]]&lt;10000,"High","Very High")))</f>
        <v>Very High</v>
      </c>
      <c r="AL91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15" t="str">
        <f>IF(HR_Data[[#This Row],[TotalWorkingYears]]&lt;=5,"Junior",IF(HR_Data[[#This Row],[TotalWorkingYears]]&lt;=15,"Mid-Level","Senior"))</f>
        <v>Senior</v>
      </c>
      <c r="AN915" s="11" t="str">
        <f>IF(HR_Data[[#This Row],[PerformanceRating]]=3,"Standard","Excellent")</f>
        <v>Standard</v>
      </c>
      <c r="AO915" s="11" t="str">
        <f>IF(HR_Data[[#This Row],[JobSatisfaction]]&lt;=2,"Low","High")</f>
        <v>Low</v>
      </c>
      <c r="AP915" s="11" t="str">
        <f>IF(AND(HR_Data[[#This Row],[OverTime]]="Yes",HR_Data[[#This Row],[JobSatisfaction]]&lt;=2,HR_Data[[#This Row],[YearsAtCompany]]&lt;=2),"High Risk","Normal")</f>
        <v>Normal</v>
      </c>
    </row>
    <row r="916" spans="1:42" x14ac:dyDescent="0.25">
      <c r="A916" s="6">
        <v>55</v>
      </c>
      <c r="B916" s="4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s="11" t="str">
        <f>IF(HR_Data[[#This Row],[Age]]&lt;=25,"18-25",IF(HR_Data[[#This Row],[Age]]&lt;=35,"26-35",IF(HR_Data[[#This Row],[Age]]&lt;=45,"36-45",IF(HR_Data[[#This Row],[Age]]&lt;=55,"46-55","56+"))))</f>
        <v>46-55</v>
      </c>
      <c r="AK916" s="11" t="str">
        <f>IF(HR_Data[[#This Row],[MonthlyIncome]]&lt;3000,"Low",IF(HR_Data[[#This Row],[MonthlyIncome]]&lt;6000,"Medium",IF(HR_Data[[#This Row],[MonthlyIncome]]&lt;10000,"High","Very High")))</f>
        <v>Very High</v>
      </c>
      <c r="AL91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16" t="str">
        <f>IF(HR_Data[[#This Row],[TotalWorkingYears]]&lt;=5,"Junior",IF(HR_Data[[#This Row],[TotalWorkingYears]]&lt;=15,"Mid-Level","Senior"))</f>
        <v>Senior</v>
      </c>
      <c r="AN916" s="11" t="str">
        <f>IF(HR_Data[[#This Row],[PerformanceRating]]=3,"Standard","Excellent")</f>
        <v>Standard</v>
      </c>
      <c r="AO916" s="11" t="str">
        <f>IF(HR_Data[[#This Row],[JobSatisfaction]]&lt;=2,"Low","High")</f>
        <v>Low</v>
      </c>
      <c r="AP916" s="11" t="str">
        <f>IF(AND(HR_Data[[#This Row],[OverTime]]="Yes",HR_Data[[#This Row],[JobSatisfaction]]&lt;=2,HR_Data[[#This Row],[YearsAtCompany]]&lt;=2),"High Risk","Normal")</f>
        <v>Normal</v>
      </c>
    </row>
    <row r="917" spans="1:42" x14ac:dyDescent="0.25">
      <c r="A917" s="6">
        <v>21</v>
      </c>
      <c r="B917" s="4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s="11" t="str">
        <f>IF(HR_Data[[#This Row],[Age]]&lt;=25,"18-25",IF(HR_Data[[#This Row],[Age]]&lt;=35,"26-35",IF(HR_Data[[#This Row],[Age]]&lt;=45,"36-45",IF(HR_Data[[#This Row],[Age]]&lt;=55,"46-55","56+"))))</f>
        <v>18-25</v>
      </c>
      <c r="AK917" s="11" t="str">
        <f>IF(HR_Data[[#This Row],[MonthlyIncome]]&lt;3000,"Low",IF(HR_Data[[#This Row],[MonthlyIncome]]&lt;6000,"Medium",IF(HR_Data[[#This Row],[MonthlyIncome]]&lt;10000,"High","Very High")))</f>
        <v>Low</v>
      </c>
      <c r="AL91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17" t="str">
        <f>IF(HR_Data[[#This Row],[TotalWorkingYears]]&lt;=5,"Junior",IF(HR_Data[[#This Row],[TotalWorkingYears]]&lt;=15,"Mid-Level","Senior"))</f>
        <v>Junior</v>
      </c>
      <c r="AN917" s="11" t="str">
        <f>IF(HR_Data[[#This Row],[PerformanceRating]]=3,"Standard","Excellent")</f>
        <v>Excellent</v>
      </c>
      <c r="AO917" s="11" t="str">
        <f>IF(HR_Data[[#This Row],[JobSatisfaction]]&lt;=2,"Low","High")</f>
        <v>High</v>
      </c>
      <c r="AP917" s="11" t="str">
        <f>IF(AND(HR_Data[[#This Row],[OverTime]]="Yes",HR_Data[[#This Row],[JobSatisfaction]]&lt;=2,HR_Data[[#This Row],[YearsAtCompany]]&lt;=2),"High Risk","Normal")</f>
        <v>Normal</v>
      </c>
    </row>
    <row r="918" spans="1:42" x14ac:dyDescent="0.25">
      <c r="A918" s="6">
        <v>46</v>
      </c>
      <c r="B918" s="4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s="11" t="str">
        <f>IF(HR_Data[[#This Row],[Age]]&lt;=25,"18-25",IF(HR_Data[[#This Row],[Age]]&lt;=35,"26-35",IF(HR_Data[[#This Row],[Age]]&lt;=45,"36-45",IF(HR_Data[[#This Row],[Age]]&lt;=55,"46-55","56+"))))</f>
        <v>46-55</v>
      </c>
      <c r="AK918" s="11" t="str">
        <f>IF(HR_Data[[#This Row],[MonthlyIncome]]&lt;3000,"Low",IF(HR_Data[[#This Row],[MonthlyIncome]]&lt;6000,"Medium",IF(HR_Data[[#This Row],[MonthlyIncome]]&lt;10000,"High","Very High")))</f>
        <v>Very High</v>
      </c>
      <c r="AL91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918" t="str">
        <f>IF(HR_Data[[#This Row],[TotalWorkingYears]]&lt;=5,"Junior",IF(HR_Data[[#This Row],[TotalWorkingYears]]&lt;=15,"Mid-Level","Senior"))</f>
        <v>Senior</v>
      </c>
      <c r="AN918" s="11" t="str">
        <f>IF(HR_Data[[#This Row],[PerformanceRating]]=3,"Standard","Excellent")</f>
        <v>Standard</v>
      </c>
      <c r="AO918" s="11" t="str">
        <f>IF(HR_Data[[#This Row],[JobSatisfaction]]&lt;=2,"Low","High")</f>
        <v>Low</v>
      </c>
      <c r="AP918" s="11" t="str">
        <f>IF(AND(HR_Data[[#This Row],[OverTime]]="Yes",HR_Data[[#This Row],[JobSatisfaction]]&lt;=2,HR_Data[[#This Row],[YearsAtCompany]]&lt;=2),"High Risk","Normal")</f>
        <v>Normal</v>
      </c>
    </row>
    <row r="919" spans="1:42" x14ac:dyDescent="0.25">
      <c r="A919" s="6">
        <v>34</v>
      </c>
      <c r="B919" s="4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s="11" t="str">
        <f>IF(HR_Data[[#This Row],[Age]]&lt;=25,"18-25",IF(HR_Data[[#This Row],[Age]]&lt;=35,"26-35",IF(HR_Data[[#This Row],[Age]]&lt;=45,"36-45",IF(HR_Data[[#This Row],[Age]]&lt;=55,"46-55","56+"))))</f>
        <v>26-35</v>
      </c>
      <c r="AK919" s="11" t="str">
        <f>IF(HR_Data[[#This Row],[MonthlyIncome]]&lt;3000,"Low",IF(HR_Data[[#This Row],[MonthlyIncome]]&lt;6000,"Medium",IF(HR_Data[[#This Row],[MonthlyIncome]]&lt;10000,"High","Very High")))</f>
        <v>Medium</v>
      </c>
      <c r="AL91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19" t="str">
        <f>IF(HR_Data[[#This Row],[TotalWorkingYears]]&lt;=5,"Junior",IF(HR_Data[[#This Row],[TotalWorkingYears]]&lt;=15,"Mid-Level","Senior"))</f>
        <v>Junior</v>
      </c>
      <c r="AN919" s="11" t="str">
        <f>IF(HR_Data[[#This Row],[PerformanceRating]]=3,"Standard","Excellent")</f>
        <v>Standard</v>
      </c>
      <c r="AO919" s="11" t="str">
        <f>IF(HR_Data[[#This Row],[JobSatisfaction]]&lt;=2,"Low","High")</f>
        <v>Low</v>
      </c>
      <c r="AP919" s="11" t="str">
        <f>IF(AND(HR_Data[[#This Row],[OverTime]]="Yes",HR_Data[[#This Row],[JobSatisfaction]]&lt;=2,HR_Data[[#This Row],[YearsAtCompany]]&lt;=2),"High Risk","Normal")</f>
        <v>Normal</v>
      </c>
    </row>
    <row r="920" spans="1:42" x14ac:dyDescent="0.25">
      <c r="A920" s="6">
        <v>51</v>
      </c>
      <c r="B920" s="4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s="11" t="str">
        <f>IF(HR_Data[[#This Row],[Age]]&lt;=25,"18-25",IF(HR_Data[[#This Row],[Age]]&lt;=35,"26-35",IF(HR_Data[[#This Row],[Age]]&lt;=45,"36-45",IF(HR_Data[[#This Row],[Age]]&lt;=55,"46-55","56+"))))</f>
        <v>46-55</v>
      </c>
      <c r="AK920" s="11" t="str">
        <f>IF(HR_Data[[#This Row],[MonthlyIncome]]&lt;3000,"Low",IF(HR_Data[[#This Row],[MonthlyIncome]]&lt;6000,"Medium",IF(HR_Data[[#This Row],[MonthlyIncome]]&lt;10000,"High","Very High")))</f>
        <v>Very High</v>
      </c>
      <c r="AL92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20" t="str">
        <f>IF(HR_Data[[#This Row],[TotalWorkingYears]]&lt;=5,"Junior",IF(HR_Data[[#This Row],[TotalWorkingYears]]&lt;=15,"Mid-Level","Senior"))</f>
        <v>Senior</v>
      </c>
      <c r="AN920" s="11" t="str">
        <f>IF(HR_Data[[#This Row],[PerformanceRating]]=3,"Standard","Excellent")</f>
        <v>Excellent</v>
      </c>
      <c r="AO920" s="11" t="str">
        <f>IF(HR_Data[[#This Row],[JobSatisfaction]]&lt;=2,"Low","High")</f>
        <v>Low</v>
      </c>
      <c r="AP920" s="11" t="str">
        <f>IF(AND(HR_Data[[#This Row],[OverTime]]="Yes",HR_Data[[#This Row],[JobSatisfaction]]&lt;=2,HR_Data[[#This Row],[YearsAtCompany]]&lt;=2),"High Risk","Normal")</f>
        <v>Normal</v>
      </c>
    </row>
    <row r="921" spans="1:42" x14ac:dyDescent="0.25">
      <c r="A921" s="6">
        <v>59</v>
      </c>
      <c r="B921" s="4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s="11" t="str">
        <f>IF(HR_Data[[#This Row],[Age]]&lt;=25,"18-25",IF(HR_Data[[#This Row],[Age]]&lt;=35,"26-35",IF(HR_Data[[#This Row],[Age]]&lt;=45,"36-45",IF(HR_Data[[#This Row],[Age]]&lt;=55,"46-55","56+"))))</f>
        <v>56+</v>
      </c>
      <c r="AK921" s="11" t="str">
        <f>IF(HR_Data[[#This Row],[MonthlyIncome]]&lt;3000,"Low",IF(HR_Data[[#This Row],[MonthlyIncome]]&lt;6000,"Medium",IF(HR_Data[[#This Row],[MonthlyIncome]]&lt;10000,"High","Very High")))</f>
        <v>Very High</v>
      </c>
      <c r="AL92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21" t="str">
        <f>IF(HR_Data[[#This Row],[TotalWorkingYears]]&lt;=5,"Junior",IF(HR_Data[[#This Row],[TotalWorkingYears]]&lt;=15,"Mid-Level","Senior"))</f>
        <v>Senior</v>
      </c>
      <c r="AN921" s="11" t="str">
        <f>IF(HR_Data[[#This Row],[PerformanceRating]]=3,"Standard","Excellent")</f>
        <v>Standard</v>
      </c>
      <c r="AO921" s="11" t="str">
        <f>IF(HR_Data[[#This Row],[JobSatisfaction]]&lt;=2,"Low","High")</f>
        <v>High</v>
      </c>
      <c r="AP921" s="11" t="str">
        <f>IF(AND(HR_Data[[#This Row],[OverTime]]="Yes",HR_Data[[#This Row],[JobSatisfaction]]&lt;=2,HR_Data[[#This Row],[YearsAtCompany]]&lt;=2),"High Risk","Normal")</f>
        <v>Normal</v>
      </c>
    </row>
    <row r="922" spans="1:42" x14ac:dyDescent="0.25">
      <c r="A922" s="6">
        <v>34</v>
      </c>
      <c r="B922" s="4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s="11" t="str">
        <f>IF(HR_Data[[#This Row],[Age]]&lt;=25,"18-25",IF(HR_Data[[#This Row],[Age]]&lt;=35,"26-35",IF(HR_Data[[#This Row],[Age]]&lt;=45,"36-45",IF(HR_Data[[#This Row],[Age]]&lt;=55,"46-55","56+"))))</f>
        <v>26-35</v>
      </c>
      <c r="AK922" s="11" t="str">
        <f>IF(HR_Data[[#This Row],[MonthlyIncome]]&lt;3000,"Low",IF(HR_Data[[#This Row],[MonthlyIncome]]&lt;6000,"Medium",IF(HR_Data[[#This Row],[MonthlyIncome]]&lt;10000,"High","Very High")))</f>
        <v>Medium</v>
      </c>
      <c r="AL92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922" t="str">
        <f>IF(HR_Data[[#This Row],[TotalWorkingYears]]&lt;=5,"Junior",IF(HR_Data[[#This Row],[TotalWorkingYears]]&lt;=15,"Mid-Level","Senior"))</f>
        <v>Mid-Level</v>
      </c>
      <c r="AN922" s="11" t="str">
        <f>IF(HR_Data[[#This Row],[PerformanceRating]]=3,"Standard","Excellent")</f>
        <v>Standard</v>
      </c>
      <c r="AO922" s="11" t="str">
        <f>IF(HR_Data[[#This Row],[JobSatisfaction]]&lt;=2,"Low","High")</f>
        <v>Low</v>
      </c>
      <c r="AP922" s="11" t="str">
        <f>IF(AND(HR_Data[[#This Row],[OverTime]]="Yes",HR_Data[[#This Row],[JobSatisfaction]]&lt;=2,HR_Data[[#This Row],[YearsAtCompany]]&lt;=2),"High Risk","Normal")</f>
        <v>Normal</v>
      </c>
    </row>
    <row r="923" spans="1:42" x14ac:dyDescent="0.25">
      <c r="A923" s="6">
        <v>28</v>
      </c>
      <c r="B923" s="4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s="11" t="str">
        <f>IF(HR_Data[[#This Row],[Age]]&lt;=25,"18-25",IF(HR_Data[[#This Row],[Age]]&lt;=35,"26-35",IF(HR_Data[[#This Row],[Age]]&lt;=45,"36-45",IF(HR_Data[[#This Row],[Age]]&lt;=55,"46-55","56+"))))</f>
        <v>26-35</v>
      </c>
      <c r="AK923" s="11" t="str">
        <f>IF(HR_Data[[#This Row],[MonthlyIncome]]&lt;3000,"Low",IF(HR_Data[[#This Row],[MonthlyIncome]]&lt;6000,"Medium",IF(HR_Data[[#This Row],[MonthlyIncome]]&lt;10000,"High","Very High")))</f>
        <v>Low</v>
      </c>
      <c r="AL92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23" t="str">
        <f>IF(HR_Data[[#This Row],[TotalWorkingYears]]&lt;=5,"Junior",IF(HR_Data[[#This Row],[TotalWorkingYears]]&lt;=15,"Mid-Level","Senior"))</f>
        <v>Junior</v>
      </c>
      <c r="AN923" s="11" t="str">
        <f>IF(HR_Data[[#This Row],[PerformanceRating]]=3,"Standard","Excellent")</f>
        <v>Standard</v>
      </c>
      <c r="AO923" s="11" t="str">
        <f>IF(HR_Data[[#This Row],[JobSatisfaction]]&lt;=2,"Low","High")</f>
        <v>High</v>
      </c>
      <c r="AP923" s="11" t="str">
        <f>IF(AND(HR_Data[[#This Row],[OverTime]]="Yes",HR_Data[[#This Row],[JobSatisfaction]]&lt;=2,HR_Data[[#This Row],[YearsAtCompany]]&lt;=2),"High Risk","Normal")</f>
        <v>Normal</v>
      </c>
    </row>
    <row r="924" spans="1:42" x14ac:dyDescent="0.25">
      <c r="A924" s="6">
        <v>44</v>
      </c>
      <c r="B924" s="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s="11" t="str">
        <f>IF(HR_Data[[#This Row],[Age]]&lt;=25,"18-25",IF(HR_Data[[#This Row],[Age]]&lt;=35,"26-35",IF(HR_Data[[#This Row],[Age]]&lt;=45,"36-45",IF(HR_Data[[#This Row],[Age]]&lt;=55,"46-55","56+"))))</f>
        <v>36-45</v>
      </c>
      <c r="AK924" s="11" t="str">
        <f>IF(HR_Data[[#This Row],[MonthlyIncome]]&lt;3000,"Low",IF(HR_Data[[#This Row],[MonthlyIncome]]&lt;6000,"Medium",IF(HR_Data[[#This Row],[MonthlyIncome]]&lt;10000,"High","Very High")))</f>
        <v>Very High</v>
      </c>
      <c r="AL924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24" t="str">
        <f>IF(HR_Data[[#This Row],[TotalWorkingYears]]&lt;=5,"Junior",IF(HR_Data[[#This Row],[TotalWorkingYears]]&lt;=15,"Mid-Level","Senior"))</f>
        <v>Senior</v>
      </c>
      <c r="AN924" s="11" t="str">
        <f>IF(HR_Data[[#This Row],[PerformanceRating]]=3,"Standard","Excellent")</f>
        <v>Standard</v>
      </c>
      <c r="AO924" s="11" t="str">
        <f>IF(HR_Data[[#This Row],[JobSatisfaction]]&lt;=2,"Low","High")</f>
        <v>Low</v>
      </c>
      <c r="AP924" s="11" t="str">
        <f>IF(AND(HR_Data[[#This Row],[OverTime]]="Yes",HR_Data[[#This Row],[JobSatisfaction]]&lt;=2,HR_Data[[#This Row],[YearsAtCompany]]&lt;=2),"High Risk","Normal")</f>
        <v>Normal</v>
      </c>
    </row>
    <row r="925" spans="1:42" x14ac:dyDescent="0.25">
      <c r="A925" s="6">
        <v>34</v>
      </c>
      <c r="B925" s="4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s="11" t="str">
        <f>IF(HR_Data[[#This Row],[Age]]&lt;=25,"18-25",IF(HR_Data[[#This Row],[Age]]&lt;=35,"26-35",IF(HR_Data[[#This Row],[Age]]&lt;=45,"36-45",IF(HR_Data[[#This Row],[Age]]&lt;=55,"46-55","56+"))))</f>
        <v>26-35</v>
      </c>
      <c r="AK925" s="11" t="str">
        <f>IF(HR_Data[[#This Row],[MonthlyIncome]]&lt;3000,"Low",IF(HR_Data[[#This Row],[MonthlyIncome]]&lt;6000,"Medium",IF(HR_Data[[#This Row],[MonthlyIncome]]&lt;10000,"High","Very High")))</f>
        <v>Medium</v>
      </c>
      <c r="AL92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25" t="str">
        <f>IF(HR_Data[[#This Row],[TotalWorkingYears]]&lt;=5,"Junior",IF(HR_Data[[#This Row],[TotalWorkingYears]]&lt;=15,"Mid-Level","Senior"))</f>
        <v>Mid-Level</v>
      </c>
      <c r="AN925" s="11" t="str">
        <f>IF(HR_Data[[#This Row],[PerformanceRating]]=3,"Standard","Excellent")</f>
        <v>Standard</v>
      </c>
      <c r="AO925" s="11" t="str">
        <f>IF(HR_Data[[#This Row],[JobSatisfaction]]&lt;=2,"Low","High")</f>
        <v>Low</v>
      </c>
      <c r="AP925" s="11" t="str">
        <f>IF(AND(HR_Data[[#This Row],[OverTime]]="Yes",HR_Data[[#This Row],[JobSatisfaction]]&lt;=2,HR_Data[[#This Row],[YearsAtCompany]]&lt;=2),"High Risk","Normal")</f>
        <v>Normal</v>
      </c>
    </row>
    <row r="926" spans="1:42" x14ac:dyDescent="0.25">
      <c r="A926" s="6">
        <v>35</v>
      </c>
      <c r="B926" s="4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s="11" t="str">
        <f>IF(HR_Data[[#This Row],[Age]]&lt;=25,"18-25",IF(HR_Data[[#This Row],[Age]]&lt;=35,"26-35",IF(HR_Data[[#This Row],[Age]]&lt;=45,"36-45",IF(HR_Data[[#This Row],[Age]]&lt;=55,"46-55","56+"))))</f>
        <v>26-35</v>
      </c>
      <c r="AK926" s="11" t="str">
        <f>IF(HR_Data[[#This Row],[MonthlyIncome]]&lt;3000,"Low",IF(HR_Data[[#This Row],[MonthlyIncome]]&lt;6000,"Medium",IF(HR_Data[[#This Row],[MonthlyIncome]]&lt;10000,"High","Very High")))</f>
        <v>Medium</v>
      </c>
      <c r="AL92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26" t="str">
        <f>IF(HR_Data[[#This Row],[TotalWorkingYears]]&lt;=5,"Junior",IF(HR_Data[[#This Row],[TotalWorkingYears]]&lt;=15,"Mid-Level","Senior"))</f>
        <v>Junior</v>
      </c>
      <c r="AN926" s="11" t="str">
        <f>IF(HR_Data[[#This Row],[PerformanceRating]]=3,"Standard","Excellent")</f>
        <v>Standard</v>
      </c>
      <c r="AO926" s="11" t="str">
        <f>IF(HR_Data[[#This Row],[JobSatisfaction]]&lt;=2,"Low","High")</f>
        <v>High</v>
      </c>
      <c r="AP926" s="11" t="str">
        <f>IF(AND(HR_Data[[#This Row],[OverTime]]="Yes",HR_Data[[#This Row],[JobSatisfaction]]&lt;=2,HR_Data[[#This Row],[YearsAtCompany]]&lt;=2),"High Risk","Normal")</f>
        <v>Normal</v>
      </c>
    </row>
    <row r="927" spans="1:42" x14ac:dyDescent="0.25">
      <c r="A927" s="6">
        <v>42</v>
      </c>
      <c r="B927" s="4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s="11" t="str">
        <f>IF(HR_Data[[#This Row],[Age]]&lt;=25,"18-25",IF(HR_Data[[#This Row],[Age]]&lt;=35,"26-35",IF(HR_Data[[#This Row],[Age]]&lt;=45,"36-45",IF(HR_Data[[#This Row],[Age]]&lt;=55,"46-55","56+"))))</f>
        <v>36-45</v>
      </c>
      <c r="AK927" s="11" t="str">
        <f>IF(HR_Data[[#This Row],[MonthlyIncome]]&lt;3000,"Low",IF(HR_Data[[#This Row],[MonthlyIncome]]&lt;6000,"Medium",IF(HR_Data[[#This Row],[MonthlyIncome]]&lt;10000,"High","Very High")))</f>
        <v>Low</v>
      </c>
      <c r="AL92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27" t="str">
        <f>IF(HR_Data[[#This Row],[TotalWorkingYears]]&lt;=5,"Junior",IF(HR_Data[[#This Row],[TotalWorkingYears]]&lt;=15,"Mid-Level","Senior"))</f>
        <v>Senior</v>
      </c>
      <c r="AN927" s="11" t="str">
        <f>IF(HR_Data[[#This Row],[PerformanceRating]]=3,"Standard","Excellent")</f>
        <v>Standard</v>
      </c>
      <c r="AO927" s="11" t="str">
        <f>IF(HR_Data[[#This Row],[JobSatisfaction]]&lt;=2,"Low","High")</f>
        <v>Low</v>
      </c>
      <c r="AP927" s="11" t="str">
        <f>IF(AND(HR_Data[[#This Row],[OverTime]]="Yes",HR_Data[[#This Row],[JobSatisfaction]]&lt;=2,HR_Data[[#This Row],[YearsAtCompany]]&lt;=2),"High Risk","Normal")</f>
        <v>High Risk</v>
      </c>
    </row>
    <row r="928" spans="1:42" x14ac:dyDescent="0.25">
      <c r="A928" s="6">
        <v>43</v>
      </c>
      <c r="B928" s="4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s="11" t="str">
        <f>IF(HR_Data[[#This Row],[Age]]&lt;=25,"18-25",IF(HR_Data[[#This Row],[Age]]&lt;=35,"26-35",IF(HR_Data[[#This Row],[Age]]&lt;=45,"36-45",IF(HR_Data[[#This Row],[Age]]&lt;=55,"46-55","56+"))))</f>
        <v>36-45</v>
      </c>
      <c r="AK928" s="11" t="str">
        <f>IF(HR_Data[[#This Row],[MonthlyIncome]]&lt;3000,"Low",IF(HR_Data[[#This Row],[MonthlyIncome]]&lt;6000,"Medium",IF(HR_Data[[#This Row],[MonthlyIncome]]&lt;10000,"High","Very High")))</f>
        <v>Very High</v>
      </c>
      <c r="AL92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28" t="str">
        <f>IF(HR_Data[[#This Row],[TotalWorkingYears]]&lt;=5,"Junior",IF(HR_Data[[#This Row],[TotalWorkingYears]]&lt;=15,"Mid-Level","Senior"))</f>
        <v>Senior</v>
      </c>
      <c r="AN928" s="11" t="str">
        <f>IF(HR_Data[[#This Row],[PerformanceRating]]=3,"Standard","Excellent")</f>
        <v>Standard</v>
      </c>
      <c r="AO928" s="11" t="str">
        <f>IF(HR_Data[[#This Row],[JobSatisfaction]]&lt;=2,"Low","High")</f>
        <v>High</v>
      </c>
      <c r="AP928" s="11" t="str">
        <f>IF(AND(HR_Data[[#This Row],[OverTime]]="Yes",HR_Data[[#This Row],[JobSatisfaction]]&lt;=2,HR_Data[[#This Row],[YearsAtCompany]]&lt;=2),"High Risk","Normal")</f>
        <v>Normal</v>
      </c>
    </row>
    <row r="929" spans="1:42" x14ac:dyDescent="0.25">
      <c r="A929" s="6">
        <v>36</v>
      </c>
      <c r="B929" s="4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s="11" t="str">
        <f>IF(HR_Data[[#This Row],[Age]]&lt;=25,"18-25",IF(HR_Data[[#This Row],[Age]]&lt;=35,"26-35",IF(HR_Data[[#This Row],[Age]]&lt;=45,"36-45",IF(HR_Data[[#This Row],[Age]]&lt;=55,"46-55","56+"))))</f>
        <v>36-45</v>
      </c>
      <c r="AK929" s="11" t="str">
        <f>IF(HR_Data[[#This Row],[MonthlyIncome]]&lt;3000,"Low",IF(HR_Data[[#This Row],[MonthlyIncome]]&lt;6000,"Medium",IF(HR_Data[[#This Row],[MonthlyIncome]]&lt;10000,"High","Very High")))</f>
        <v>Medium</v>
      </c>
      <c r="AL92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29" t="str">
        <f>IF(HR_Data[[#This Row],[TotalWorkingYears]]&lt;=5,"Junior",IF(HR_Data[[#This Row],[TotalWorkingYears]]&lt;=15,"Mid-Level","Senior"))</f>
        <v>Senior</v>
      </c>
      <c r="AN929" s="11" t="str">
        <f>IF(HR_Data[[#This Row],[PerformanceRating]]=3,"Standard","Excellent")</f>
        <v>Standard</v>
      </c>
      <c r="AO929" s="11" t="str">
        <f>IF(HR_Data[[#This Row],[JobSatisfaction]]&lt;=2,"Low","High")</f>
        <v>Low</v>
      </c>
      <c r="AP929" s="11" t="str">
        <f>IF(AND(HR_Data[[#This Row],[OverTime]]="Yes",HR_Data[[#This Row],[JobSatisfaction]]&lt;=2,HR_Data[[#This Row],[YearsAtCompany]]&lt;=2),"High Risk","Normal")</f>
        <v>Normal</v>
      </c>
    </row>
    <row r="930" spans="1:42" x14ac:dyDescent="0.25">
      <c r="A930" s="6">
        <v>44</v>
      </c>
      <c r="B930" s="4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s="11" t="str">
        <f>IF(HR_Data[[#This Row],[Age]]&lt;=25,"18-25",IF(HR_Data[[#This Row],[Age]]&lt;=35,"26-35",IF(HR_Data[[#This Row],[Age]]&lt;=45,"36-45",IF(HR_Data[[#This Row],[Age]]&lt;=55,"46-55","56+"))))</f>
        <v>36-45</v>
      </c>
      <c r="AK930" s="11" t="str">
        <f>IF(HR_Data[[#This Row],[MonthlyIncome]]&lt;3000,"Low",IF(HR_Data[[#This Row],[MonthlyIncome]]&lt;6000,"Medium",IF(HR_Data[[#This Row],[MonthlyIncome]]&lt;10000,"High","Very High")))</f>
        <v>High</v>
      </c>
      <c r="AL93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30" t="str">
        <f>IF(HR_Data[[#This Row],[TotalWorkingYears]]&lt;=5,"Junior",IF(HR_Data[[#This Row],[TotalWorkingYears]]&lt;=15,"Mid-Level","Senior"))</f>
        <v>Mid-Level</v>
      </c>
      <c r="AN930" s="11" t="str">
        <f>IF(HR_Data[[#This Row],[PerformanceRating]]=3,"Standard","Excellent")</f>
        <v>Standard</v>
      </c>
      <c r="AO930" s="11" t="str">
        <f>IF(HR_Data[[#This Row],[JobSatisfaction]]&lt;=2,"Low","High")</f>
        <v>High</v>
      </c>
      <c r="AP930" s="11" t="str">
        <f>IF(AND(HR_Data[[#This Row],[OverTime]]="Yes",HR_Data[[#This Row],[JobSatisfaction]]&lt;=2,HR_Data[[#This Row],[YearsAtCompany]]&lt;=2),"High Risk","Normal")</f>
        <v>Normal</v>
      </c>
    </row>
    <row r="931" spans="1:42" x14ac:dyDescent="0.25">
      <c r="A931" s="6">
        <v>28</v>
      </c>
      <c r="B931" s="4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s="11" t="str">
        <f>IF(HR_Data[[#This Row],[Age]]&lt;=25,"18-25",IF(HR_Data[[#This Row],[Age]]&lt;=35,"26-35",IF(HR_Data[[#This Row],[Age]]&lt;=45,"36-45",IF(HR_Data[[#This Row],[Age]]&lt;=55,"46-55","56+"))))</f>
        <v>26-35</v>
      </c>
      <c r="AK931" s="11" t="str">
        <f>IF(HR_Data[[#This Row],[MonthlyIncome]]&lt;3000,"Low",IF(HR_Data[[#This Row],[MonthlyIncome]]&lt;6000,"Medium",IF(HR_Data[[#This Row],[MonthlyIncome]]&lt;10000,"High","Very High")))</f>
        <v>Medium</v>
      </c>
      <c r="AL93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31" t="str">
        <f>IF(HR_Data[[#This Row],[TotalWorkingYears]]&lt;=5,"Junior",IF(HR_Data[[#This Row],[TotalWorkingYears]]&lt;=15,"Mid-Level","Senior"))</f>
        <v>Junior</v>
      </c>
      <c r="AN931" s="11" t="str">
        <f>IF(HR_Data[[#This Row],[PerformanceRating]]=3,"Standard","Excellent")</f>
        <v>Standard</v>
      </c>
      <c r="AO931" s="11" t="str">
        <f>IF(HR_Data[[#This Row],[JobSatisfaction]]&lt;=2,"Low","High")</f>
        <v>High</v>
      </c>
      <c r="AP931" s="11" t="str">
        <f>IF(AND(HR_Data[[#This Row],[OverTime]]="Yes",HR_Data[[#This Row],[JobSatisfaction]]&lt;=2,HR_Data[[#This Row],[YearsAtCompany]]&lt;=2),"High Risk","Normal")</f>
        <v>Normal</v>
      </c>
    </row>
    <row r="932" spans="1:42" x14ac:dyDescent="0.25">
      <c r="A932" s="6">
        <v>51</v>
      </c>
      <c r="B932" s="4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s="11" t="str">
        <f>IF(HR_Data[[#This Row],[Age]]&lt;=25,"18-25",IF(HR_Data[[#This Row],[Age]]&lt;=35,"26-35",IF(HR_Data[[#This Row],[Age]]&lt;=45,"36-45",IF(HR_Data[[#This Row],[Age]]&lt;=55,"46-55","56+"))))</f>
        <v>46-55</v>
      </c>
      <c r="AK932" s="11" t="str">
        <f>IF(HR_Data[[#This Row],[MonthlyIncome]]&lt;3000,"Low",IF(HR_Data[[#This Row],[MonthlyIncome]]&lt;6000,"Medium",IF(HR_Data[[#This Row],[MonthlyIncome]]&lt;10000,"High","Very High")))</f>
        <v>Low</v>
      </c>
      <c r="AL93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32" t="str">
        <f>IF(HR_Data[[#This Row],[TotalWorkingYears]]&lt;=5,"Junior",IF(HR_Data[[#This Row],[TotalWorkingYears]]&lt;=15,"Mid-Level","Senior"))</f>
        <v>Mid-Level</v>
      </c>
      <c r="AN932" s="11" t="str">
        <f>IF(HR_Data[[#This Row],[PerformanceRating]]=3,"Standard","Excellent")</f>
        <v>Standard</v>
      </c>
      <c r="AO932" s="11" t="str">
        <f>IF(HR_Data[[#This Row],[JobSatisfaction]]&lt;=2,"Low","High")</f>
        <v>High</v>
      </c>
      <c r="AP932" s="11" t="str">
        <f>IF(AND(HR_Data[[#This Row],[OverTime]]="Yes",HR_Data[[#This Row],[JobSatisfaction]]&lt;=2,HR_Data[[#This Row],[YearsAtCompany]]&lt;=2),"High Risk","Normal")</f>
        <v>Normal</v>
      </c>
    </row>
    <row r="933" spans="1:42" x14ac:dyDescent="0.25">
      <c r="A933" s="6">
        <v>30</v>
      </c>
      <c r="B933" s="4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s="11" t="str">
        <f>IF(HR_Data[[#This Row],[Age]]&lt;=25,"18-25",IF(HR_Data[[#This Row],[Age]]&lt;=35,"26-35",IF(HR_Data[[#This Row],[Age]]&lt;=45,"36-45",IF(HR_Data[[#This Row],[Age]]&lt;=55,"46-55","56+"))))</f>
        <v>26-35</v>
      </c>
      <c r="AK933" s="11" t="str">
        <f>IF(HR_Data[[#This Row],[MonthlyIncome]]&lt;3000,"Low",IF(HR_Data[[#This Row],[MonthlyIncome]]&lt;6000,"Medium",IF(HR_Data[[#This Row],[MonthlyIncome]]&lt;10000,"High","Very High")))</f>
        <v>Medium</v>
      </c>
      <c r="AL93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33" t="str">
        <f>IF(HR_Data[[#This Row],[TotalWorkingYears]]&lt;=5,"Junior",IF(HR_Data[[#This Row],[TotalWorkingYears]]&lt;=15,"Mid-Level","Senior"))</f>
        <v>Mid-Level</v>
      </c>
      <c r="AN933" s="11" t="str">
        <f>IF(HR_Data[[#This Row],[PerformanceRating]]=3,"Standard","Excellent")</f>
        <v>Standard</v>
      </c>
      <c r="AO933" s="11" t="str">
        <f>IF(HR_Data[[#This Row],[JobSatisfaction]]&lt;=2,"Low","High")</f>
        <v>High</v>
      </c>
      <c r="AP933" s="11" t="str">
        <f>IF(AND(HR_Data[[#This Row],[OverTime]]="Yes",HR_Data[[#This Row],[JobSatisfaction]]&lt;=2,HR_Data[[#This Row],[YearsAtCompany]]&lt;=2),"High Risk","Normal")</f>
        <v>Normal</v>
      </c>
    </row>
    <row r="934" spans="1:42" x14ac:dyDescent="0.25">
      <c r="A934" s="6">
        <v>29</v>
      </c>
      <c r="B934" s="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s="11" t="str">
        <f>IF(HR_Data[[#This Row],[Age]]&lt;=25,"18-25",IF(HR_Data[[#This Row],[Age]]&lt;=35,"26-35",IF(HR_Data[[#This Row],[Age]]&lt;=45,"36-45",IF(HR_Data[[#This Row],[Age]]&lt;=55,"46-55","56+"))))</f>
        <v>26-35</v>
      </c>
      <c r="AK934" s="11" t="str">
        <f>IF(HR_Data[[#This Row],[MonthlyIncome]]&lt;3000,"Low",IF(HR_Data[[#This Row],[MonthlyIncome]]&lt;6000,"Medium",IF(HR_Data[[#This Row],[MonthlyIncome]]&lt;10000,"High","Very High")))</f>
        <v>Medium</v>
      </c>
      <c r="AL93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34" t="str">
        <f>IF(HR_Data[[#This Row],[TotalWorkingYears]]&lt;=5,"Junior",IF(HR_Data[[#This Row],[TotalWorkingYears]]&lt;=15,"Mid-Level","Senior"))</f>
        <v>Mid-Level</v>
      </c>
      <c r="AN934" s="11" t="str">
        <f>IF(HR_Data[[#This Row],[PerformanceRating]]=3,"Standard","Excellent")</f>
        <v>Standard</v>
      </c>
      <c r="AO934" s="11" t="str">
        <f>IF(HR_Data[[#This Row],[JobSatisfaction]]&lt;=2,"Low","High")</f>
        <v>High</v>
      </c>
      <c r="AP934" s="11" t="str">
        <f>IF(AND(HR_Data[[#This Row],[OverTime]]="Yes",HR_Data[[#This Row],[JobSatisfaction]]&lt;=2,HR_Data[[#This Row],[YearsAtCompany]]&lt;=2),"High Risk","Normal")</f>
        <v>Normal</v>
      </c>
    </row>
    <row r="935" spans="1:42" x14ac:dyDescent="0.25">
      <c r="A935" s="6">
        <v>28</v>
      </c>
      <c r="B935" s="4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s="11" t="str">
        <f>IF(HR_Data[[#This Row],[Age]]&lt;=25,"18-25",IF(HR_Data[[#This Row],[Age]]&lt;=35,"26-35",IF(HR_Data[[#This Row],[Age]]&lt;=45,"36-45",IF(HR_Data[[#This Row],[Age]]&lt;=55,"46-55","56+"))))</f>
        <v>26-35</v>
      </c>
      <c r="AK935" s="11" t="str">
        <f>IF(HR_Data[[#This Row],[MonthlyIncome]]&lt;3000,"Low",IF(HR_Data[[#This Row],[MonthlyIncome]]&lt;6000,"Medium",IF(HR_Data[[#This Row],[MonthlyIncome]]&lt;10000,"High","Very High")))</f>
        <v>Low</v>
      </c>
      <c r="AL93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35" t="str">
        <f>IF(HR_Data[[#This Row],[TotalWorkingYears]]&lt;=5,"Junior",IF(HR_Data[[#This Row],[TotalWorkingYears]]&lt;=15,"Mid-Level","Senior"))</f>
        <v>Junior</v>
      </c>
      <c r="AN935" s="11" t="str">
        <f>IF(HR_Data[[#This Row],[PerformanceRating]]=3,"Standard","Excellent")</f>
        <v>Standard</v>
      </c>
      <c r="AO935" s="11" t="str">
        <f>IF(HR_Data[[#This Row],[JobSatisfaction]]&lt;=2,"Low","High")</f>
        <v>Low</v>
      </c>
      <c r="AP935" s="11" t="str">
        <f>IF(AND(HR_Data[[#This Row],[OverTime]]="Yes",HR_Data[[#This Row],[JobSatisfaction]]&lt;=2,HR_Data[[#This Row],[YearsAtCompany]]&lt;=2),"High Risk","Normal")</f>
        <v>Normal</v>
      </c>
    </row>
    <row r="936" spans="1:42" x14ac:dyDescent="0.25">
      <c r="A936" s="6">
        <v>25</v>
      </c>
      <c r="B936" s="4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s="11" t="str">
        <f>IF(HR_Data[[#This Row],[Age]]&lt;=25,"18-25",IF(HR_Data[[#This Row],[Age]]&lt;=35,"26-35",IF(HR_Data[[#This Row],[Age]]&lt;=45,"36-45",IF(HR_Data[[#This Row],[Age]]&lt;=55,"46-55","56+"))))</f>
        <v>18-25</v>
      </c>
      <c r="AK936" s="11" t="str">
        <f>IF(HR_Data[[#This Row],[MonthlyIncome]]&lt;3000,"Low",IF(HR_Data[[#This Row],[MonthlyIncome]]&lt;6000,"Medium",IF(HR_Data[[#This Row],[MonthlyIncome]]&lt;10000,"High","Very High")))</f>
        <v>Low</v>
      </c>
      <c r="AL93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36" t="str">
        <f>IF(HR_Data[[#This Row],[TotalWorkingYears]]&lt;=5,"Junior",IF(HR_Data[[#This Row],[TotalWorkingYears]]&lt;=15,"Mid-Level","Senior"))</f>
        <v>Junior</v>
      </c>
      <c r="AN936" s="11" t="str">
        <f>IF(HR_Data[[#This Row],[PerformanceRating]]=3,"Standard","Excellent")</f>
        <v>Standard</v>
      </c>
      <c r="AO936" s="11" t="str">
        <f>IF(HR_Data[[#This Row],[JobSatisfaction]]&lt;=2,"Low","High")</f>
        <v>Low</v>
      </c>
      <c r="AP936" s="11" t="str">
        <f>IF(AND(HR_Data[[#This Row],[OverTime]]="Yes",HR_Data[[#This Row],[JobSatisfaction]]&lt;=2,HR_Data[[#This Row],[YearsAtCompany]]&lt;=2),"High Risk","Normal")</f>
        <v>Normal</v>
      </c>
    </row>
    <row r="937" spans="1:42" x14ac:dyDescent="0.25">
      <c r="A937" s="6">
        <v>32</v>
      </c>
      <c r="B937" s="4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s="11" t="str">
        <f>IF(HR_Data[[#This Row],[Age]]&lt;=25,"18-25",IF(HR_Data[[#This Row],[Age]]&lt;=35,"26-35",IF(HR_Data[[#This Row],[Age]]&lt;=45,"36-45",IF(HR_Data[[#This Row],[Age]]&lt;=55,"46-55","56+"))))</f>
        <v>26-35</v>
      </c>
      <c r="AK937" s="11" t="str">
        <f>IF(HR_Data[[#This Row],[MonthlyIncome]]&lt;3000,"Low",IF(HR_Data[[#This Row],[MonthlyIncome]]&lt;6000,"Medium",IF(HR_Data[[#This Row],[MonthlyIncome]]&lt;10000,"High","Very High")))</f>
        <v>High</v>
      </c>
      <c r="AL93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37" t="str">
        <f>IF(HR_Data[[#This Row],[TotalWorkingYears]]&lt;=5,"Junior",IF(HR_Data[[#This Row],[TotalWorkingYears]]&lt;=15,"Mid-Level","Senior"))</f>
        <v>Mid-Level</v>
      </c>
      <c r="AN937" s="11" t="str">
        <f>IF(HR_Data[[#This Row],[PerformanceRating]]=3,"Standard","Excellent")</f>
        <v>Standard</v>
      </c>
      <c r="AO937" s="11" t="str">
        <f>IF(HR_Data[[#This Row],[JobSatisfaction]]&lt;=2,"Low","High")</f>
        <v>High</v>
      </c>
      <c r="AP937" s="11" t="str">
        <f>IF(AND(HR_Data[[#This Row],[OverTime]]="Yes",HR_Data[[#This Row],[JobSatisfaction]]&lt;=2,HR_Data[[#This Row],[YearsAtCompany]]&lt;=2),"High Risk","Normal")</f>
        <v>Normal</v>
      </c>
    </row>
    <row r="938" spans="1:42" x14ac:dyDescent="0.25">
      <c r="A938" s="6">
        <v>45</v>
      </c>
      <c r="B938" s="4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s="11" t="str">
        <f>IF(HR_Data[[#This Row],[Age]]&lt;=25,"18-25",IF(HR_Data[[#This Row],[Age]]&lt;=35,"26-35",IF(HR_Data[[#This Row],[Age]]&lt;=45,"36-45",IF(HR_Data[[#This Row],[Age]]&lt;=55,"46-55","56+"))))</f>
        <v>36-45</v>
      </c>
      <c r="AK938" s="11" t="str">
        <f>IF(HR_Data[[#This Row],[MonthlyIncome]]&lt;3000,"Low",IF(HR_Data[[#This Row],[MonthlyIncome]]&lt;6000,"Medium",IF(HR_Data[[#This Row],[MonthlyIncome]]&lt;10000,"High","Very High")))</f>
        <v>Very High</v>
      </c>
      <c r="AL93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38" t="str">
        <f>IF(HR_Data[[#This Row],[TotalWorkingYears]]&lt;=5,"Junior",IF(HR_Data[[#This Row],[TotalWorkingYears]]&lt;=15,"Mid-Level","Senior"))</f>
        <v>Senior</v>
      </c>
      <c r="AN938" s="11" t="str">
        <f>IF(HR_Data[[#This Row],[PerformanceRating]]=3,"Standard","Excellent")</f>
        <v>Excellent</v>
      </c>
      <c r="AO938" s="11" t="str">
        <f>IF(HR_Data[[#This Row],[JobSatisfaction]]&lt;=2,"Low","High")</f>
        <v>Low</v>
      </c>
      <c r="AP938" s="11" t="str">
        <f>IF(AND(HR_Data[[#This Row],[OverTime]]="Yes",HR_Data[[#This Row],[JobSatisfaction]]&lt;=2,HR_Data[[#This Row],[YearsAtCompany]]&lt;=2),"High Risk","Normal")</f>
        <v>Normal</v>
      </c>
    </row>
    <row r="939" spans="1:42" x14ac:dyDescent="0.25">
      <c r="A939" s="6">
        <v>39</v>
      </c>
      <c r="B939" s="4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s="11" t="str">
        <f>IF(HR_Data[[#This Row],[Age]]&lt;=25,"18-25",IF(HR_Data[[#This Row],[Age]]&lt;=35,"26-35",IF(HR_Data[[#This Row],[Age]]&lt;=45,"36-45",IF(HR_Data[[#This Row],[Age]]&lt;=55,"46-55","56+"))))</f>
        <v>36-45</v>
      </c>
      <c r="AK939" s="11" t="str">
        <f>IF(HR_Data[[#This Row],[MonthlyIncome]]&lt;3000,"Low",IF(HR_Data[[#This Row],[MonthlyIncome]]&lt;6000,"Medium",IF(HR_Data[[#This Row],[MonthlyIncome]]&lt;10000,"High","Very High")))</f>
        <v>Very High</v>
      </c>
      <c r="AL93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39" t="str">
        <f>IF(HR_Data[[#This Row],[TotalWorkingYears]]&lt;=5,"Junior",IF(HR_Data[[#This Row],[TotalWorkingYears]]&lt;=15,"Mid-Level","Senior"))</f>
        <v>Senior</v>
      </c>
      <c r="AN939" s="11" t="str">
        <f>IF(HR_Data[[#This Row],[PerformanceRating]]=3,"Standard","Excellent")</f>
        <v>Standard</v>
      </c>
      <c r="AO939" s="11" t="str">
        <f>IF(HR_Data[[#This Row],[JobSatisfaction]]&lt;=2,"Low","High")</f>
        <v>Low</v>
      </c>
      <c r="AP939" s="11" t="str">
        <f>IF(AND(HR_Data[[#This Row],[OverTime]]="Yes",HR_Data[[#This Row],[JobSatisfaction]]&lt;=2,HR_Data[[#This Row],[YearsAtCompany]]&lt;=2),"High Risk","Normal")</f>
        <v>Normal</v>
      </c>
    </row>
    <row r="940" spans="1:42" x14ac:dyDescent="0.25">
      <c r="A940" s="6">
        <v>58</v>
      </c>
      <c r="B940" s="4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s="11" t="str">
        <f>IF(HR_Data[[#This Row],[Age]]&lt;=25,"18-25",IF(HR_Data[[#This Row],[Age]]&lt;=35,"26-35",IF(HR_Data[[#This Row],[Age]]&lt;=45,"36-45",IF(HR_Data[[#This Row],[Age]]&lt;=55,"46-55","56+"))))</f>
        <v>56+</v>
      </c>
      <c r="AK940" s="11" t="str">
        <f>IF(HR_Data[[#This Row],[MonthlyIncome]]&lt;3000,"Low",IF(HR_Data[[#This Row],[MonthlyIncome]]&lt;6000,"Medium",IF(HR_Data[[#This Row],[MonthlyIncome]]&lt;10000,"High","Very High")))</f>
        <v>Low</v>
      </c>
      <c r="AL94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40" t="str">
        <f>IF(HR_Data[[#This Row],[TotalWorkingYears]]&lt;=5,"Junior",IF(HR_Data[[#This Row],[TotalWorkingYears]]&lt;=15,"Mid-Level","Senior"))</f>
        <v>Junior</v>
      </c>
      <c r="AN940" s="11" t="str">
        <f>IF(HR_Data[[#This Row],[PerformanceRating]]=3,"Standard","Excellent")</f>
        <v>Standard</v>
      </c>
      <c r="AO940" s="11" t="str">
        <f>IF(HR_Data[[#This Row],[JobSatisfaction]]&lt;=2,"Low","High")</f>
        <v>High</v>
      </c>
      <c r="AP940" s="11" t="str">
        <f>IF(AND(HR_Data[[#This Row],[OverTime]]="Yes",HR_Data[[#This Row],[JobSatisfaction]]&lt;=2,HR_Data[[#This Row],[YearsAtCompany]]&lt;=2),"High Risk","Normal")</f>
        <v>Normal</v>
      </c>
    </row>
    <row r="941" spans="1:42" x14ac:dyDescent="0.25">
      <c r="A941" s="6">
        <v>32</v>
      </c>
      <c r="B941" s="4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s="11" t="str">
        <f>IF(HR_Data[[#This Row],[Age]]&lt;=25,"18-25",IF(HR_Data[[#This Row],[Age]]&lt;=35,"26-35",IF(HR_Data[[#This Row],[Age]]&lt;=45,"36-45",IF(HR_Data[[#This Row],[Age]]&lt;=55,"46-55","56+"))))</f>
        <v>26-35</v>
      </c>
      <c r="AK941" s="11" t="str">
        <f>IF(HR_Data[[#This Row],[MonthlyIncome]]&lt;3000,"Low",IF(HR_Data[[#This Row],[MonthlyIncome]]&lt;6000,"Medium",IF(HR_Data[[#This Row],[MonthlyIncome]]&lt;10000,"High","Very High")))</f>
        <v>Medium</v>
      </c>
      <c r="AL94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41" t="str">
        <f>IF(HR_Data[[#This Row],[TotalWorkingYears]]&lt;=5,"Junior",IF(HR_Data[[#This Row],[TotalWorkingYears]]&lt;=15,"Mid-Level","Senior"))</f>
        <v>Mid-Level</v>
      </c>
      <c r="AN941" s="11" t="str">
        <f>IF(HR_Data[[#This Row],[PerformanceRating]]=3,"Standard","Excellent")</f>
        <v>Standard</v>
      </c>
      <c r="AO941" s="11" t="str">
        <f>IF(HR_Data[[#This Row],[JobSatisfaction]]&lt;=2,"Low","High")</f>
        <v>High</v>
      </c>
      <c r="AP941" s="11" t="str">
        <f>IF(AND(HR_Data[[#This Row],[OverTime]]="Yes",HR_Data[[#This Row],[JobSatisfaction]]&lt;=2,HR_Data[[#This Row],[YearsAtCompany]]&lt;=2),"High Risk","Normal")</f>
        <v>Normal</v>
      </c>
    </row>
    <row r="942" spans="1:42" x14ac:dyDescent="0.25">
      <c r="A942" s="6">
        <v>39</v>
      </c>
      <c r="B942" s="4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s="11" t="str">
        <f>IF(HR_Data[[#This Row],[Age]]&lt;=25,"18-25",IF(HR_Data[[#This Row],[Age]]&lt;=35,"26-35",IF(HR_Data[[#This Row],[Age]]&lt;=45,"36-45",IF(HR_Data[[#This Row],[Age]]&lt;=55,"46-55","56+"))))</f>
        <v>36-45</v>
      </c>
      <c r="AK942" s="11" t="str">
        <f>IF(HR_Data[[#This Row],[MonthlyIncome]]&lt;3000,"Low",IF(HR_Data[[#This Row],[MonthlyIncome]]&lt;6000,"Medium",IF(HR_Data[[#This Row],[MonthlyIncome]]&lt;10000,"High","Very High")))</f>
        <v>Medium</v>
      </c>
      <c r="AL94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42" t="str">
        <f>IF(HR_Data[[#This Row],[TotalWorkingYears]]&lt;=5,"Junior",IF(HR_Data[[#This Row],[TotalWorkingYears]]&lt;=15,"Mid-Level","Senior"))</f>
        <v>Mid-Level</v>
      </c>
      <c r="AN942" s="11" t="str">
        <f>IF(HR_Data[[#This Row],[PerformanceRating]]=3,"Standard","Excellent")</f>
        <v>Standard</v>
      </c>
      <c r="AO942" s="11" t="str">
        <f>IF(HR_Data[[#This Row],[JobSatisfaction]]&lt;=2,"Low","High")</f>
        <v>Low</v>
      </c>
      <c r="AP942" s="11" t="str">
        <f>IF(AND(HR_Data[[#This Row],[OverTime]]="Yes",HR_Data[[#This Row],[JobSatisfaction]]&lt;=2,HR_Data[[#This Row],[YearsAtCompany]]&lt;=2),"High Risk","Normal")</f>
        <v>Normal</v>
      </c>
    </row>
    <row r="943" spans="1:42" x14ac:dyDescent="0.25">
      <c r="A943" s="6">
        <v>30</v>
      </c>
      <c r="B943" s="4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s="11" t="str">
        <f>IF(HR_Data[[#This Row],[Age]]&lt;=25,"18-25",IF(HR_Data[[#This Row],[Age]]&lt;=35,"26-35",IF(HR_Data[[#This Row],[Age]]&lt;=45,"36-45",IF(HR_Data[[#This Row],[Age]]&lt;=55,"46-55","56+"))))</f>
        <v>26-35</v>
      </c>
      <c r="AK943" s="11" t="str">
        <f>IF(HR_Data[[#This Row],[MonthlyIncome]]&lt;3000,"Low",IF(HR_Data[[#This Row],[MonthlyIncome]]&lt;6000,"Medium",IF(HR_Data[[#This Row],[MonthlyIncome]]&lt;10000,"High","Very High")))</f>
        <v>Medium</v>
      </c>
      <c r="AL94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43" t="str">
        <f>IF(HR_Data[[#This Row],[TotalWorkingYears]]&lt;=5,"Junior",IF(HR_Data[[#This Row],[TotalWorkingYears]]&lt;=15,"Mid-Level","Senior"))</f>
        <v>Mid-Level</v>
      </c>
      <c r="AN943" s="11" t="str">
        <f>IF(HR_Data[[#This Row],[PerformanceRating]]=3,"Standard","Excellent")</f>
        <v>Standard</v>
      </c>
      <c r="AO943" s="11" t="str">
        <f>IF(HR_Data[[#This Row],[JobSatisfaction]]&lt;=2,"Low","High")</f>
        <v>High</v>
      </c>
      <c r="AP943" s="11" t="str">
        <f>IF(AND(HR_Data[[#This Row],[OverTime]]="Yes",HR_Data[[#This Row],[JobSatisfaction]]&lt;=2,HR_Data[[#This Row],[YearsAtCompany]]&lt;=2),"High Risk","Normal")</f>
        <v>Normal</v>
      </c>
    </row>
    <row r="944" spans="1:42" x14ac:dyDescent="0.25">
      <c r="A944" s="6">
        <v>36</v>
      </c>
      <c r="B944" s="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s="11" t="str">
        <f>IF(HR_Data[[#This Row],[Age]]&lt;=25,"18-25",IF(HR_Data[[#This Row],[Age]]&lt;=35,"26-35",IF(HR_Data[[#This Row],[Age]]&lt;=45,"36-45",IF(HR_Data[[#This Row],[Age]]&lt;=55,"46-55","56+"))))</f>
        <v>36-45</v>
      </c>
      <c r="AK944" s="11" t="str">
        <f>IF(HR_Data[[#This Row],[MonthlyIncome]]&lt;3000,"Low",IF(HR_Data[[#This Row],[MonthlyIncome]]&lt;6000,"Medium",IF(HR_Data[[#This Row],[MonthlyIncome]]&lt;10000,"High","Very High")))</f>
        <v>High</v>
      </c>
      <c r="AL94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44" t="str">
        <f>IF(HR_Data[[#This Row],[TotalWorkingYears]]&lt;=5,"Junior",IF(HR_Data[[#This Row],[TotalWorkingYears]]&lt;=15,"Mid-Level","Senior"))</f>
        <v>Mid-Level</v>
      </c>
      <c r="AN944" s="11" t="str">
        <f>IF(HR_Data[[#This Row],[PerformanceRating]]=3,"Standard","Excellent")</f>
        <v>Standard</v>
      </c>
      <c r="AO944" s="11" t="str">
        <f>IF(HR_Data[[#This Row],[JobSatisfaction]]&lt;=2,"Low","High")</f>
        <v>High</v>
      </c>
      <c r="AP944" s="11" t="str">
        <f>IF(AND(HR_Data[[#This Row],[OverTime]]="Yes",HR_Data[[#This Row],[JobSatisfaction]]&lt;=2,HR_Data[[#This Row],[YearsAtCompany]]&lt;=2),"High Risk","Normal")</f>
        <v>Normal</v>
      </c>
    </row>
    <row r="945" spans="1:42" x14ac:dyDescent="0.25">
      <c r="A945" s="6">
        <v>46</v>
      </c>
      <c r="B945" s="4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s="11" t="str">
        <f>IF(HR_Data[[#This Row],[Age]]&lt;=25,"18-25",IF(HR_Data[[#This Row],[Age]]&lt;=35,"26-35",IF(HR_Data[[#This Row],[Age]]&lt;=45,"36-45",IF(HR_Data[[#This Row],[Age]]&lt;=55,"46-55","56+"))))</f>
        <v>46-55</v>
      </c>
      <c r="AK945" s="11" t="str">
        <f>IF(HR_Data[[#This Row],[MonthlyIncome]]&lt;3000,"Low",IF(HR_Data[[#This Row],[MonthlyIncome]]&lt;6000,"Medium",IF(HR_Data[[#This Row],[MonthlyIncome]]&lt;10000,"High","Very High")))</f>
        <v>Medium</v>
      </c>
      <c r="AL94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45" t="str">
        <f>IF(HR_Data[[#This Row],[TotalWorkingYears]]&lt;=5,"Junior",IF(HR_Data[[#This Row],[TotalWorkingYears]]&lt;=15,"Mid-Level","Senior"))</f>
        <v>Mid-Level</v>
      </c>
      <c r="AN945" s="11" t="str">
        <f>IF(HR_Data[[#This Row],[PerformanceRating]]=3,"Standard","Excellent")</f>
        <v>Standard</v>
      </c>
      <c r="AO945" s="11" t="str">
        <f>IF(HR_Data[[#This Row],[JobSatisfaction]]&lt;=2,"Low","High")</f>
        <v>Low</v>
      </c>
      <c r="AP945" s="11" t="str">
        <f>IF(AND(HR_Data[[#This Row],[OverTime]]="Yes",HR_Data[[#This Row],[JobSatisfaction]]&lt;=2,HR_Data[[#This Row],[YearsAtCompany]]&lt;=2),"High Risk","Normal")</f>
        <v>Normal</v>
      </c>
    </row>
    <row r="946" spans="1:42" x14ac:dyDescent="0.25">
      <c r="A946" s="6">
        <v>28</v>
      </c>
      <c r="B946" s="4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s="11" t="str">
        <f>IF(HR_Data[[#This Row],[Age]]&lt;=25,"18-25",IF(HR_Data[[#This Row],[Age]]&lt;=35,"26-35",IF(HR_Data[[#This Row],[Age]]&lt;=45,"36-45",IF(HR_Data[[#This Row],[Age]]&lt;=55,"46-55","56+"))))</f>
        <v>26-35</v>
      </c>
      <c r="AK946" s="11" t="str">
        <f>IF(HR_Data[[#This Row],[MonthlyIncome]]&lt;3000,"Low",IF(HR_Data[[#This Row],[MonthlyIncome]]&lt;6000,"Medium",IF(HR_Data[[#This Row],[MonthlyIncome]]&lt;10000,"High","Very High")))</f>
        <v>High</v>
      </c>
      <c r="AL94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46" t="str">
        <f>IF(HR_Data[[#This Row],[TotalWorkingYears]]&lt;=5,"Junior",IF(HR_Data[[#This Row],[TotalWorkingYears]]&lt;=15,"Mid-Level","Senior"))</f>
        <v>Mid-Level</v>
      </c>
      <c r="AN946" s="11" t="str">
        <f>IF(HR_Data[[#This Row],[PerformanceRating]]=3,"Standard","Excellent")</f>
        <v>Standard</v>
      </c>
      <c r="AO946" s="11" t="str">
        <f>IF(HR_Data[[#This Row],[JobSatisfaction]]&lt;=2,"Low","High")</f>
        <v>High</v>
      </c>
      <c r="AP946" s="11" t="str">
        <f>IF(AND(HR_Data[[#This Row],[OverTime]]="Yes",HR_Data[[#This Row],[JobSatisfaction]]&lt;=2,HR_Data[[#This Row],[YearsAtCompany]]&lt;=2),"High Risk","Normal")</f>
        <v>Normal</v>
      </c>
    </row>
    <row r="947" spans="1:42" x14ac:dyDescent="0.25">
      <c r="A947" s="6">
        <v>50</v>
      </c>
      <c r="B947" s="4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s="11" t="str">
        <f>IF(HR_Data[[#This Row],[Age]]&lt;=25,"18-25",IF(HR_Data[[#This Row],[Age]]&lt;=35,"26-35",IF(HR_Data[[#This Row],[Age]]&lt;=45,"36-45",IF(HR_Data[[#This Row],[Age]]&lt;=55,"46-55","56+"))))</f>
        <v>46-55</v>
      </c>
      <c r="AK947" s="11" t="str">
        <f>IF(HR_Data[[#This Row],[MonthlyIncome]]&lt;3000,"Low",IF(HR_Data[[#This Row],[MonthlyIncome]]&lt;6000,"Medium",IF(HR_Data[[#This Row],[MonthlyIncome]]&lt;10000,"High","Very High")))</f>
        <v>Very High</v>
      </c>
      <c r="AL94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47" t="str">
        <f>IF(HR_Data[[#This Row],[TotalWorkingYears]]&lt;=5,"Junior",IF(HR_Data[[#This Row],[TotalWorkingYears]]&lt;=15,"Mid-Level","Senior"))</f>
        <v>Senior</v>
      </c>
      <c r="AN947" s="11" t="str">
        <f>IF(HR_Data[[#This Row],[PerformanceRating]]=3,"Standard","Excellent")</f>
        <v>Standard</v>
      </c>
      <c r="AO947" s="11" t="str">
        <f>IF(HR_Data[[#This Row],[JobSatisfaction]]&lt;=2,"Low","High")</f>
        <v>Low</v>
      </c>
      <c r="AP947" s="11" t="str">
        <f>IF(AND(HR_Data[[#This Row],[OverTime]]="Yes",HR_Data[[#This Row],[JobSatisfaction]]&lt;=2,HR_Data[[#This Row],[YearsAtCompany]]&lt;=2),"High Risk","Normal")</f>
        <v>Normal</v>
      </c>
    </row>
    <row r="948" spans="1:42" x14ac:dyDescent="0.25">
      <c r="A948" s="6">
        <v>40</v>
      </c>
      <c r="B948" s="4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s="11" t="str">
        <f>IF(HR_Data[[#This Row],[Age]]&lt;=25,"18-25",IF(HR_Data[[#This Row],[Age]]&lt;=35,"26-35",IF(HR_Data[[#This Row],[Age]]&lt;=45,"36-45",IF(HR_Data[[#This Row],[Age]]&lt;=55,"46-55","56+"))))</f>
        <v>36-45</v>
      </c>
      <c r="AK948" s="11" t="str">
        <f>IF(HR_Data[[#This Row],[MonthlyIncome]]&lt;3000,"Low",IF(HR_Data[[#This Row],[MonthlyIncome]]&lt;6000,"Medium",IF(HR_Data[[#This Row],[MonthlyIncome]]&lt;10000,"High","Very High")))</f>
        <v>High</v>
      </c>
      <c r="AL94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48" t="str">
        <f>IF(HR_Data[[#This Row],[TotalWorkingYears]]&lt;=5,"Junior",IF(HR_Data[[#This Row],[TotalWorkingYears]]&lt;=15,"Mid-Level","Senior"))</f>
        <v>Mid-Level</v>
      </c>
      <c r="AN948" s="11" t="str">
        <f>IF(HR_Data[[#This Row],[PerformanceRating]]=3,"Standard","Excellent")</f>
        <v>Standard</v>
      </c>
      <c r="AO948" s="11" t="str">
        <f>IF(HR_Data[[#This Row],[JobSatisfaction]]&lt;=2,"Low","High")</f>
        <v>Low</v>
      </c>
      <c r="AP948" s="11" t="str">
        <f>IF(AND(HR_Data[[#This Row],[OverTime]]="Yes",HR_Data[[#This Row],[JobSatisfaction]]&lt;=2,HR_Data[[#This Row],[YearsAtCompany]]&lt;=2),"High Risk","Normal")</f>
        <v>Normal</v>
      </c>
    </row>
    <row r="949" spans="1:42" x14ac:dyDescent="0.25">
      <c r="A949" s="6">
        <v>52</v>
      </c>
      <c r="B949" s="4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s="11" t="str">
        <f>IF(HR_Data[[#This Row],[Age]]&lt;=25,"18-25",IF(HR_Data[[#This Row],[Age]]&lt;=35,"26-35",IF(HR_Data[[#This Row],[Age]]&lt;=45,"36-45",IF(HR_Data[[#This Row],[Age]]&lt;=55,"46-55","56+"))))</f>
        <v>46-55</v>
      </c>
      <c r="AK949" s="11" t="str">
        <f>IF(HR_Data[[#This Row],[MonthlyIncome]]&lt;3000,"Low",IF(HR_Data[[#This Row],[MonthlyIncome]]&lt;6000,"Medium",IF(HR_Data[[#This Row],[MonthlyIncome]]&lt;10000,"High","Very High")))</f>
        <v>High</v>
      </c>
      <c r="AL94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49" t="str">
        <f>IF(HR_Data[[#This Row],[TotalWorkingYears]]&lt;=5,"Junior",IF(HR_Data[[#This Row],[TotalWorkingYears]]&lt;=15,"Mid-Level","Senior"))</f>
        <v>Mid-Level</v>
      </c>
      <c r="AN949" s="11" t="str">
        <f>IF(HR_Data[[#This Row],[PerformanceRating]]=3,"Standard","Excellent")</f>
        <v>Standard</v>
      </c>
      <c r="AO949" s="11" t="str">
        <f>IF(HR_Data[[#This Row],[JobSatisfaction]]&lt;=2,"Low","High")</f>
        <v>Low</v>
      </c>
      <c r="AP949" s="11" t="str">
        <f>IF(AND(HR_Data[[#This Row],[OverTime]]="Yes",HR_Data[[#This Row],[JobSatisfaction]]&lt;=2,HR_Data[[#This Row],[YearsAtCompany]]&lt;=2),"High Risk","Normal")</f>
        <v>Normal</v>
      </c>
    </row>
    <row r="950" spans="1:42" x14ac:dyDescent="0.25">
      <c r="A950" s="6">
        <v>30</v>
      </c>
      <c r="B950" s="4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s="11" t="str">
        <f>IF(HR_Data[[#This Row],[Age]]&lt;=25,"18-25",IF(HR_Data[[#This Row],[Age]]&lt;=35,"26-35",IF(HR_Data[[#This Row],[Age]]&lt;=45,"36-45",IF(HR_Data[[#This Row],[Age]]&lt;=55,"46-55","56+"))))</f>
        <v>26-35</v>
      </c>
      <c r="AK950" s="11" t="str">
        <f>IF(HR_Data[[#This Row],[MonthlyIncome]]&lt;3000,"Low",IF(HR_Data[[#This Row],[MonthlyIncome]]&lt;6000,"Medium",IF(HR_Data[[#This Row],[MonthlyIncome]]&lt;10000,"High","Very High")))</f>
        <v>Very High</v>
      </c>
      <c r="AL95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50" t="str">
        <f>IF(HR_Data[[#This Row],[TotalWorkingYears]]&lt;=5,"Junior",IF(HR_Data[[#This Row],[TotalWorkingYears]]&lt;=15,"Mid-Level","Senior"))</f>
        <v>Mid-Level</v>
      </c>
      <c r="AN950" s="11" t="str">
        <f>IF(HR_Data[[#This Row],[PerformanceRating]]=3,"Standard","Excellent")</f>
        <v>Excellent</v>
      </c>
      <c r="AO950" s="11" t="str">
        <f>IF(HR_Data[[#This Row],[JobSatisfaction]]&lt;=2,"Low","High")</f>
        <v>Low</v>
      </c>
      <c r="AP950" s="11" t="str">
        <f>IF(AND(HR_Data[[#This Row],[OverTime]]="Yes",HR_Data[[#This Row],[JobSatisfaction]]&lt;=2,HR_Data[[#This Row],[YearsAtCompany]]&lt;=2),"High Risk","Normal")</f>
        <v>Normal</v>
      </c>
    </row>
    <row r="951" spans="1:42" x14ac:dyDescent="0.25">
      <c r="A951" s="6">
        <v>39</v>
      </c>
      <c r="B951" s="4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s="11" t="str">
        <f>IF(HR_Data[[#This Row],[Age]]&lt;=25,"18-25",IF(HR_Data[[#This Row],[Age]]&lt;=35,"26-35",IF(HR_Data[[#This Row],[Age]]&lt;=45,"36-45",IF(HR_Data[[#This Row],[Age]]&lt;=55,"46-55","56+"))))</f>
        <v>36-45</v>
      </c>
      <c r="AK951" s="11" t="str">
        <f>IF(HR_Data[[#This Row],[MonthlyIncome]]&lt;3000,"Low",IF(HR_Data[[#This Row],[MonthlyIncome]]&lt;6000,"Medium",IF(HR_Data[[#This Row],[MonthlyIncome]]&lt;10000,"High","Very High")))</f>
        <v>Medium</v>
      </c>
      <c r="AL95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51" t="str">
        <f>IF(HR_Data[[#This Row],[TotalWorkingYears]]&lt;=5,"Junior",IF(HR_Data[[#This Row],[TotalWorkingYears]]&lt;=15,"Mid-Level","Senior"))</f>
        <v>Mid-Level</v>
      </c>
      <c r="AN951" s="11" t="str">
        <f>IF(HR_Data[[#This Row],[PerformanceRating]]=3,"Standard","Excellent")</f>
        <v>Standard</v>
      </c>
      <c r="AO951" s="11" t="str">
        <f>IF(HR_Data[[#This Row],[JobSatisfaction]]&lt;=2,"Low","High")</f>
        <v>High</v>
      </c>
      <c r="AP951" s="11" t="str">
        <f>IF(AND(HR_Data[[#This Row],[OverTime]]="Yes",HR_Data[[#This Row],[JobSatisfaction]]&lt;=2,HR_Data[[#This Row],[YearsAtCompany]]&lt;=2),"High Risk","Normal")</f>
        <v>Normal</v>
      </c>
    </row>
    <row r="952" spans="1:42" x14ac:dyDescent="0.25">
      <c r="A952" s="6">
        <v>31</v>
      </c>
      <c r="B952" s="4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s="11" t="str">
        <f>IF(HR_Data[[#This Row],[Age]]&lt;=25,"18-25",IF(HR_Data[[#This Row],[Age]]&lt;=35,"26-35",IF(HR_Data[[#This Row],[Age]]&lt;=45,"36-45",IF(HR_Data[[#This Row],[Age]]&lt;=55,"46-55","56+"))))</f>
        <v>26-35</v>
      </c>
      <c r="AK952" s="11" t="str">
        <f>IF(HR_Data[[#This Row],[MonthlyIncome]]&lt;3000,"Low",IF(HR_Data[[#This Row],[MonthlyIncome]]&lt;6000,"Medium",IF(HR_Data[[#This Row],[MonthlyIncome]]&lt;10000,"High","Very High")))</f>
        <v>High</v>
      </c>
      <c r="AL95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52" t="str">
        <f>IF(HR_Data[[#This Row],[TotalWorkingYears]]&lt;=5,"Junior",IF(HR_Data[[#This Row],[TotalWorkingYears]]&lt;=15,"Mid-Level","Senior"))</f>
        <v>Mid-Level</v>
      </c>
      <c r="AN952" s="11" t="str">
        <f>IF(HR_Data[[#This Row],[PerformanceRating]]=3,"Standard","Excellent")</f>
        <v>Standard</v>
      </c>
      <c r="AO952" s="11" t="str">
        <f>IF(HR_Data[[#This Row],[JobSatisfaction]]&lt;=2,"Low","High")</f>
        <v>High</v>
      </c>
      <c r="AP952" s="11" t="str">
        <f>IF(AND(HR_Data[[#This Row],[OverTime]]="Yes",HR_Data[[#This Row],[JobSatisfaction]]&lt;=2,HR_Data[[#This Row],[YearsAtCompany]]&lt;=2),"High Risk","Normal")</f>
        <v>Normal</v>
      </c>
    </row>
    <row r="953" spans="1:42" x14ac:dyDescent="0.25">
      <c r="A953" s="6">
        <v>41</v>
      </c>
      <c r="B953" s="4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s="11" t="str">
        <f>IF(HR_Data[[#This Row],[Age]]&lt;=25,"18-25",IF(HR_Data[[#This Row],[Age]]&lt;=35,"26-35",IF(HR_Data[[#This Row],[Age]]&lt;=45,"36-45",IF(HR_Data[[#This Row],[Age]]&lt;=55,"46-55","56+"))))</f>
        <v>36-45</v>
      </c>
      <c r="AK953" s="11" t="str">
        <f>IF(HR_Data[[#This Row],[MonthlyIncome]]&lt;3000,"Low",IF(HR_Data[[#This Row],[MonthlyIncome]]&lt;6000,"Medium",IF(HR_Data[[#This Row],[MonthlyIncome]]&lt;10000,"High","Very High")))</f>
        <v>High</v>
      </c>
      <c r="AL95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53" t="str">
        <f>IF(HR_Data[[#This Row],[TotalWorkingYears]]&lt;=5,"Junior",IF(HR_Data[[#This Row],[TotalWorkingYears]]&lt;=15,"Mid-Level","Senior"))</f>
        <v>Senior</v>
      </c>
      <c r="AN953" s="11" t="str">
        <f>IF(HR_Data[[#This Row],[PerformanceRating]]=3,"Standard","Excellent")</f>
        <v>Standard</v>
      </c>
      <c r="AO953" s="11" t="str">
        <f>IF(HR_Data[[#This Row],[JobSatisfaction]]&lt;=2,"Low","High")</f>
        <v>Low</v>
      </c>
      <c r="AP953" s="11" t="str">
        <f>IF(AND(HR_Data[[#This Row],[OverTime]]="Yes",HR_Data[[#This Row],[JobSatisfaction]]&lt;=2,HR_Data[[#This Row],[YearsAtCompany]]&lt;=2),"High Risk","Normal")</f>
        <v>Normal</v>
      </c>
    </row>
    <row r="954" spans="1:42" x14ac:dyDescent="0.25">
      <c r="A954" s="6">
        <v>31</v>
      </c>
      <c r="B954" s="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s="11" t="str">
        <f>IF(HR_Data[[#This Row],[Age]]&lt;=25,"18-25",IF(HR_Data[[#This Row],[Age]]&lt;=35,"26-35",IF(HR_Data[[#This Row],[Age]]&lt;=45,"36-45",IF(HR_Data[[#This Row],[Age]]&lt;=55,"46-55","56+"))))</f>
        <v>26-35</v>
      </c>
      <c r="AK954" s="11" t="str">
        <f>IF(HR_Data[[#This Row],[MonthlyIncome]]&lt;3000,"Low",IF(HR_Data[[#This Row],[MonthlyIncome]]&lt;6000,"Medium",IF(HR_Data[[#This Row],[MonthlyIncome]]&lt;10000,"High","Very High")))</f>
        <v>Low</v>
      </c>
      <c r="AL95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54" t="str">
        <f>IF(HR_Data[[#This Row],[TotalWorkingYears]]&lt;=5,"Junior",IF(HR_Data[[#This Row],[TotalWorkingYears]]&lt;=15,"Mid-Level","Senior"))</f>
        <v>Junior</v>
      </c>
      <c r="AN954" s="11" t="str">
        <f>IF(HR_Data[[#This Row],[PerformanceRating]]=3,"Standard","Excellent")</f>
        <v>Standard</v>
      </c>
      <c r="AO954" s="11" t="str">
        <f>IF(HR_Data[[#This Row],[JobSatisfaction]]&lt;=2,"Low","High")</f>
        <v>Low</v>
      </c>
      <c r="AP954" s="11" t="str">
        <f>IF(AND(HR_Data[[#This Row],[OverTime]]="Yes",HR_Data[[#This Row],[JobSatisfaction]]&lt;=2,HR_Data[[#This Row],[YearsAtCompany]]&lt;=2),"High Risk","Normal")</f>
        <v>Normal</v>
      </c>
    </row>
    <row r="955" spans="1:42" x14ac:dyDescent="0.25">
      <c r="A955" s="6">
        <v>44</v>
      </c>
      <c r="B955" s="4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s="11" t="str">
        <f>IF(HR_Data[[#This Row],[Age]]&lt;=25,"18-25",IF(HR_Data[[#This Row],[Age]]&lt;=35,"26-35",IF(HR_Data[[#This Row],[Age]]&lt;=45,"36-45",IF(HR_Data[[#This Row],[Age]]&lt;=55,"46-55","56+"))))</f>
        <v>36-45</v>
      </c>
      <c r="AK955" s="11" t="str">
        <f>IF(HR_Data[[#This Row],[MonthlyIncome]]&lt;3000,"Low",IF(HR_Data[[#This Row],[MonthlyIncome]]&lt;6000,"Medium",IF(HR_Data[[#This Row],[MonthlyIncome]]&lt;10000,"High","Very High")))</f>
        <v>Low</v>
      </c>
      <c r="AL95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55" t="str">
        <f>IF(HR_Data[[#This Row],[TotalWorkingYears]]&lt;=5,"Junior",IF(HR_Data[[#This Row],[TotalWorkingYears]]&lt;=15,"Mid-Level","Senior"))</f>
        <v>Mid-Level</v>
      </c>
      <c r="AN955" s="11" t="str">
        <f>IF(HR_Data[[#This Row],[PerformanceRating]]=3,"Standard","Excellent")</f>
        <v>Standard</v>
      </c>
      <c r="AO955" s="11" t="str">
        <f>IF(HR_Data[[#This Row],[JobSatisfaction]]&lt;=2,"Low","High")</f>
        <v>Low</v>
      </c>
      <c r="AP955" s="11" t="str">
        <f>IF(AND(HR_Data[[#This Row],[OverTime]]="Yes",HR_Data[[#This Row],[JobSatisfaction]]&lt;=2,HR_Data[[#This Row],[YearsAtCompany]]&lt;=2),"High Risk","Normal")</f>
        <v>Normal</v>
      </c>
    </row>
    <row r="956" spans="1:42" x14ac:dyDescent="0.25">
      <c r="A956" s="6">
        <v>42</v>
      </c>
      <c r="B956" s="4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s="11" t="str">
        <f>IF(HR_Data[[#This Row],[Age]]&lt;=25,"18-25",IF(HR_Data[[#This Row],[Age]]&lt;=35,"26-35",IF(HR_Data[[#This Row],[Age]]&lt;=45,"36-45",IF(HR_Data[[#This Row],[Age]]&lt;=55,"46-55","56+"))))</f>
        <v>36-45</v>
      </c>
      <c r="AK956" s="11" t="str">
        <f>IF(HR_Data[[#This Row],[MonthlyIncome]]&lt;3000,"Low",IF(HR_Data[[#This Row],[MonthlyIncome]]&lt;6000,"Medium",IF(HR_Data[[#This Row],[MonthlyIncome]]&lt;10000,"High","Very High")))</f>
        <v>Very High</v>
      </c>
      <c r="AL95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56" t="str">
        <f>IF(HR_Data[[#This Row],[TotalWorkingYears]]&lt;=5,"Junior",IF(HR_Data[[#This Row],[TotalWorkingYears]]&lt;=15,"Mid-Level","Senior"))</f>
        <v>Senior</v>
      </c>
      <c r="AN956" s="11" t="str">
        <f>IF(HR_Data[[#This Row],[PerformanceRating]]=3,"Standard","Excellent")</f>
        <v>Standard</v>
      </c>
      <c r="AO956" s="11" t="str">
        <f>IF(HR_Data[[#This Row],[JobSatisfaction]]&lt;=2,"Low","High")</f>
        <v>High</v>
      </c>
      <c r="AP956" s="11" t="str">
        <f>IF(AND(HR_Data[[#This Row],[OverTime]]="Yes",HR_Data[[#This Row],[JobSatisfaction]]&lt;=2,HR_Data[[#This Row],[YearsAtCompany]]&lt;=2),"High Risk","Normal")</f>
        <v>Normal</v>
      </c>
    </row>
    <row r="957" spans="1:42" x14ac:dyDescent="0.25">
      <c r="A957" s="6">
        <v>55</v>
      </c>
      <c r="B957" s="4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s="11" t="str">
        <f>IF(HR_Data[[#This Row],[Age]]&lt;=25,"18-25",IF(HR_Data[[#This Row],[Age]]&lt;=35,"26-35",IF(HR_Data[[#This Row],[Age]]&lt;=45,"36-45",IF(HR_Data[[#This Row],[Age]]&lt;=55,"46-55","56+"))))</f>
        <v>46-55</v>
      </c>
      <c r="AK957" s="11" t="str">
        <f>IF(HR_Data[[#This Row],[MonthlyIncome]]&lt;3000,"Low",IF(HR_Data[[#This Row],[MonthlyIncome]]&lt;6000,"Medium",IF(HR_Data[[#This Row],[MonthlyIncome]]&lt;10000,"High","Very High")))</f>
        <v>Very High</v>
      </c>
      <c r="AL95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57" t="str">
        <f>IF(HR_Data[[#This Row],[TotalWorkingYears]]&lt;=5,"Junior",IF(HR_Data[[#This Row],[TotalWorkingYears]]&lt;=15,"Mid-Level","Senior"))</f>
        <v>Senior</v>
      </c>
      <c r="AN957" s="11" t="str">
        <f>IF(HR_Data[[#This Row],[PerformanceRating]]=3,"Standard","Excellent")</f>
        <v>Standard</v>
      </c>
      <c r="AO957" s="11" t="str">
        <f>IF(HR_Data[[#This Row],[JobSatisfaction]]&lt;=2,"Low","High")</f>
        <v>High</v>
      </c>
      <c r="AP957" s="11" t="str">
        <f>IF(AND(HR_Data[[#This Row],[OverTime]]="Yes",HR_Data[[#This Row],[JobSatisfaction]]&lt;=2,HR_Data[[#This Row],[YearsAtCompany]]&lt;=2),"High Risk","Normal")</f>
        <v>Normal</v>
      </c>
    </row>
    <row r="958" spans="1:42" x14ac:dyDescent="0.25">
      <c r="A958" s="6">
        <v>56</v>
      </c>
      <c r="B958" s="4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s="11" t="str">
        <f>IF(HR_Data[[#This Row],[Age]]&lt;=25,"18-25",IF(HR_Data[[#This Row],[Age]]&lt;=35,"26-35",IF(HR_Data[[#This Row],[Age]]&lt;=45,"36-45",IF(HR_Data[[#This Row],[Age]]&lt;=55,"46-55","56+"))))</f>
        <v>56+</v>
      </c>
      <c r="AK958" s="11" t="str">
        <f>IF(HR_Data[[#This Row],[MonthlyIncome]]&lt;3000,"Low",IF(HR_Data[[#This Row],[MonthlyIncome]]&lt;6000,"Medium",IF(HR_Data[[#This Row],[MonthlyIncome]]&lt;10000,"High","Very High")))</f>
        <v>Very High</v>
      </c>
      <c r="AL95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58" t="str">
        <f>IF(HR_Data[[#This Row],[TotalWorkingYears]]&lt;=5,"Junior",IF(HR_Data[[#This Row],[TotalWorkingYears]]&lt;=15,"Mid-Level","Senior"))</f>
        <v>Senior</v>
      </c>
      <c r="AN958" s="11" t="str">
        <f>IF(HR_Data[[#This Row],[PerformanceRating]]=3,"Standard","Excellent")</f>
        <v>Standard</v>
      </c>
      <c r="AO958" s="11" t="str">
        <f>IF(HR_Data[[#This Row],[JobSatisfaction]]&lt;=2,"Low","High")</f>
        <v>Low</v>
      </c>
      <c r="AP958" s="11" t="str">
        <f>IF(AND(HR_Data[[#This Row],[OverTime]]="Yes",HR_Data[[#This Row],[JobSatisfaction]]&lt;=2,HR_Data[[#This Row],[YearsAtCompany]]&lt;=2),"High Risk","Normal")</f>
        <v>Normal</v>
      </c>
    </row>
    <row r="959" spans="1:42" x14ac:dyDescent="0.25">
      <c r="A959" s="6">
        <v>40</v>
      </c>
      <c r="B959" s="4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s="11" t="str">
        <f>IF(HR_Data[[#This Row],[Age]]&lt;=25,"18-25",IF(HR_Data[[#This Row],[Age]]&lt;=35,"26-35",IF(HR_Data[[#This Row],[Age]]&lt;=45,"36-45",IF(HR_Data[[#This Row],[Age]]&lt;=55,"46-55","56+"))))</f>
        <v>36-45</v>
      </c>
      <c r="AK959" s="11" t="str">
        <f>IF(HR_Data[[#This Row],[MonthlyIncome]]&lt;3000,"Low",IF(HR_Data[[#This Row],[MonthlyIncome]]&lt;6000,"Medium",IF(HR_Data[[#This Row],[MonthlyIncome]]&lt;10000,"High","Very High")))</f>
        <v>Medium</v>
      </c>
      <c r="AL95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59" t="str">
        <f>IF(HR_Data[[#This Row],[TotalWorkingYears]]&lt;=5,"Junior",IF(HR_Data[[#This Row],[TotalWorkingYears]]&lt;=15,"Mid-Level","Senior"))</f>
        <v>Mid-Level</v>
      </c>
      <c r="AN959" s="11" t="str">
        <f>IF(HR_Data[[#This Row],[PerformanceRating]]=3,"Standard","Excellent")</f>
        <v>Standard</v>
      </c>
      <c r="AO959" s="11" t="str">
        <f>IF(HR_Data[[#This Row],[JobSatisfaction]]&lt;=2,"Low","High")</f>
        <v>High</v>
      </c>
      <c r="AP959" s="11" t="str">
        <f>IF(AND(HR_Data[[#This Row],[OverTime]]="Yes",HR_Data[[#This Row],[JobSatisfaction]]&lt;=2,HR_Data[[#This Row],[YearsAtCompany]]&lt;=2),"High Risk","Normal")</f>
        <v>Normal</v>
      </c>
    </row>
    <row r="960" spans="1:42" x14ac:dyDescent="0.25">
      <c r="A960" s="6">
        <v>34</v>
      </c>
      <c r="B960" s="4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s="11" t="str">
        <f>IF(HR_Data[[#This Row],[Age]]&lt;=25,"18-25",IF(HR_Data[[#This Row],[Age]]&lt;=35,"26-35",IF(HR_Data[[#This Row],[Age]]&lt;=45,"36-45",IF(HR_Data[[#This Row],[Age]]&lt;=55,"46-55","56+"))))</f>
        <v>26-35</v>
      </c>
      <c r="AK960" s="11" t="str">
        <f>IF(HR_Data[[#This Row],[MonthlyIncome]]&lt;3000,"Low",IF(HR_Data[[#This Row],[MonthlyIncome]]&lt;6000,"Medium",IF(HR_Data[[#This Row],[MonthlyIncome]]&lt;10000,"High","Very High")))</f>
        <v>High</v>
      </c>
      <c r="AL96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60" t="str">
        <f>IF(HR_Data[[#This Row],[TotalWorkingYears]]&lt;=5,"Junior",IF(HR_Data[[#This Row],[TotalWorkingYears]]&lt;=15,"Mid-Level","Senior"))</f>
        <v>Mid-Level</v>
      </c>
      <c r="AN960" s="11" t="str">
        <f>IF(HR_Data[[#This Row],[PerformanceRating]]=3,"Standard","Excellent")</f>
        <v>Standard</v>
      </c>
      <c r="AO960" s="11" t="str">
        <f>IF(HR_Data[[#This Row],[JobSatisfaction]]&lt;=2,"Low","High")</f>
        <v>High</v>
      </c>
      <c r="AP960" s="11" t="str">
        <f>IF(AND(HR_Data[[#This Row],[OverTime]]="Yes",HR_Data[[#This Row],[JobSatisfaction]]&lt;=2,HR_Data[[#This Row],[YearsAtCompany]]&lt;=2),"High Risk","Normal")</f>
        <v>Normal</v>
      </c>
    </row>
    <row r="961" spans="1:42" x14ac:dyDescent="0.25">
      <c r="A961" s="6">
        <v>40</v>
      </c>
      <c r="B961" s="4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s="11" t="str">
        <f>IF(HR_Data[[#This Row],[Age]]&lt;=25,"18-25",IF(HR_Data[[#This Row],[Age]]&lt;=35,"26-35",IF(HR_Data[[#This Row],[Age]]&lt;=45,"36-45",IF(HR_Data[[#This Row],[Age]]&lt;=55,"46-55","56+"))))</f>
        <v>36-45</v>
      </c>
      <c r="AK961" s="11" t="str">
        <f>IF(HR_Data[[#This Row],[MonthlyIncome]]&lt;3000,"Low",IF(HR_Data[[#This Row],[MonthlyIncome]]&lt;6000,"Medium",IF(HR_Data[[#This Row],[MonthlyIncome]]&lt;10000,"High","Very High")))</f>
        <v>Medium</v>
      </c>
      <c r="AL96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61" t="str">
        <f>IF(HR_Data[[#This Row],[TotalWorkingYears]]&lt;=5,"Junior",IF(HR_Data[[#This Row],[TotalWorkingYears]]&lt;=15,"Mid-Level","Senior"))</f>
        <v>Mid-Level</v>
      </c>
      <c r="AN961" s="11" t="str">
        <f>IF(HR_Data[[#This Row],[PerformanceRating]]=3,"Standard","Excellent")</f>
        <v>Standard</v>
      </c>
      <c r="AO961" s="11" t="str">
        <f>IF(HR_Data[[#This Row],[JobSatisfaction]]&lt;=2,"Low","High")</f>
        <v>High</v>
      </c>
      <c r="AP961" s="11" t="str">
        <f>IF(AND(HR_Data[[#This Row],[OverTime]]="Yes",HR_Data[[#This Row],[JobSatisfaction]]&lt;=2,HR_Data[[#This Row],[YearsAtCompany]]&lt;=2),"High Risk","Normal")</f>
        <v>Normal</v>
      </c>
    </row>
    <row r="962" spans="1:42" x14ac:dyDescent="0.25">
      <c r="A962" s="6">
        <v>41</v>
      </c>
      <c r="B962" s="4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s="11" t="str">
        <f>IF(HR_Data[[#This Row],[Age]]&lt;=25,"18-25",IF(HR_Data[[#This Row],[Age]]&lt;=35,"26-35",IF(HR_Data[[#This Row],[Age]]&lt;=45,"36-45",IF(HR_Data[[#This Row],[Age]]&lt;=55,"46-55","56+"))))</f>
        <v>36-45</v>
      </c>
      <c r="AK962" s="11" t="str">
        <f>IF(HR_Data[[#This Row],[MonthlyIncome]]&lt;3000,"Low",IF(HR_Data[[#This Row],[MonthlyIncome]]&lt;6000,"Medium",IF(HR_Data[[#This Row],[MonthlyIncome]]&lt;10000,"High","Very High")))</f>
        <v>Medium</v>
      </c>
      <c r="AL96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62" t="str">
        <f>IF(HR_Data[[#This Row],[TotalWorkingYears]]&lt;=5,"Junior",IF(HR_Data[[#This Row],[TotalWorkingYears]]&lt;=15,"Mid-Level","Senior"))</f>
        <v>Mid-Level</v>
      </c>
      <c r="AN962" s="11" t="str">
        <f>IF(HR_Data[[#This Row],[PerformanceRating]]=3,"Standard","Excellent")</f>
        <v>Standard</v>
      </c>
      <c r="AO962" s="11" t="str">
        <f>IF(HR_Data[[#This Row],[JobSatisfaction]]&lt;=2,"Low","High")</f>
        <v>Low</v>
      </c>
      <c r="AP962" s="11" t="str">
        <f>IF(AND(HR_Data[[#This Row],[OverTime]]="Yes",HR_Data[[#This Row],[JobSatisfaction]]&lt;=2,HR_Data[[#This Row],[YearsAtCompany]]&lt;=2),"High Risk","Normal")</f>
        <v>Normal</v>
      </c>
    </row>
    <row r="963" spans="1:42" x14ac:dyDescent="0.25">
      <c r="A963" s="6">
        <v>35</v>
      </c>
      <c r="B963" s="4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s="11" t="str">
        <f>IF(HR_Data[[#This Row],[Age]]&lt;=25,"18-25",IF(HR_Data[[#This Row],[Age]]&lt;=35,"26-35",IF(HR_Data[[#This Row],[Age]]&lt;=45,"36-45",IF(HR_Data[[#This Row],[Age]]&lt;=55,"46-55","56+"))))</f>
        <v>26-35</v>
      </c>
      <c r="AK963" s="11" t="str">
        <f>IF(HR_Data[[#This Row],[MonthlyIncome]]&lt;3000,"Low",IF(HR_Data[[#This Row],[MonthlyIncome]]&lt;6000,"Medium",IF(HR_Data[[#This Row],[MonthlyIncome]]&lt;10000,"High","Very High")))</f>
        <v>Medium</v>
      </c>
      <c r="AL96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63" t="str">
        <f>IF(HR_Data[[#This Row],[TotalWorkingYears]]&lt;=5,"Junior",IF(HR_Data[[#This Row],[TotalWorkingYears]]&lt;=15,"Mid-Level","Senior"))</f>
        <v>Mid-Level</v>
      </c>
      <c r="AN963" s="11" t="str">
        <f>IF(HR_Data[[#This Row],[PerformanceRating]]=3,"Standard","Excellent")</f>
        <v>Standard</v>
      </c>
      <c r="AO963" s="11" t="str">
        <f>IF(HR_Data[[#This Row],[JobSatisfaction]]&lt;=2,"Low","High")</f>
        <v>High</v>
      </c>
      <c r="AP963" s="11" t="str">
        <f>IF(AND(HR_Data[[#This Row],[OverTime]]="Yes",HR_Data[[#This Row],[JobSatisfaction]]&lt;=2,HR_Data[[#This Row],[YearsAtCompany]]&lt;=2),"High Risk","Normal")</f>
        <v>Normal</v>
      </c>
    </row>
    <row r="964" spans="1:42" x14ac:dyDescent="0.25">
      <c r="A964" s="6">
        <v>51</v>
      </c>
      <c r="B964" s="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s="11" t="str">
        <f>IF(HR_Data[[#This Row],[Age]]&lt;=25,"18-25",IF(HR_Data[[#This Row],[Age]]&lt;=35,"26-35",IF(HR_Data[[#This Row],[Age]]&lt;=45,"36-45",IF(HR_Data[[#This Row],[Age]]&lt;=55,"46-55","56+"))))</f>
        <v>46-55</v>
      </c>
      <c r="AK964" s="11" t="str">
        <f>IF(HR_Data[[#This Row],[MonthlyIncome]]&lt;3000,"Low",IF(HR_Data[[#This Row],[MonthlyIncome]]&lt;6000,"Medium",IF(HR_Data[[#This Row],[MonthlyIncome]]&lt;10000,"High","Very High")))</f>
        <v>Very High</v>
      </c>
      <c r="AL964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64" t="str">
        <f>IF(HR_Data[[#This Row],[TotalWorkingYears]]&lt;=5,"Junior",IF(HR_Data[[#This Row],[TotalWorkingYears]]&lt;=15,"Mid-Level","Senior"))</f>
        <v>Senior</v>
      </c>
      <c r="AN964" s="11" t="str">
        <f>IF(HR_Data[[#This Row],[PerformanceRating]]=3,"Standard","Excellent")</f>
        <v>Standard</v>
      </c>
      <c r="AO964" s="11" t="str">
        <f>IF(HR_Data[[#This Row],[JobSatisfaction]]&lt;=2,"Low","High")</f>
        <v>Low</v>
      </c>
      <c r="AP964" s="11" t="str">
        <f>IF(AND(HR_Data[[#This Row],[OverTime]]="Yes",HR_Data[[#This Row],[JobSatisfaction]]&lt;=2,HR_Data[[#This Row],[YearsAtCompany]]&lt;=2),"High Risk","Normal")</f>
        <v>Normal</v>
      </c>
    </row>
    <row r="965" spans="1:42" x14ac:dyDescent="0.25">
      <c r="A965" s="6">
        <v>38</v>
      </c>
      <c r="B965" s="4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s="11" t="str">
        <f>IF(HR_Data[[#This Row],[Age]]&lt;=25,"18-25",IF(HR_Data[[#This Row],[Age]]&lt;=35,"26-35",IF(HR_Data[[#This Row],[Age]]&lt;=45,"36-45",IF(HR_Data[[#This Row],[Age]]&lt;=55,"46-55","56+"))))</f>
        <v>36-45</v>
      </c>
      <c r="AK965" s="11" t="str">
        <f>IF(HR_Data[[#This Row],[MonthlyIncome]]&lt;3000,"Low",IF(HR_Data[[#This Row],[MonthlyIncome]]&lt;6000,"Medium",IF(HR_Data[[#This Row],[MonthlyIncome]]&lt;10000,"High","Very High")))</f>
        <v>High</v>
      </c>
      <c r="AL96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65" t="str">
        <f>IF(HR_Data[[#This Row],[TotalWorkingYears]]&lt;=5,"Junior",IF(HR_Data[[#This Row],[TotalWorkingYears]]&lt;=15,"Mid-Level","Senior"))</f>
        <v>Mid-Level</v>
      </c>
      <c r="AN965" s="11" t="str">
        <f>IF(HR_Data[[#This Row],[PerformanceRating]]=3,"Standard","Excellent")</f>
        <v>Standard</v>
      </c>
      <c r="AO965" s="11" t="str">
        <f>IF(HR_Data[[#This Row],[JobSatisfaction]]&lt;=2,"Low","High")</f>
        <v>Low</v>
      </c>
      <c r="AP965" s="11" t="str">
        <f>IF(AND(HR_Data[[#This Row],[OverTime]]="Yes",HR_Data[[#This Row],[JobSatisfaction]]&lt;=2,HR_Data[[#This Row],[YearsAtCompany]]&lt;=2),"High Risk","Normal")</f>
        <v>Normal</v>
      </c>
    </row>
    <row r="966" spans="1:42" x14ac:dyDescent="0.25">
      <c r="A966" s="6">
        <v>34</v>
      </c>
      <c r="B966" s="4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s="11" t="str">
        <f>IF(HR_Data[[#This Row],[Age]]&lt;=25,"18-25",IF(HR_Data[[#This Row],[Age]]&lt;=35,"26-35",IF(HR_Data[[#This Row],[Age]]&lt;=45,"36-45",IF(HR_Data[[#This Row],[Age]]&lt;=55,"46-55","56+"))))</f>
        <v>26-35</v>
      </c>
      <c r="AK966" s="11" t="str">
        <f>IF(HR_Data[[#This Row],[MonthlyIncome]]&lt;3000,"Low",IF(HR_Data[[#This Row],[MonthlyIncome]]&lt;6000,"Medium",IF(HR_Data[[#This Row],[MonthlyIncome]]&lt;10000,"High","Very High")))</f>
        <v>High</v>
      </c>
      <c r="AL96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66" t="str">
        <f>IF(HR_Data[[#This Row],[TotalWorkingYears]]&lt;=5,"Junior",IF(HR_Data[[#This Row],[TotalWorkingYears]]&lt;=15,"Mid-Level","Senior"))</f>
        <v>Mid-Level</v>
      </c>
      <c r="AN966" s="11" t="str">
        <f>IF(HR_Data[[#This Row],[PerformanceRating]]=3,"Standard","Excellent")</f>
        <v>Standard</v>
      </c>
      <c r="AO966" s="11" t="str">
        <f>IF(HR_Data[[#This Row],[JobSatisfaction]]&lt;=2,"Low","High")</f>
        <v>Low</v>
      </c>
      <c r="AP966" s="11" t="str">
        <f>IF(AND(HR_Data[[#This Row],[OverTime]]="Yes",HR_Data[[#This Row],[JobSatisfaction]]&lt;=2,HR_Data[[#This Row],[YearsAtCompany]]&lt;=2),"High Risk","Normal")</f>
        <v>Normal</v>
      </c>
    </row>
    <row r="967" spans="1:42" x14ac:dyDescent="0.25">
      <c r="A967" s="6">
        <v>25</v>
      </c>
      <c r="B967" s="4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s="11" t="str">
        <f>IF(HR_Data[[#This Row],[Age]]&lt;=25,"18-25",IF(HR_Data[[#This Row],[Age]]&lt;=35,"26-35",IF(HR_Data[[#This Row],[Age]]&lt;=45,"36-45",IF(HR_Data[[#This Row],[Age]]&lt;=55,"46-55","56+"))))</f>
        <v>18-25</v>
      </c>
      <c r="AK967" s="11" t="str">
        <f>IF(HR_Data[[#This Row],[MonthlyIncome]]&lt;3000,"Low",IF(HR_Data[[#This Row],[MonthlyIncome]]&lt;6000,"Medium",IF(HR_Data[[#This Row],[MonthlyIncome]]&lt;10000,"High","Very High")))</f>
        <v>Medium</v>
      </c>
      <c r="AL96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67" t="str">
        <f>IF(HR_Data[[#This Row],[TotalWorkingYears]]&lt;=5,"Junior",IF(HR_Data[[#This Row],[TotalWorkingYears]]&lt;=15,"Mid-Level","Senior"))</f>
        <v>Mid-Level</v>
      </c>
      <c r="AN967" s="11" t="str">
        <f>IF(HR_Data[[#This Row],[PerformanceRating]]=3,"Standard","Excellent")</f>
        <v>Standard</v>
      </c>
      <c r="AO967" s="11" t="str">
        <f>IF(HR_Data[[#This Row],[JobSatisfaction]]&lt;=2,"Low","High")</f>
        <v>High</v>
      </c>
      <c r="AP967" s="11" t="str">
        <f>IF(AND(HR_Data[[#This Row],[OverTime]]="Yes",HR_Data[[#This Row],[JobSatisfaction]]&lt;=2,HR_Data[[#This Row],[YearsAtCompany]]&lt;=2),"High Risk","Normal")</f>
        <v>Normal</v>
      </c>
    </row>
    <row r="968" spans="1:42" x14ac:dyDescent="0.25">
      <c r="A968" s="6">
        <v>58</v>
      </c>
      <c r="B968" s="4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s="11" t="str">
        <f>IF(HR_Data[[#This Row],[Age]]&lt;=25,"18-25",IF(HR_Data[[#This Row],[Age]]&lt;=35,"26-35",IF(HR_Data[[#This Row],[Age]]&lt;=45,"36-45",IF(HR_Data[[#This Row],[Age]]&lt;=55,"46-55","56+"))))</f>
        <v>56+</v>
      </c>
      <c r="AK968" s="11" t="str">
        <f>IF(HR_Data[[#This Row],[MonthlyIncome]]&lt;3000,"Low",IF(HR_Data[[#This Row],[MonthlyIncome]]&lt;6000,"Medium",IF(HR_Data[[#This Row],[MonthlyIncome]]&lt;10000,"High","Very High")))</f>
        <v>Very High</v>
      </c>
      <c r="AL96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68" t="str">
        <f>IF(HR_Data[[#This Row],[TotalWorkingYears]]&lt;=5,"Junior",IF(HR_Data[[#This Row],[TotalWorkingYears]]&lt;=15,"Mid-Level","Senior"))</f>
        <v>Senior</v>
      </c>
      <c r="AN968" s="11" t="str">
        <f>IF(HR_Data[[#This Row],[PerformanceRating]]=3,"Standard","Excellent")</f>
        <v>Standard</v>
      </c>
      <c r="AO968" s="11" t="str">
        <f>IF(HR_Data[[#This Row],[JobSatisfaction]]&lt;=2,"Low","High")</f>
        <v>Low</v>
      </c>
      <c r="AP968" s="11" t="str">
        <f>IF(AND(HR_Data[[#This Row],[OverTime]]="Yes",HR_Data[[#This Row],[JobSatisfaction]]&lt;=2,HR_Data[[#This Row],[YearsAtCompany]]&lt;=2),"High Risk","Normal")</f>
        <v>Normal</v>
      </c>
    </row>
    <row r="969" spans="1:42" x14ac:dyDescent="0.25">
      <c r="A969" s="6">
        <v>40</v>
      </c>
      <c r="B969" s="4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s="11" t="str">
        <f>IF(HR_Data[[#This Row],[Age]]&lt;=25,"18-25",IF(HR_Data[[#This Row],[Age]]&lt;=35,"26-35",IF(HR_Data[[#This Row],[Age]]&lt;=45,"36-45",IF(HR_Data[[#This Row],[Age]]&lt;=55,"46-55","56+"))))</f>
        <v>36-45</v>
      </c>
      <c r="AK969" s="11" t="str">
        <f>IF(HR_Data[[#This Row],[MonthlyIncome]]&lt;3000,"Low",IF(HR_Data[[#This Row],[MonthlyIncome]]&lt;6000,"Medium",IF(HR_Data[[#This Row],[MonthlyIncome]]&lt;10000,"High","Very High")))</f>
        <v>Low</v>
      </c>
      <c r="AL96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69" t="str">
        <f>IF(HR_Data[[#This Row],[TotalWorkingYears]]&lt;=5,"Junior",IF(HR_Data[[#This Row],[TotalWorkingYears]]&lt;=15,"Mid-Level","Senior"))</f>
        <v>Mid-Level</v>
      </c>
      <c r="AN969" s="11" t="str">
        <f>IF(HR_Data[[#This Row],[PerformanceRating]]=3,"Standard","Excellent")</f>
        <v>Excellent</v>
      </c>
      <c r="AO969" s="11" t="str">
        <f>IF(HR_Data[[#This Row],[JobSatisfaction]]&lt;=2,"Low","High")</f>
        <v>Low</v>
      </c>
      <c r="AP969" s="11" t="str">
        <f>IF(AND(HR_Data[[#This Row],[OverTime]]="Yes",HR_Data[[#This Row],[JobSatisfaction]]&lt;=2,HR_Data[[#This Row],[YearsAtCompany]]&lt;=2),"High Risk","Normal")</f>
        <v>Normal</v>
      </c>
    </row>
    <row r="970" spans="1:42" x14ac:dyDescent="0.25">
      <c r="A970" s="6">
        <v>36</v>
      </c>
      <c r="B970" s="4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s="11" t="str">
        <f>IF(HR_Data[[#This Row],[Age]]&lt;=25,"18-25",IF(HR_Data[[#This Row],[Age]]&lt;=35,"26-35",IF(HR_Data[[#This Row],[Age]]&lt;=45,"36-45",IF(HR_Data[[#This Row],[Age]]&lt;=55,"46-55","56+"))))</f>
        <v>36-45</v>
      </c>
      <c r="AK970" s="11" t="str">
        <f>IF(HR_Data[[#This Row],[MonthlyIncome]]&lt;3000,"Low",IF(HR_Data[[#This Row],[MonthlyIncome]]&lt;6000,"Medium",IF(HR_Data[[#This Row],[MonthlyIncome]]&lt;10000,"High","Very High")))</f>
        <v>Medium</v>
      </c>
      <c r="AL97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970" t="str">
        <f>IF(HR_Data[[#This Row],[TotalWorkingYears]]&lt;=5,"Junior",IF(HR_Data[[#This Row],[TotalWorkingYears]]&lt;=15,"Mid-Level","Senior"))</f>
        <v>Senior</v>
      </c>
      <c r="AN970" s="11" t="str">
        <f>IF(HR_Data[[#This Row],[PerformanceRating]]=3,"Standard","Excellent")</f>
        <v>Standard</v>
      </c>
      <c r="AO970" s="11" t="str">
        <f>IF(HR_Data[[#This Row],[JobSatisfaction]]&lt;=2,"Low","High")</f>
        <v>Low</v>
      </c>
      <c r="AP970" s="11" t="str">
        <f>IF(AND(HR_Data[[#This Row],[OverTime]]="Yes",HR_Data[[#This Row],[JobSatisfaction]]&lt;=2,HR_Data[[#This Row],[YearsAtCompany]]&lt;=2),"High Risk","Normal")</f>
        <v>Normal</v>
      </c>
    </row>
    <row r="971" spans="1:42" x14ac:dyDescent="0.25">
      <c r="A971" s="6">
        <v>48</v>
      </c>
      <c r="B971" s="4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s="11" t="str">
        <f>IF(HR_Data[[#This Row],[Age]]&lt;=25,"18-25",IF(HR_Data[[#This Row],[Age]]&lt;=35,"26-35",IF(HR_Data[[#This Row],[Age]]&lt;=45,"36-45",IF(HR_Data[[#This Row],[Age]]&lt;=55,"46-55","56+"))))</f>
        <v>46-55</v>
      </c>
      <c r="AK971" s="11" t="str">
        <f>IF(HR_Data[[#This Row],[MonthlyIncome]]&lt;3000,"Low",IF(HR_Data[[#This Row],[MonthlyIncome]]&lt;6000,"Medium",IF(HR_Data[[#This Row],[MonthlyIncome]]&lt;10000,"High","Very High")))</f>
        <v>High</v>
      </c>
      <c r="AL97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71" t="str">
        <f>IF(HR_Data[[#This Row],[TotalWorkingYears]]&lt;=5,"Junior",IF(HR_Data[[#This Row],[TotalWorkingYears]]&lt;=15,"Mid-Level","Senior"))</f>
        <v>Mid-Level</v>
      </c>
      <c r="AN971" s="11" t="str">
        <f>IF(HR_Data[[#This Row],[PerformanceRating]]=3,"Standard","Excellent")</f>
        <v>Standard</v>
      </c>
      <c r="AO971" s="11" t="str">
        <f>IF(HR_Data[[#This Row],[JobSatisfaction]]&lt;=2,"Low","High")</f>
        <v>High</v>
      </c>
      <c r="AP971" s="11" t="str">
        <f>IF(AND(HR_Data[[#This Row],[OverTime]]="Yes",HR_Data[[#This Row],[JobSatisfaction]]&lt;=2,HR_Data[[#This Row],[YearsAtCompany]]&lt;=2),"High Risk","Normal")</f>
        <v>Normal</v>
      </c>
    </row>
    <row r="972" spans="1:42" x14ac:dyDescent="0.25">
      <c r="A972" s="6">
        <v>27</v>
      </c>
      <c r="B972" s="4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s="11" t="str">
        <f>IF(HR_Data[[#This Row],[Age]]&lt;=25,"18-25",IF(HR_Data[[#This Row],[Age]]&lt;=35,"26-35",IF(HR_Data[[#This Row],[Age]]&lt;=45,"36-45",IF(HR_Data[[#This Row],[Age]]&lt;=55,"46-55","56+"))))</f>
        <v>26-35</v>
      </c>
      <c r="AK972" s="11" t="str">
        <f>IF(HR_Data[[#This Row],[MonthlyIncome]]&lt;3000,"Low",IF(HR_Data[[#This Row],[MonthlyIncome]]&lt;6000,"Medium",IF(HR_Data[[#This Row],[MonthlyIncome]]&lt;10000,"High","Very High")))</f>
        <v>Low</v>
      </c>
      <c r="AL97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72" t="str">
        <f>IF(HR_Data[[#This Row],[TotalWorkingYears]]&lt;=5,"Junior",IF(HR_Data[[#This Row],[TotalWorkingYears]]&lt;=15,"Mid-Level","Senior"))</f>
        <v>Junior</v>
      </c>
      <c r="AN972" s="11" t="str">
        <f>IF(HR_Data[[#This Row],[PerformanceRating]]=3,"Standard","Excellent")</f>
        <v>Standard</v>
      </c>
      <c r="AO972" s="11" t="str">
        <f>IF(HR_Data[[#This Row],[JobSatisfaction]]&lt;=2,"Low","High")</f>
        <v>High</v>
      </c>
      <c r="AP972" s="11" t="str">
        <f>IF(AND(HR_Data[[#This Row],[OverTime]]="Yes",HR_Data[[#This Row],[JobSatisfaction]]&lt;=2,HR_Data[[#This Row],[YearsAtCompany]]&lt;=2),"High Risk","Normal")</f>
        <v>Normal</v>
      </c>
    </row>
    <row r="973" spans="1:42" x14ac:dyDescent="0.25">
      <c r="A973" s="6">
        <v>51</v>
      </c>
      <c r="B973" s="4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s="11" t="str">
        <f>IF(HR_Data[[#This Row],[Age]]&lt;=25,"18-25",IF(HR_Data[[#This Row],[Age]]&lt;=35,"26-35",IF(HR_Data[[#This Row],[Age]]&lt;=45,"36-45",IF(HR_Data[[#This Row],[Age]]&lt;=55,"46-55","56+"))))</f>
        <v>46-55</v>
      </c>
      <c r="AK973" s="11" t="str">
        <f>IF(HR_Data[[#This Row],[MonthlyIncome]]&lt;3000,"Low",IF(HR_Data[[#This Row],[MonthlyIncome]]&lt;6000,"Medium",IF(HR_Data[[#This Row],[MonthlyIncome]]&lt;10000,"High","Very High")))</f>
        <v>Very High</v>
      </c>
      <c r="AL97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73" t="str">
        <f>IF(HR_Data[[#This Row],[TotalWorkingYears]]&lt;=5,"Junior",IF(HR_Data[[#This Row],[TotalWorkingYears]]&lt;=15,"Mid-Level","Senior"))</f>
        <v>Senior</v>
      </c>
      <c r="AN973" s="11" t="str">
        <f>IF(HR_Data[[#This Row],[PerformanceRating]]=3,"Standard","Excellent")</f>
        <v>Standard</v>
      </c>
      <c r="AO973" s="11" t="str">
        <f>IF(HR_Data[[#This Row],[JobSatisfaction]]&lt;=2,"Low","High")</f>
        <v>Low</v>
      </c>
      <c r="AP973" s="11" t="str">
        <f>IF(AND(HR_Data[[#This Row],[OverTime]]="Yes",HR_Data[[#This Row],[JobSatisfaction]]&lt;=2,HR_Data[[#This Row],[YearsAtCompany]]&lt;=2),"High Risk","Normal")</f>
        <v>Normal</v>
      </c>
    </row>
    <row r="974" spans="1:42" x14ac:dyDescent="0.25">
      <c r="A974" s="6">
        <v>18</v>
      </c>
      <c r="B974" s="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s="11" t="str">
        <f>IF(HR_Data[[#This Row],[Age]]&lt;=25,"18-25",IF(HR_Data[[#This Row],[Age]]&lt;=35,"26-35",IF(HR_Data[[#This Row],[Age]]&lt;=45,"36-45",IF(HR_Data[[#This Row],[Age]]&lt;=55,"46-55","56+"))))</f>
        <v>18-25</v>
      </c>
      <c r="AK974" s="11" t="str">
        <f>IF(HR_Data[[#This Row],[MonthlyIncome]]&lt;3000,"Low",IF(HR_Data[[#This Row],[MonthlyIncome]]&lt;6000,"Medium",IF(HR_Data[[#This Row],[MonthlyIncome]]&lt;10000,"High","Very High")))</f>
        <v>Low</v>
      </c>
      <c r="AL97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74" t="str">
        <f>IF(HR_Data[[#This Row],[TotalWorkingYears]]&lt;=5,"Junior",IF(HR_Data[[#This Row],[TotalWorkingYears]]&lt;=15,"Mid-Level","Senior"))</f>
        <v>Junior</v>
      </c>
      <c r="AN974" s="11" t="str">
        <f>IF(HR_Data[[#This Row],[PerformanceRating]]=3,"Standard","Excellent")</f>
        <v>Standard</v>
      </c>
      <c r="AO974" s="11" t="str">
        <f>IF(HR_Data[[#This Row],[JobSatisfaction]]&lt;=2,"Low","High")</f>
        <v>High</v>
      </c>
      <c r="AP974" s="11" t="str">
        <f>IF(AND(HR_Data[[#This Row],[OverTime]]="Yes",HR_Data[[#This Row],[JobSatisfaction]]&lt;=2,HR_Data[[#This Row],[YearsAtCompany]]&lt;=2),"High Risk","Normal")</f>
        <v>Normal</v>
      </c>
    </row>
    <row r="975" spans="1:42" x14ac:dyDescent="0.25">
      <c r="A975" s="6">
        <v>35</v>
      </c>
      <c r="B975" s="4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s="11" t="str">
        <f>IF(HR_Data[[#This Row],[Age]]&lt;=25,"18-25",IF(HR_Data[[#This Row],[Age]]&lt;=35,"26-35",IF(HR_Data[[#This Row],[Age]]&lt;=45,"36-45",IF(HR_Data[[#This Row],[Age]]&lt;=55,"46-55","56+"))))</f>
        <v>26-35</v>
      </c>
      <c r="AK975" s="11" t="str">
        <f>IF(HR_Data[[#This Row],[MonthlyIncome]]&lt;3000,"Low",IF(HR_Data[[#This Row],[MonthlyIncome]]&lt;6000,"Medium",IF(HR_Data[[#This Row],[MonthlyIncome]]&lt;10000,"High","Very High")))</f>
        <v>Medium</v>
      </c>
      <c r="AL97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75" t="str">
        <f>IF(HR_Data[[#This Row],[TotalWorkingYears]]&lt;=5,"Junior",IF(HR_Data[[#This Row],[TotalWorkingYears]]&lt;=15,"Mid-Level","Senior"))</f>
        <v>Mid-Level</v>
      </c>
      <c r="AN975" s="11" t="str">
        <f>IF(HR_Data[[#This Row],[PerformanceRating]]=3,"Standard","Excellent")</f>
        <v>Standard</v>
      </c>
      <c r="AO975" s="11" t="str">
        <f>IF(HR_Data[[#This Row],[JobSatisfaction]]&lt;=2,"Low","High")</f>
        <v>High</v>
      </c>
      <c r="AP975" s="11" t="str">
        <f>IF(AND(HR_Data[[#This Row],[OverTime]]="Yes",HR_Data[[#This Row],[JobSatisfaction]]&lt;=2,HR_Data[[#This Row],[YearsAtCompany]]&lt;=2),"High Risk","Normal")</f>
        <v>Normal</v>
      </c>
    </row>
    <row r="976" spans="1:42" x14ac:dyDescent="0.25">
      <c r="A976" s="6">
        <v>27</v>
      </c>
      <c r="B976" s="4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s="11" t="str">
        <f>IF(HR_Data[[#This Row],[Age]]&lt;=25,"18-25",IF(HR_Data[[#This Row],[Age]]&lt;=35,"26-35",IF(HR_Data[[#This Row],[Age]]&lt;=45,"36-45",IF(HR_Data[[#This Row],[Age]]&lt;=55,"46-55","56+"))))</f>
        <v>26-35</v>
      </c>
      <c r="AK976" s="11" t="str">
        <f>IF(HR_Data[[#This Row],[MonthlyIncome]]&lt;3000,"Low",IF(HR_Data[[#This Row],[MonthlyIncome]]&lt;6000,"Medium",IF(HR_Data[[#This Row],[MonthlyIncome]]&lt;10000,"High","Very High")))</f>
        <v>Medium</v>
      </c>
      <c r="AL97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76" t="str">
        <f>IF(HR_Data[[#This Row],[TotalWorkingYears]]&lt;=5,"Junior",IF(HR_Data[[#This Row],[TotalWorkingYears]]&lt;=15,"Mid-Level","Senior"))</f>
        <v>Mid-Level</v>
      </c>
      <c r="AN976" s="11" t="str">
        <f>IF(HR_Data[[#This Row],[PerformanceRating]]=3,"Standard","Excellent")</f>
        <v>Excellent</v>
      </c>
      <c r="AO976" s="11" t="str">
        <f>IF(HR_Data[[#This Row],[JobSatisfaction]]&lt;=2,"Low","High")</f>
        <v>High</v>
      </c>
      <c r="AP976" s="11" t="str">
        <f>IF(AND(HR_Data[[#This Row],[OverTime]]="Yes",HR_Data[[#This Row],[JobSatisfaction]]&lt;=2,HR_Data[[#This Row],[YearsAtCompany]]&lt;=2),"High Risk","Normal")</f>
        <v>Normal</v>
      </c>
    </row>
    <row r="977" spans="1:42" x14ac:dyDescent="0.25">
      <c r="A977" s="6">
        <v>55</v>
      </c>
      <c r="B977" s="4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s="11" t="str">
        <f>IF(HR_Data[[#This Row],[Age]]&lt;=25,"18-25",IF(HR_Data[[#This Row],[Age]]&lt;=35,"26-35",IF(HR_Data[[#This Row],[Age]]&lt;=45,"36-45",IF(HR_Data[[#This Row],[Age]]&lt;=55,"46-55","56+"))))</f>
        <v>46-55</v>
      </c>
      <c r="AK977" s="11" t="str">
        <f>IF(HR_Data[[#This Row],[MonthlyIncome]]&lt;3000,"Low",IF(HR_Data[[#This Row],[MonthlyIncome]]&lt;6000,"Medium",IF(HR_Data[[#This Row],[MonthlyIncome]]&lt;10000,"High","Very High")))</f>
        <v>Very High</v>
      </c>
      <c r="AL97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77" t="str">
        <f>IF(HR_Data[[#This Row],[TotalWorkingYears]]&lt;=5,"Junior",IF(HR_Data[[#This Row],[TotalWorkingYears]]&lt;=15,"Mid-Level","Senior"))</f>
        <v>Senior</v>
      </c>
      <c r="AN977" s="11" t="str">
        <f>IF(HR_Data[[#This Row],[PerformanceRating]]=3,"Standard","Excellent")</f>
        <v>Standard</v>
      </c>
      <c r="AO977" s="11" t="str">
        <f>IF(HR_Data[[#This Row],[JobSatisfaction]]&lt;=2,"Low","High")</f>
        <v>High</v>
      </c>
      <c r="AP977" s="11" t="str">
        <f>IF(AND(HR_Data[[#This Row],[OverTime]]="Yes",HR_Data[[#This Row],[JobSatisfaction]]&lt;=2,HR_Data[[#This Row],[YearsAtCompany]]&lt;=2),"High Risk","Normal")</f>
        <v>Normal</v>
      </c>
    </row>
    <row r="978" spans="1:42" x14ac:dyDescent="0.25">
      <c r="A978" s="6">
        <v>56</v>
      </c>
      <c r="B978" s="4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s="11" t="str">
        <f>IF(HR_Data[[#This Row],[Age]]&lt;=25,"18-25",IF(HR_Data[[#This Row],[Age]]&lt;=35,"26-35",IF(HR_Data[[#This Row],[Age]]&lt;=45,"36-45",IF(HR_Data[[#This Row],[Age]]&lt;=55,"46-55","56+"))))</f>
        <v>56+</v>
      </c>
      <c r="AK978" s="11" t="str">
        <f>IF(HR_Data[[#This Row],[MonthlyIncome]]&lt;3000,"Low",IF(HR_Data[[#This Row],[MonthlyIncome]]&lt;6000,"Medium",IF(HR_Data[[#This Row],[MonthlyIncome]]&lt;10000,"High","Very High")))</f>
        <v>Very High</v>
      </c>
      <c r="AL97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78" t="str">
        <f>IF(HR_Data[[#This Row],[TotalWorkingYears]]&lt;=5,"Junior",IF(HR_Data[[#This Row],[TotalWorkingYears]]&lt;=15,"Mid-Level","Senior"))</f>
        <v>Senior</v>
      </c>
      <c r="AN978" s="11" t="str">
        <f>IF(HR_Data[[#This Row],[PerformanceRating]]=3,"Standard","Excellent")</f>
        <v>Standard</v>
      </c>
      <c r="AO978" s="11" t="str">
        <f>IF(HR_Data[[#This Row],[JobSatisfaction]]&lt;=2,"Low","High")</f>
        <v>Low</v>
      </c>
      <c r="AP978" s="11" t="str">
        <f>IF(AND(HR_Data[[#This Row],[OverTime]]="Yes",HR_Data[[#This Row],[JobSatisfaction]]&lt;=2,HR_Data[[#This Row],[YearsAtCompany]]&lt;=2),"High Risk","Normal")</f>
        <v>Normal</v>
      </c>
    </row>
    <row r="979" spans="1:42" x14ac:dyDescent="0.25">
      <c r="A979" s="6">
        <v>34</v>
      </c>
      <c r="B979" s="4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s="11" t="str">
        <f>IF(HR_Data[[#This Row],[Age]]&lt;=25,"18-25",IF(HR_Data[[#This Row],[Age]]&lt;=35,"26-35",IF(HR_Data[[#This Row],[Age]]&lt;=45,"36-45",IF(HR_Data[[#This Row],[Age]]&lt;=55,"46-55","56+"))))</f>
        <v>26-35</v>
      </c>
      <c r="AK979" s="11" t="str">
        <f>IF(HR_Data[[#This Row],[MonthlyIncome]]&lt;3000,"Low",IF(HR_Data[[#This Row],[MonthlyIncome]]&lt;6000,"Medium",IF(HR_Data[[#This Row],[MonthlyIncome]]&lt;10000,"High","Very High")))</f>
        <v>Low</v>
      </c>
      <c r="AL97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79" t="str">
        <f>IF(HR_Data[[#This Row],[TotalWorkingYears]]&lt;=5,"Junior",IF(HR_Data[[#This Row],[TotalWorkingYears]]&lt;=15,"Mid-Level","Senior"))</f>
        <v>Junior</v>
      </c>
      <c r="AN979" s="11" t="str">
        <f>IF(HR_Data[[#This Row],[PerformanceRating]]=3,"Standard","Excellent")</f>
        <v>Excellent</v>
      </c>
      <c r="AO979" s="11" t="str">
        <f>IF(HR_Data[[#This Row],[JobSatisfaction]]&lt;=2,"Low","High")</f>
        <v>High</v>
      </c>
      <c r="AP979" s="11" t="str">
        <f>IF(AND(HR_Data[[#This Row],[OverTime]]="Yes",HR_Data[[#This Row],[JobSatisfaction]]&lt;=2,HR_Data[[#This Row],[YearsAtCompany]]&lt;=2),"High Risk","Normal")</f>
        <v>Normal</v>
      </c>
    </row>
    <row r="980" spans="1:42" x14ac:dyDescent="0.25">
      <c r="A980" s="6">
        <v>40</v>
      </c>
      <c r="B980" s="4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s="11" t="str">
        <f>IF(HR_Data[[#This Row],[Age]]&lt;=25,"18-25",IF(HR_Data[[#This Row],[Age]]&lt;=35,"26-35",IF(HR_Data[[#This Row],[Age]]&lt;=45,"36-45",IF(HR_Data[[#This Row],[Age]]&lt;=55,"46-55","56+"))))</f>
        <v>36-45</v>
      </c>
      <c r="AK980" s="11" t="str">
        <f>IF(HR_Data[[#This Row],[MonthlyIncome]]&lt;3000,"Low",IF(HR_Data[[#This Row],[MonthlyIncome]]&lt;6000,"Medium",IF(HR_Data[[#This Row],[MonthlyIncome]]&lt;10000,"High","Very High")))</f>
        <v>High</v>
      </c>
      <c r="AL98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980" t="str">
        <f>IF(HR_Data[[#This Row],[TotalWorkingYears]]&lt;=5,"Junior",IF(HR_Data[[#This Row],[TotalWorkingYears]]&lt;=15,"Mid-Level","Senior"))</f>
        <v>Mid-Level</v>
      </c>
      <c r="AN980" s="11" t="str">
        <f>IF(HR_Data[[#This Row],[PerformanceRating]]=3,"Standard","Excellent")</f>
        <v>Excellent</v>
      </c>
      <c r="AO980" s="11" t="str">
        <f>IF(HR_Data[[#This Row],[JobSatisfaction]]&lt;=2,"Low","High")</f>
        <v>High</v>
      </c>
      <c r="AP980" s="11" t="str">
        <f>IF(AND(HR_Data[[#This Row],[OverTime]]="Yes",HR_Data[[#This Row],[JobSatisfaction]]&lt;=2,HR_Data[[#This Row],[YearsAtCompany]]&lt;=2),"High Risk","Normal")</f>
        <v>Normal</v>
      </c>
    </row>
    <row r="981" spans="1:42" x14ac:dyDescent="0.25">
      <c r="A981" s="6">
        <v>34</v>
      </c>
      <c r="B981" s="4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s="11" t="str">
        <f>IF(HR_Data[[#This Row],[Age]]&lt;=25,"18-25",IF(HR_Data[[#This Row],[Age]]&lt;=35,"26-35",IF(HR_Data[[#This Row],[Age]]&lt;=45,"36-45",IF(HR_Data[[#This Row],[Age]]&lt;=55,"46-55","56+"))))</f>
        <v>26-35</v>
      </c>
      <c r="AK981" s="11" t="str">
        <f>IF(HR_Data[[#This Row],[MonthlyIncome]]&lt;3000,"Low",IF(HR_Data[[#This Row],[MonthlyIncome]]&lt;6000,"Medium",IF(HR_Data[[#This Row],[MonthlyIncome]]&lt;10000,"High","Very High")))</f>
        <v>Medium</v>
      </c>
      <c r="AL98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81" t="str">
        <f>IF(HR_Data[[#This Row],[TotalWorkingYears]]&lt;=5,"Junior",IF(HR_Data[[#This Row],[TotalWorkingYears]]&lt;=15,"Mid-Level","Senior"))</f>
        <v>Mid-Level</v>
      </c>
      <c r="AN981" s="11" t="str">
        <f>IF(HR_Data[[#This Row],[PerformanceRating]]=3,"Standard","Excellent")</f>
        <v>Standard</v>
      </c>
      <c r="AO981" s="11" t="str">
        <f>IF(HR_Data[[#This Row],[JobSatisfaction]]&lt;=2,"Low","High")</f>
        <v>High</v>
      </c>
      <c r="AP981" s="11" t="str">
        <f>IF(AND(HR_Data[[#This Row],[OverTime]]="Yes",HR_Data[[#This Row],[JobSatisfaction]]&lt;=2,HR_Data[[#This Row],[YearsAtCompany]]&lt;=2),"High Risk","Normal")</f>
        <v>Normal</v>
      </c>
    </row>
    <row r="982" spans="1:42" x14ac:dyDescent="0.25">
      <c r="A982" s="6">
        <v>31</v>
      </c>
      <c r="B982" s="4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s="11" t="str">
        <f>IF(HR_Data[[#This Row],[Age]]&lt;=25,"18-25",IF(HR_Data[[#This Row],[Age]]&lt;=35,"26-35",IF(HR_Data[[#This Row],[Age]]&lt;=45,"36-45",IF(HR_Data[[#This Row],[Age]]&lt;=55,"46-55","56+"))))</f>
        <v>26-35</v>
      </c>
      <c r="AK982" s="11" t="str">
        <f>IF(HR_Data[[#This Row],[MonthlyIncome]]&lt;3000,"Low",IF(HR_Data[[#This Row],[MonthlyIncome]]&lt;6000,"Medium",IF(HR_Data[[#This Row],[MonthlyIncome]]&lt;10000,"High","Very High")))</f>
        <v>Low</v>
      </c>
      <c r="AL98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982" t="str">
        <f>IF(HR_Data[[#This Row],[TotalWorkingYears]]&lt;=5,"Junior",IF(HR_Data[[#This Row],[TotalWorkingYears]]&lt;=15,"Mid-Level","Senior"))</f>
        <v>Junior</v>
      </c>
      <c r="AN982" s="11" t="str">
        <f>IF(HR_Data[[#This Row],[PerformanceRating]]=3,"Standard","Excellent")</f>
        <v>Standard</v>
      </c>
      <c r="AO982" s="11" t="str">
        <f>IF(HR_Data[[#This Row],[JobSatisfaction]]&lt;=2,"Low","High")</f>
        <v>High</v>
      </c>
      <c r="AP982" s="11" t="str">
        <f>IF(AND(HR_Data[[#This Row],[OverTime]]="Yes",HR_Data[[#This Row],[JobSatisfaction]]&lt;=2,HR_Data[[#This Row],[YearsAtCompany]]&lt;=2),"High Risk","Normal")</f>
        <v>Normal</v>
      </c>
    </row>
    <row r="983" spans="1:42" x14ac:dyDescent="0.25">
      <c r="A983" s="6">
        <v>35</v>
      </c>
      <c r="B983" s="4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s="11" t="str">
        <f>IF(HR_Data[[#This Row],[Age]]&lt;=25,"18-25",IF(HR_Data[[#This Row],[Age]]&lt;=35,"26-35",IF(HR_Data[[#This Row],[Age]]&lt;=45,"36-45",IF(HR_Data[[#This Row],[Age]]&lt;=55,"46-55","56+"))))</f>
        <v>26-35</v>
      </c>
      <c r="AK983" s="11" t="str">
        <f>IF(HR_Data[[#This Row],[MonthlyIncome]]&lt;3000,"Low",IF(HR_Data[[#This Row],[MonthlyIncome]]&lt;6000,"Medium",IF(HR_Data[[#This Row],[MonthlyIncome]]&lt;10000,"High","Very High")))</f>
        <v>Medium</v>
      </c>
      <c r="AL98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83" t="str">
        <f>IF(HR_Data[[#This Row],[TotalWorkingYears]]&lt;=5,"Junior",IF(HR_Data[[#This Row],[TotalWorkingYears]]&lt;=15,"Mid-Level","Senior"))</f>
        <v>Junior</v>
      </c>
      <c r="AN983" s="11" t="str">
        <f>IF(HR_Data[[#This Row],[PerformanceRating]]=3,"Standard","Excellent")</f>
        <v>Standard</v>
      </c>
      <c r="AO983" s="11" t="str">
        <f>IF(HR_Data[[#This Row],[JobSatisfaction]]&lt;=2,"Low","High")</f>
        <v>High</v>
      </c>
      <c r="AP983" s="11" t="str">
        <f>IF(AND(HR_Data[[#This Row],[OverTime]]="Yes",HR_Data[[#This Row],[JobSatisfaction]]&lt;=2,HR_Data[[#This Row],[YearsAtCompany]]&lt;=2),"High Risk","Normal")</f>
        <v>Normal</v>
      </c>
    </row>
    <row r="984" spans="1:42" x14ac:dyDescent="0.25">
      <c r="A984" s="6">
        <v>38</v>
      </c>
      <c r="B984" s="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s="11" t="str">
        <f>IF(HR_Data[[#This Row],[Age]]&lt;=25,"18-25",IF(HR_Data[[#This Row],[Age]]&lt;=35,"26-35",IF(HR_Data[[#This Row],[Age]]&lt;=45,"36-45",IF(HR_Data[[#This Row],[Age]]&lt;=55,"46-55","56+"))))</f>
        <v>36-45</v>
      </c>
      <c r="AK984" s="11" t="str">
        <f>IF(HR_Data[[#This Row],[MonthlyIncome]]&lt;3000,"Low",IF(HR_Data[[#This Row],[MonthlyIncome]]&lt;6000,"Medium",IF(HR_Data[[#This Row],[MonthlyIncome]]&lt;10000,"High","Very High")))</f>
        <v>Low</v>
      </c>
      <c r="AL98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84" t="str">
        <f>IF(HR_Data[[#This Row],[TotalWorkingYears]]&lt;=5,"Junior",IF(HR_Data[[#This Row],[TotalWorkingYears]]&lt;=15,"Mid-Level","Senior"))</f>
        <v>Junior</v>
      </c>
      <c r="AN984" s="11" t="str">
        <f>IF(HR_Data[[#This Row],[PerformanceRating]]=3,"Standard","Excellent")</f>
        <v>Standard</v>
      </c>
      <c r="AO984" s="11" t="str">
        <f>IF(HR_Data[[#This Row],[JobSatisfaction]]&lt;=2,"Low","High")</f>
        <v>High</v>
      </c>
      <c r="AP984" s="11" t="str">
        <f>IF(AND(HR_Data[[#This Row],[OverTime]]="Yes",HR_Data[[#This Row],[JobSatisfaction]]&lt;=2,HR_Data[[#This Row],[YearsAtCompany]]&lt;=2),"High Risk","Normal")</f>
        <v>Normal</v>
      </c>
    </row>
    <row r="985" spans="1:42" x14ac:dyDescent="0.25">
      <c r="A985" s="6">
        <v>34</v>
      </c>
      <c r="B985" s="4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s="11" t="str">
        <f>IF(HR_Data[[#This Row],[Age]]&lt;=25,"18-25",IF(HR_Data[[#This Row],[Age]]&lt;=35,"26-35",IF(HR_Data[[#This Row],[Age]]&lt;=45,"36-45",IF(HR_Data[[#This Row],[Age]]&lt;=55,"46-55","56+"))))</f>
        <v>26-35</v>
      </c>
      <c r="AK985" s="11" t="str">
        <f>IF(HR_Data[[#This Row],[MonthlyIncome]]&lt;3000,"Low",IF(HR_Data[[#This Row],[MonthlyIncome]]&lt;6000,"Medium",IF(HR_Data[[#This Row],[MonthlyIncome]]&lt;10000,"High","Very High")))</f>
        <v>High</v>
      </c>
      <c r="AL985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985" t="str">
        <f>IF(HR_Data[[#This Row],[TotalWorkingYears]]&lt;=5,"Junior",IF(HR_Data[[#This Row],[TotalWorkingYears]]&lt;=15,"Mid-Level","Senior"))</f>
        <v>Mid-Level</v>
      </c>
      <c r="AN985" s="11" t="str">
        <f>IF(HR_Data[[#This Row],[PerformanceRating]]=3,"Standard","Excellent")</f>
        <v>Standard</v>
      </c>
      <c r="AO985" s="11" t="str">
        <f>IF(HR_Data[[#This Row],[JobSatisfaction]]&lt;=2,"Low","High")</f>
        <v>High</v>
      </c>
      <c r="AP985" s="11" t="str">
        <f>IF(AND(HR_Data[[#This Row],[OverTime]]="Yes",HR_Data[[#This Row],[JobSatisfaction]]&lt;=2,HR_Data[[#This Row],[YearsAtCompany]]&lt;=2),"High Risk","Normal")</f>
        <v>Normal</v>
      </c>
    </row>
    <row r="986" spans="1:42" x14ac:dyDescent="0.25">
      <c r="A986" s="6">
        <v>28</v>
      </c>
      <c r="B986" s="4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s="11" t="str">
        <f>IF(HR_Data[[#This Row],[Age]]&lt;=25,"18-25",IF(HR_Data[[#This Row],[Age]]&lt;=35,"26-35",IF(HR_Data[[#This Row],[Age]]&lt;=45,"36-45",IF(HR_Data[[#This Row],[Age]]&lt;=55,"46-55","56+"))))</f>
        <v>26-35</v>
      </c>
      <c r="AK986" s="11" t="str">
        <f>IF(HR_Data[[#This Row],[MonthlyIncome]]&lt;3000,"Low",IF(HR_Data[[#This Row],[MonthlyIncome]]&lt;6000,"Medium",IF(HR_Data[[#This Row],[MonthlyIncome]]&lt;10000,"High","Very High")))</f>
        <v>Medium</v>
      </c>
      <c r="AL98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86" t="str">
        <f>IF(HR_Data[[#This Row],[TotalWorkingYears]]&lt;=5,"Junior",IF(HR_Data[[#This Row],[TotalWorkingYears]]&lt;=15,"Mid-Level","Senior"))</f>
        <v>Junior</v>
      </c>
      <c r="AN986" s="11" t="str">
        <f>IF(HR_Data[[#This Row],[PerformanceRating]]=3,"Standard","Excellent")</f>
        <v>Standard</v>
      </c>
      <c r="AO986" s="11" t="str">
        <f>IF(HR_Data[[#This Row],[JobSatisfaction]]&lt;=2,"Low","High")</f>
        <v>Low</v>
      </c>
      <c r="AP986" s="11" t="str">
        <f>IF(AND(HR_Data[[#This Row],[OverTime]]="Yes",HR_Data[[#This Row],[JobSatisfaction]]&lt;=2,HR_Data[[#This Row],[YearsAtCompany]]&lt;=2),"High Risk","Normal")</f>
        <v>Normal</v>
      </c>
    </row>
    <row r="987" spans="1:42" x14ac:dyDescent="0.25">
      <c r="A987" s="6">
        <v>31</v>
      </c>
      <c r="B987" s="4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s="11" t="str">
        <f>IF(HR_Data[[#This Row],[Age]]&lt;=25,"18-25",IF(HR_Data[[#This Row],[Age]]&lt;=35,"26-35",IF(HR_Data[[#This Row],[Age]]&lt;=45,"36-45",IF(HR_Data[[#This Row],[Age]]&lt;=55,"46-55","56+"))))</f>
        <v>26-35</v>
      </c>
      <c r="AK987" s="11" t="str">
        <f>IF(HR_Data[[#This Row],[MonthlyIncome]]&lt;3000,"Low",IF(HR_Data[[#This Row],[MonthlyIncome]]&lt;6000,"Medium",IF(HR_Data[[#This Row],[MonthlyIncome]]&lt;10000,"High","Very High")))</f>
        <v>High</v>
      </c>
      <c r="AL98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87" t="str">
        <f>IF(HR_Data[[#This Row],[TotalWorkingYears]]&lt;=5,"Junior",IF(HR_Data[[#This Row],[TotalWorkingYears]]&lt;=15,"Mid-Level","Senior"))</f>
        <v>Mid-Level</v>
      </c>
      <c r="AN987" s="11" t="str">
        <f>IF(HR_Data[[#This Row],[PerformanceRating]]=3,"Standard","Excellent")</f>
        <v>Standard</v>
      </c>
      <c r="AO987" s="11" t="str">
        <f>IF(HR_Data[[#This Row],[JobSatisfaction]]&lt;=2,"Low","High")</f>
        <v>High</v>
      </c>
      <c r="AP987" s="11" t="str">
        <f>IF(AND(HR_Data[[#This Row],[OverTime]]="Yes",HR_Data[[#This Row],[JobSatisfaction]]&lt;=2,HR_Data[[#This Row],[YearsAtCompany]]&lt;=2),"High Risk","Normal")</f>
        <v>Normal</v>
      </c>
    </row>
    <row r="988" spans="1:42" x14ac:dyDescent="0.25">
      <c r="A988" s="6">
        <v>39</v>
      </c>
      <c r="B988" s="4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s="11" t="str">
        <f>IF(HR_Data[[#This Row],[Age]]&lt;=25,"18-25",IF(HR_Data[[#This Row],[Age]]&lt;=35,"26-35",IF(HR_Data[[#This Row],[Age]]&lt;=45,"36-45",IF(HR_Data[[#This Row],[Age]]&lt;=55,"46-55","56+"))))</f>
        <v>36-45</v>
      </c>
      <c r="AK988" s="11" t="str">
        <f>IF(HR_Data[[#This Row],[MonthlyIncome]]&lt;3000,"Low",IF(HR_Data[[#This Row],[MonthlyIncome]]&lt;6000,"Medium",IF(HR_Data[[#This Row],[MonthlyIncome]]&lt;10000,"High","Very High")))</f>
        <v>High</v>
      </c>
      <c r="AL98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88" t="str">
        <f>IF(HR_Data[[#This Row],[TotalWorkingYears]]&lt;=5,"Junior",IF(HR_Data[[#This Row],[TotalWorkingYears]]&lt;=15,"Mid-Level","Senior"))</f>
        <v>Mid-Level</v>
      </c>
      <c r="AN988" s="11" t="str">
        <f>IF(HR_Data[[#This Row],[PerformanceRating]]=3,"Standard","Excellent")</f>
        <v>Standard</v>
      </c>
      <c r="AO988" s="11" t="str">
        <f>IF(HR_Data[[#This Row],[JobSatisfaction]]&lt;=2,"Low","High")</f>
        <v>High</v>
      </c>
      <c r="AP988" s="11" t="str">
        <f>IF(AND(HR_Data[[#This Row],[OverTime]]="Yes",HR_Data[[#This Row],[JobSatisfaction]]&lt;=2,HR_Data[[#This Row],[YearsAtCompany]]&lt;=2),"High Risk","Normal")</f>
        <v>Normal</v>
      </c>
    </row>
    <row r="989" spans="1:42" x14ac:dyDescent="0.25">
      <c r="A989" s="6">
        <v>51</v>
      </c>
      <c r="B989" s="4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s="11" t="str">
        <f>IF(HR_Data[[#This Row],[Age]]&lt;=25,"18-25",IF(HR_Data[[#This Row],[Age]]&lt;=35,"26-35",IF(HR_Data[[#This Row],[Age]]&lt;=45,"36-45",IF(HR_Data[[#This Row],[Age]]&lt;=55,"46-55","56+"))))</f>
        <v>46-55</v>
      </c>
      <c r="AK989" s="11" t="str">
        <f>IF(HR_Data[[#This Row],[MonthlyIncome]]&lt;3000,"Low",IF(HR_Data[[#This Row],[MonthlyIncome]]&lt;6000,"Medium",IF(HR_Data[[#This Row],[MonthlyIncome]]&lt;10000,"High","Very High")))</f>
        <v>Very High</v>
      </c>
      <c r="AL98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89" t="str">
        <f>IF(HR_Data[[#This Row],[TotalWorkingYears]]&lt;=5,"Junior",IF(HR_Data[[#This Row],[TotalWorkingYears]]&lt;=15,"Mid-Level","Senior"))</f>
        <v>Mid-Level</v>
      </c>
      <c r="AN989" s="11" t="str">
        <f>IF(HR_Data[[#This Row],[PerformanceRating]]=3,"Standard","Excellent")</f>
        <v>Standard</v>
      </c>
      <c r="AO989" s="11" t="str">
        <f>IF(HR_Data[[#This Row],[JobSatisfaction]]&lt;=2,"Low","High")</f>
        <v>Low</v>
      </c>
      <c r="AP989" s="11" t="str">
        <f>IF(AND(HR_Data[[#This Row],[OverTime]]="Yes",HR_Data[[#This Row],[JobSatisfaction]]&lt;=2,HR_Data[[#This Row],[YearsAtCompany]]&lt;=2),"High Risk","Normal")</f>
        <v>Normal</v>
      </c>
    </row>
    <row r="990" spans="1:42" x14ac:dyDescent="0.25">
      <c r="A990" s="6">
        <v>41</v>
      </c>
      <c r="B990" s="4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s="11" t="str">
        <f>IF(HR_Data[[#This Row],[Age]]&lt;=25,"18-25",IF(HR_Data[[#This Row],[Age]]&lt;=35,"26-35",IF(HR_Data[[#This Row],[Age]]&lt;=45,"36-45",IF(HR_Data[[#This Row],[Age]]&lt;=55,"46-55","56+"))))</f>
        <v>36-45</v>
      </c>
      <c r="AK990" s="11" t="str">
        <f>IF(HR_Data[[#This Row],[MonthlyIncome]]&lt;3000,"Low",IF(HR_Data[[#This Row],[MonthlyIncome]]&lt;6000,"Medium",IF(HR_Data[[#This Row],[MonthlyIncome]]&lt;10000,"High","Very High")))</f>
        <v>Medium</v>
      </c>
      <c r="AL99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90" t="str">
        <f>IF(HR_Data[[#This Row],[TotalWorkingYears]]&lt;=5,"Junior",IF(HR_Data[[#This Row],[TotalWorkingYears]]&lt;=15,"Mid-Level","Senior"))</f>
        <v>Mid-Level</v>
      </c>
      <c r="AN990" s="11" t="str">
        <f>IF(HR_Data[[#This Row],[PerformanceRating]]=3,"Standard","Excellent")</f>
        <v>Standard</v>
      </c>
      <c r="AO990" s="11" t="str">
        <f>IF(HR_Data[[#This Row],[JobSatisfaction]]&lt;=2,"Low","High")</f>
        <v>High</v>
      </c>
      <c r="AP990" s="11" t="str">
        <f>IF(AND(HR_Data[[#This Row],[OverTime]]="Yes",HR_Data[[#This Row],[JobSatisfaction]]&lt;=2,HR_Data[[#This Row],[YearsAtCompany]]&lt;=2),"High Risk","Normal")</f>
        <v>Normal</v>
      </c>
    </row>
    <row r="991" spans="1:42" x14ac:dyDescent="0.25">
      <c r="A991" s="6">
        <v>37</v>
      </c>
      <c r="B991" s="4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s="11" t="str">
        <f>IF(HR_Data[[#This Row],[Age]]&lt;=25,"18-25",IF(HR_Data[[#This Row],[Age]]&lt;=35,"26-35",IF(HR_Data[[#This Row],[Age]]&lt;=45,"36-45",IF(HR_Data[[#This Row],[Age]]&lt;=55,"46-55","56+"))))</f>
        <v>36-45</v>
      </c>
      <c r="AK991" s="11" t="str">
        <f>IF(HR_Data[[#This Row],[MonthlyIncome]]&lt;3000,"Low",IF(HR_Data[[#This Row],[MonthlyIncome]]&lt;6000,"Medium",IF(HR_Data[[#This Row],[MonthlyIncome]]&lt;10000,"High","Very High")))</f>
        <v>Low</v>
      </c>
      <c r="AL99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91" t="str">
        <f>IF(HR_Data[[#This Row],[TotalWorkingYears]]&lt;=5,"Junior",IF(HR_Data[[#This Row],[TotalWorkingYears]]&lt;=15,"Mid-Level","Senior"))</f>
        <v>Mid-Level</v>
      </c>
      <c r="AN991" s="11" t="str">
        <f>IF(HR_Data[[#This Row],[PerformanceRating]]=3,"Standard","Excellent")</f>
        <v>Standard</v>
      </c>
      <c r="AO991" s="11" t="str">
        <f>IF(HR_Data[[#This Row],[JobSatisfaction]]&lt;=2,"Low","High")</f>
        <v>High</v>
      </c>
      <c r="AP991" s="11" t="str">
        <f>IF(AND(HR_Data[[#This Row],[OverTime]]="Yes",HR_Data[[#This Row],[JobSatisfaction]]&lt;=2,HR_Data[[#This Row],[YearsAtCompany]]&lt;=2),"High Risk","Normal")</f>
        <v>Normal</v>
      </c>
    </row>
    <row r="992" spans="1:42" x14ac:dyDescent="0.25">
      <c r="A992" s="6">
        <v>33</v>
      </c>
      <c r="B992" s="4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s="11" t="str">
        <f>IF(HR_Data[[#This Row],[Age]]&lt;=25,"18-25",IF(HR_Data[[#This Row],[Age]]&lt;=35,"26-35",IF(HR_Data[[#This Row],[Age]]&lt;=45,"36-45",IF(HR_Data[[#This Row],[Age]]&lt;=55,"46-55","56+"))))</f>
        <v>26-35</v>
      </c>
      <c r="AK992" s="11" t="str">
        <f>IF(HR_Data[[#This Row],[MonthlyIncome]]&lt;3000,"Low",IF(HR_Data[[#This Row],[MonthlyIncome]]&lt;6000,"Medium",IF(HR_Data[[#This Row],[MonthlyIncome]]&lt;10000,"High","Very High")))</f>
        <v>High</v>
      </c>
      <c r="AL99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92" t="str">
        <f>IF(HR_Data[[#This Row],[TotalWorkingYears]]&lt;=5,"Junior",IF(HR_Data[[#This Row],[TotalWorkingYears]]&lt;=15,"Mid-Level","Senior"))</f>
        <v>Mid-Level</v>
      </c>
      <c r="AN992" s="11" t="str">
        <f>IF(HR_Data[[#This Row],[PerformanceRating]]=3,"Standard","Excellent")</f>
        <v>Standard</v>
      </c>
      <c r="AO992" s="11" t="str">
        <f>IF(HR_Data[[#This Row],[JobSatisfaction]]&lt;=2,"Low","High")</f>
        <v>High</v>
      </c>
      <c r="AP992" s="11" t="str">
        <f>IF(AND(HR_Data[[#This Row],[OverTime]]="Yes",HR_Data[[#This Row],[JobSatisfaction]]&lt;=2,HR_Data[[#This Row],[YearsAtCompany]]&lt;=2),"High Risk","Normal")</f>
        <v>Normal</v>
      </c>
    </row>
    <row r="993" spans="1:42" x14ac:dyDescent="0.25">
      <c r="A993" s="6">
        <v>32</v>
      </c>
      <c r="B993" s="4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s="11" t="str">
        <f>IF(HR_Data[[#This Row],[Age]]&lt;=25,"18-25",IF(HR_Data[[#This Row],[Age]]&lt;=35,"26-35",IF(HR_Data[[#This Row],[Age]]&lt;=45,"36-45",IF(HR_Data[[#This Row],[Age]]&lt;=55,"46-55","56+"))))</f>
        <v>26-35</v>
      </c>
      <c r="AK993" s="11" t="str">
        <f>IF(HR_Data[[#This Row],[MonthlyIncome]]&lt;3000,"Low",IF(HR_Data[[#This Row],[MonthlyIncome]]&lt;6000,"Medium",IF(HR_Data[[#This Row],[MonthlyIncome]]&lt;10000,"High","Very High")))</f>
        <v>Medium</v>
      </c>
      <c r="AL99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93" t="str">
        <f>IF(HR_Data[[#This Row],[TotalWorkingYears]]&lt;=5,"Junior",IF(HR_Data[[#This Row],[TotalWorkingYears]]&lt;=15,"Mid-Level","Senior"))</f>
        <v>Junior</v>
      </c>
      <c r="AN993" s="11" t="str">
        <f>IF(HR_Data[[#This Row],[PerformanceRating]]=3,"Standard","Excellent")</f>
        <v>Standard</v>
      </c>
      <c r="AO993" s="11" t="str">
        <f>IF(HR_Data[[#This Row],[JobSatisfaction]]&lt;=2,"Low","High")</f>
        <v>Low</v>
      </c>
      <c r="AP993" s="11" t="str">
        <f>IF(AND(HR_Data[[#This Row],[OverTime]]="Yes",HR_Data[[#This Row],[JobSatisfaction]]&lt;=2,HR_Data[[#This Row],[YearsAtCompany]]&lt;=2),"High Risk","Normal")</f>
        <v>Normal</v>
      </c>
    </row>
    <row r="994" spans="1:42" x14ac:dyDescent="0.25">
      <c r="A994" s="6">
        <v>39</v>
      </c>
      <c r="B994" s="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s="11" t="str">
        <f>IF(HR_Data[[#This Row],[Age]]&lt;=25,"18-25",IF(HR_Data[[#This Row],[Age]]&lt;=35,"26-35",IF(HR_Data[[#This Row],[Age]]&lt;=45,"36-45",IF(HR_Data[[#This Row],[Age]]&lt;=55,"46-55","56+"))))</f>
        <v>36-45</v>
      </c>
      <c r="AK994" s="11" t="str">
        <f>IF(HR_Data[[#This Row],[MonthlyIncome]]&lt;3000,"Low",IF(HR_Data[[#This Row],[MonthlyIncome]]&lt;6000,"Medium",IF(HR_Data[[#This Row],[MonthlyIncome]]&lt;10000,"High","Very High")))</f>
        <v>Very High</v>
      </c>
      <c r="AL99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94" t="str">
        <f>IF(HR_Data[[#This Row],[TotalWorkingYears]]&lt;=5,"Junior",IF(HR_Data[[#This Row],[TotalWorkingYears]]&lt;=15,"Mid-Level","Senior"))</f>
        <v>Mid-Level</v>
      </c>
      <c r="AN994" s="11" t="str">
        <f>IF(HR_Data[[#This Row],[PerformanceRating]]=3,"Standard","Excellent")</f>
        <v>Excellent</v>
      </c>
      <c r="AO994" s="11" t="str">
        <f>IF(HR_Data[[#This Row],[JobSatisfaction]]&lt;=2,"Low","High")</f>
        <v>High</v>
      </c>
      <c r="AP994" s="11" t="str">
        <f>IF(AND(HR_Data[[#This Row],[OverTime]]="Yes",HR_Data[[#This Row],[JobSatisfaction]]&lt;=2,HR_Data[[#This Row],[YearsAtCompany]]&lt;=2),"High Risk","Normal")</f>
        <v>Normal</v>
      </c>
    </row>
    <row r="995" spans="1:42" x14ac:dyDescent="0.25">
      <c r="A995" s="6">
        <v>25</v>
      </c>
      <c r="B995" s="4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s="11" t="str">
        <f>IF(HR_Data[[#This Row],[Age]]&lt;=25,"18-25",IF(HR_Data[[#This Row],[Age]]&lt;=35,"26-35",IF(HR_Data[[#This Row],[Age]]&lt;=45,"36-45",IF(HR_Data[[#This Row],[Age]]&lt;=55,"46-55","56+"))))</f>
        <v>18-25</v>
      </c>
      <c r="AK995" s="11" t="str">
        <f>IF(HR_Data[[#This Row],[MonthlyIncome]]&lt;3000,"Low",IF(HR_Data[[#This Row],[MonthlyIncome]]&lt;6000,"Medium",IF(HR_Data[[#This Row],[MonthlyIncome]]&lt;10000,"High","Very High")))</f>
        <v>High</v>
      </c>
      <c r="AL99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95" t="str">
        <f>IF(HR_Data[[#This Row],[TotalWorkingYears]]&lt;=5,"Junior",IF(HR_Data[[#This Row],[TotalWorkingYears]]&lt;=15,"Mid-Level","Senior"))</f>
        <v>Mid-Level</v>
      </c>
      <c r="AN995" s="11" t="str">
        <f>IF(HR_Data[[#This Row],[PerformanceRating]]=3,"Standard","Excellent")</f>
        <v>Standard</v>
      </c>
      <c r="AO995" s="11" t="str">
        <f>IF(HR_Data[[#This Row],[JobSatisfaction]]&lt;=2,"Low","High")</f>
        <v>High</v>
      </c>
      <c r="AP995" s="11" t="str">
        <f>IF(AND(HR_Data[[#This Row],[OverTime]]="Yes",HR_Data[[#This Row],[JobSatisfaction]]&lt;=2,HR_Data[[#This Row],[YearsAtCompany]]&lt;=2),"High Risk","Normal")</f>
        <v>Normal</v>
      </c>
    </row>
    <row r="996" spans="1:42" x14ac:dyDescent="0.25">
      <c r="A996" s="6">
        <v>52</v>
      </c>
      <c r="B996" s="4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s="11" t="str">
        <f>IF(HR_Data[[#This Row],[Age]]&lt;=25,"18-25",IF(HR_Data[[#This Row],[Age]]&lt;=35,"26-35",IF(HR_Data[[#This Row],[Age]]&lt;=45,"36-45",IF(HR_Data[[#This Row],[Age]]&lt;=55,"46-55","56+"))))</f>
        <v>46-55</v>
      </c>
      <c r="AK996" s="11" t="str">
        <f>IF(HR_Data[[#This Row],[MonthlyIncome]]&lt;3000,"Low",IF(HR_Data[[#This Row],[MonthlyIncome]]&lt;6000,"Medium",IF(HR_Data[[#This Row],[MonthlyIncome]]&lt;10000,"High","Very High")))</f>
        <v>Very High</v>
      </c>
      <c r="AL99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996" t="str">
        <f>IF(HR_Data[[#This Row],[TotalWorkingYears]]&lt;=5,"Junior",IF(HR_Data[[#This Row],[TotalWorkingYears]]&lt;=15,"Mid-Level","Senior"))</f>
        <v>Senior</v>
      </c>
      <c r="AN996" s="11" t="str">
        <f>IF(HR_Data[[#This Row],[PerformanceRating]]=3,"Standard","Excellent")</f>
        <v>Standard</v>
      </c>
      <c r="AO996" s="11" t="str">
        <f>IF(HR_Data[[#This Row],[JobSatisfaction]]&lt;=2,"Low","High")</f>
        <v>High</v>
      </c>
      <c r="AP996" s="11" t="str">
        <f>IF(AND(HR_Data[[#This Row],[OverTime]]="Yes",HR_Data[[#This Row],[JobSatisfaction]]&lt;=2,HR_Data[[#This Row],[YearsAtCompany]]&lt;=2),"High Risk","Normal")</f>
        <v>Normal</v>
      </c>
    </row>
    <row r="997" spans="1:42" x14ac:dyDescent="0.25">
      <c r="A997" s="6">
        <v>43</v>
      </c>
      <c r="B997" s="4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s="11" t="str">
        <f>IF(HR_Data[[#This Row],[Age]]&lt;=25,"18-25",IF(HR_Data[[#This Row],[Age]]&lt;=35,"26-35",IF(HR_Data[[#This Row],[Age]]&lt;=45,"36-45",IF(HR_Data[[#This Row],[Age]]&lt;=55,"46-55","56+"))))</f>
        <v>36-45</v>
      </c>
      <c r="AK997" s="11" t="str">
        <f>IF(HR_Data[[#This Row],[MonthlyIncome]]&lt;3000,"Low",IF(HR_Data[[#This Row],[MonthlyIncome]]&lt;6000,"Medium",IF(HR_Data[[#This Row],[MonthlyIncome]]&lt;10000,"High","Very High")))</f>
        <v>Medium</v>
      </c>
      <c r="AL99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997" t="str">
        <f>IF(HR_Data[[#This Row],[TotalWorkingYears]]&lt;=5,"Junior",IF(HR_Data[[#This Row],[TotalWorkingYears]]&lt;=15,"Mid-Level","Senior"))</f>
        <v>Senior</v>
      </c>
      <c r="AN997" s="11" t="str">
        <f>IF(HR_Data[[#This Row],[PerformanceRating]]=3,"Standard","Excellent")</f>
        <v>Standard</v>
      </c>
      <c r="AO997" s="11" t="str">
        <f>IF(HR_Data[[#This Row],[JobSatisfaction]]&lt;=2,"Low","High")</f>
        <v>High</v>
      </c>
      <c r="AP997" s="11" t="str">
        <f>IF(AND(HR_Data[[#This Row],[OverTime]]="Yes",HR_Data[[#This Row],[JobSatisfaction]]&lt;=2,HR_Data[[#This Row],[YearsAtCompany]]&lt;=2),"High Risk","Normal")</f>
        <v>Normal</v>
      </c>
    </row>
    <row r="998" spans="1:42" x14ac:dyDescent="0.25">
      <c r="A998" s="6">
        <v>27</v>
      </c>
      <c r="B998" s="4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s="11" t="str">
        <f>IF(HR_Data[[#This Row],[Age]]&lt;=25,"18-25",IF(HR_Data[[#This Row],[Age]]&lt;=35,"26-35",IF(HR_Data[[#This Row],[Age]]&lt;=45,"36-45",IF(HR_Data[[#This Row],[Age]]&lt;=55,"46-55","56+"))))</f>
        <v>26-35</v>
      </c>
      <c r="AK998" s="11" t="str">
        <f>IF(HR_Data[[#This Row],[MonthlyIncome]]&lt;3000,"Low",IF(HR_Data[[#This Row],[MonthlyIncome]]&lt;6000,"Medium",IF(HR_Data[[#This Row],[MonthlyIncome]]&lt;10000,"High","Very High")))</f>
        <v>Medium</v>
      </c>
      <c r="AL99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98" t="str">
        <f>IF(HR_Data[[#This Row],[TotalWorkingYears]]&lt;=5,"Junior",IF(HR_Data[[#This Row],[TotalWorkingYears]]&lt;=15,"Mid-Level","Senior"))</f>
        <v>Mid-Level</v>
      </c>
      <c r="AN998" s="11" t="str">
        <f>IF(HR_Data[[#This Row],[PerformanceRating]]=3,"Standard","Excellent")</f>
        <v>Standard</v>
      </c>
      <c r="AO998" s="11" t="str">
        <f>IF(HR_Data[[#This Row],[JobSatisfaction]]&lt;=2,"Low","High")</f>
        <v>High</v>
      </c>
      <c r="AP998" s="11" t="str">
        <f>IF(AND(HR_Data[[#This Row],[OverTime]]="Yes",HR_Data[[#This Row],[JobSatisfaction]]&lt;=2,HR_Data[[#This Row],[YearsAtCompany]]&lt;=2),"High Risk","Normal")</f>
        <v>Normal</v>
      </c>
    </row>
    <row r="999" spans="1:42" x14ac:dyDescent="0.25">
      <c r="A999" s="6">
        <v>27</v>
      </c>
      <c r="B999" s="4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s="11" t="str">
        <f>IF(HR_Data[[#This Row],[Age]]&lt;=25,"18-25",IF(HR_Data[[#This Row],[Age]]&lt;=35,"26-35",IF(HR_Data[[#This Row],[Age]]&lt;=45,"36-45",IF(HR_Data[[#This Row],[Age]]&lt;=55,"46-55","56+"))))</f>
        <v>26-35</v>
      </c>
      <c r="AK999" s="11" t="str">
        <f>IF(HR_Data[[#This Row],[MonthlyIncome]]&lt;3000,"Low",IF(HR_Data[[#This Row],[MonthlyIncome]]&lt;6000,"Medium",IF(HR_Data[[#This Row],[MonthlyIncome]]&lt;10000,"High","Very High")))</f>
        <v>Low</v>
      </c>
      <c r="AL99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999" t="str">
        <f>IF(HR_Data[[#This Row],[TotalWorkingYears]]&lt;=5,"Junior",IF(HR_Data[[#This Row],[TotalWorkingYears]]&lt;=15,"Mid-Level","Senior"))</f>
        <v>Mid-Level</v>
      </c>
      <c r="AN999" s="11" t="str">
        <f>IF(HR_Data[[#This Row],[PerformanceRating]]=3,"Standard","Excellent")</f>
        <v>Standard</v>
      </c>
      <c r="AO999" s="11" t="str">
        <f>IF(HR_Data[[#This Row],[JobSatisfaction]]&lt;=2,"Low","High")</f>
        <v>High</v>
      </c>
      <c r="AP999" s="11" t="str">
        <f>IF(AND(HR_Data[[#This Row],[OverTime]]="Yes",HR_Data[[#This Row],[JobSatisfaction]]&lt;=2,HR_Data[[#This Row],[YearsAtCompany]]&lt;=2),"High Risk","Normal")</f>
        <v>Normal</v>
      </c>
    </row>
    <row r="1000" spans="1:42" x14ac:dyDescent="0.25">
      <c r="A1000" s="6">
        <v>26</v>
      </c>
      <c r="B1000" s="4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s="11" t="str">
        <f>IF(HR_Data[[#This Row],[Age]]&lt;=25,"18-25",IF(HR_Data[[#This Row],[Age]]&lt;=35,"26-35",IF(HR_Data[[#This Row],[Age]]&lt;=45,"36-45",IF(HR_Data[[#This Row],[Age]]&lt;=55,"46-55","56+"))))</f>
        <v>26-35</v>
      </c>
      <c r="AK1000" s="11" t="str">
        <f>IF(HR_Data[[#This Row],[MonthlyIncome]]&lt;3000,"Low",IF(HR_Data[[#This Row],[MonthlyIncome]]&lt;6000,"Medium",IF(HR_Data[[#This Row],[MonthlyIncome]]&lt;10000,"High","Very High")))</f>
        <v>Medium</v>
      </c>
      <c r="AL100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00" t="str">
        <f>IF(HR_Data[[#This Row],[TotalWorkingYears]]&lt;=5,"Junior",IF(HR_Data[[#This Row],[TotalWorkingYears]]&lt;=15,"Mid-Level","Senior"))</f>
        <v>Junior</v>
      </c>
      <c r="AN1000" s="11" t="str">
        <f>IF(HR_Data[[#This Row],[PerformanceRating]]=3,"Standard","Excellent")</f>
        <v>Standard</v>
      </c>
      <c r="AO1000" s="11" t="str">
        <f>IF(HR_Data[[#This Row],[JobSatisfaction]]&lt;=2,"Low","High")</f>
        <v>High</v>
      </c>
      <c r="AP1000" s="11" t="str">
        <f>IF(AND(HR_Data[[#This Row],[OverTime]]="Yes",HR_Data[[#This Row],[JobSatisfaction]]&lt;=2,HR_Data[[#This Row],[YearsAtCompany]]&lt;=2),"High Risk","Normal")</f>
        <v>Normal</v>
      </c>
    </row>
    <row r="1001" spans="1:42" x14ac:dyDescent="0.25">
      <c r="A1001" s="6">
        <v>42</v>
      </c>
      <c r="B1001" s="4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s="11" t="str">
        <f>IF(HR_Data[[#This Row],[Age]]&lt;=25,"18-25",IF(HR_Data[[#This Row],[Age]]&lt;=35,"26-35",IF(HR_Data[[#This Row],[Age]]&lt;=45,"36-45",IF(HR_Data[[#This Row],[Age]]&lt;=55,"46-55","56+"))))</f>
        <v>36-45</v>
      </c>
      <c r="AK1001" s="11" t="str">
        <f>IF(HR_Data[[#This Row],[MonthlyIncome]]&lt;3000,"Low",IF(HR_Data[[#This Row],[MonthlyIncome]]&lt;6000,"Medium",IF(HR_Data[[#This Row],[MonthlyIncome]]&lt;10000,"High","Very High")))</f>
        <v>Very High</v>
      </c>
      <c r="AL1001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001" t="str">
        <f>IF(HR_Data[[#This Row],[TotalWorkingYears]]&lt;=5,"Junior",IF(HR_Data[[#This Row],[TotalWorkingYears]]&lt;=15,"Mid-Level","Senior"))</f>
        <v>Senior</v>
      </c>
      <c r="AN1001" s="11" t="str">
        <f>IF(HR_Data[[#This Row],[PerformanceRating]]=3,"Standard","Excellent")</f>
        <v>Standard</v>
      </c>
      <c r="AO1001" s="11" t="str">
        <f>IF(HR_Data[[#This Row],[JobSatisfaction]]&lt;=2,"Low","High")</f>
        <v>Low</v>
      </c>
      <c r="AP1001" s="11" t="str">
        <f>IF(AND(HR_Data[[#This Row],[OverTime]]="Yes",HR_Data[[#This Row],[JobSatisfaction]]&lt;=2,HR_Data[[#This Row],[YearsAtCompany]]&lt;=2),"High Risk","Normal")</f>
        <v>Normal</v>
      </c>
    </row>
    <row r="1002" spans="1:42" x14ac:dyDescent="0.25">
      <c r="A1002" s="6">
        <v>52</v>
      </c>
      <c r="B1002" s="4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s="11" t="str">
        <f>IF(HR_Data[[#This Row],[Age]]&lt;=25,"18-25",IF(HR_Data[[#This Row],[Age]]&lt;=35,"26-35",IF(HR_Data[[#This Row],[Age]]&lt;=45,"36-45",IF(HR_Data[[#This Row],[Age]]&lt;=55,"46-55","56+"))))</f>
        <v>46-55</v>
      </c>
      <c r="AK1002" s="11" t="str">
        <f>IF(HR_Data[[#This Row],[MonthlyIncome]]&lt;3000,"Low",IF(HR_Data[[#This Row],[MonthlyIncome]]&lt;6000,"Medium",IF(HR_Data[[#This Row],[MonthlyIncome]]&lt;10000,"High","Very High")))</f>
        <v>Low</v>
      </c>
      <c r="AL100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02" t="str">
        <f>IF(HR_Data[[#This Row],[TotalWorkingYears]]&lt;=5,"Junior",IF(HR_Data[[#This Row],[TotalWorkingYears]]&lt;=15,"Mid-Level","Senior"))</f>
        <v>Mid-Level</v>
      </c>
      <c r="AN1002" s="11" t="str">
        <f>IF(HR_Data[[#This Row],[PerformanceRating]]=3,"Standard","Excellent")</f>
        <v>Standard</v>
      </c>
      <c r="AO1002" s="11" t="str">
        <f>IF(HR_Data[[#This Row],[JobSatisfaction]]&lt;=2,"Low","High")</f>
        <v>Low</v>
      </c>
      <c r="AP1002" s="11" t="str">
        <f>IF(AND(HR_Data[[#This Row],[OverTime]]="Yes",HR_Data[[#This Row],[JobSatisfaction]]&lt;=2,HR_Data[[#This Row],[YearsAtCompany]]&lt;=2),"High Risk","Normal")</f>
        <v>Normal</v>
      </c>
    </row>
    <row r="1003" spans="1:42" x14ac:dyDescent="0.25">
      <c r="A1003" s="6">
        <v>37</v>
      </c>
      <c r="B1003" s="4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s="11" t="str">
        <f>IF(HR_Data[[#This Row],[Age]]&lt;=25,"18-25",IF(HR_Data[[#This Row],[Age]]&lt;=35,"26-35",IF(HR_Data[[#This Row],[Age]]&lt;=45,"36-45",IF(HR_Data[[#This Row],[Age]]&lt;=55,"46-55","56+"))))</f>
        <v>36-45</v>
      </c>
      <c r="AK1003" s="11" t="str">
        <f>IF(HR_Data[[#This Row],[MonthlyIncome]]&lt;3000,"Low",IF(HR_Data[[#This Row],[MonthlyIncome]]&lt;6000,"Medium",IF(HR_Data[[#This Row],[MonthlyIncome]]&lt;10000,"High","Very High")))</f>
        <v>Medium</v>
      </c>
      <c r="AL100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03" t="str">
        <f>IF(HR_Data[[#This Row],[TotalWorkingYears]]&lt;=5,"Junior",IF(HR_Data[[#This Row],[TotalWorkingYears]]&lt;=15,"Mid-Level","Senior"))</f>
        <v>Mid-Level</v>
      </c>
      <c r="AN1003" s="11" t="str">
        <f>IF(HR_Data[[#This Row],[PerformanceRating]]=3,"Standard","Excellent")</f>
        <v>Standard</v>
      </c>
      <c r="AO1003" s="11" t="str">
        <f>IF(HR_Data[[#This Row],[JobSatisfaction]]&lt;=2,"Low","High")</f>
        <v>High</v>
      </c>
      <c r="AP1003" s="11" t="str">
        <f>IF(AND(HR_Data[[#This Row],[OverTime]]="Yes",HR_Data[[#This Row],[JobSatisfaction]]&lt;=2,HR_Data[[#This Row],[YearsAtCompany]]&lt;=2),"High Risk","Normal")</f>
        <v>Normal</v>
      </c>
    </row>
    <row r="1004" spans="1:42" x14ac:dyDescent="0.25">
      <c r="A1004" s="6">
        <v>35</v>
      </c>
      <c r="B1004" s="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s="11" t="str">
        <f>IF(HR_Data[[#This Row],[Age]]&lt;=25,"18-25",IF(HR_Data[[#This Row],[Age]]&lt;=35,"26-35",IF(HR_Data[[#This Row],[Age]]&lt;=45,"36-45",IF(HR_Data[[#This Row],[Age]]&lt;=55,"46-55","56+"))))</f>
        <v>26-35</v>
      </c>
      <c r="AK1004" s="11" t="str">
        <f>IF(HR_Data[[#This Row],[MonthlyIncome]]&lt;3000,"Low",IF(HR_Data[[#This Row],[MonthlyIncome]]&lt;6000,"Medium",IF(HR_Data[[#This Row],[MonthlyIncome]]&lt;10000,"High","Very High")))</f>
        <v>High</v>
      </c>
      <c r="AL100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04" t="str">
        <f>IF(HR_Data[[#This Row],[TotalWorkingYears]]&lt;=5,"Junior",IF(HR_Data[[#This Row],[TotalWorkingYears]]&lt;=15,"Mid-Level","Senior"))</f>
        <v>Mid-Level</v>
      </c>
      <c r="AN1004" s="11" t="str">
        <f>IF(HR_Data[[#This Row],[PerformanceRating]]=3,"Standard","Excellent")</f>
        <v>Standard</v>
      </c>
      <c r="AO1004" s="11" t="str">
        <f>IF(HR_Data[[#This Row],[JobSatisfaction]]&lt;=2,"Low","High")</f>
        <v>High</v>
      </c>
      <c r="AP1004" s="11" t="str">
        <f>IF(AND(HR_Data[[#This Row],[OverTime]]="Yes",HR_Data[[#This Row],[JobSatisfaction]]&lt;=2,HR_Data[[#This Row],[YearsAtCompany]]&lt;=2),"High Risk","Normal")</f>
        <v>Normal</v>
      </c>
    </row>
    <row r="1005" spans="1:42" x14ac:dyDescent="0.25">
      <c r="A1005" s="6">
        <v>25</v>
      </c>
      <c r="B1005" s="4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s="11" t="str">
        <f>IF(HR_Data[[#This Row],[Age]]&lt;=25,"18-25",IF(HR_Data[[#This Row],[Age]]&lt;=35,"26-35",IF(HR_Data[[#This Row],[Age]]&lt;=45,"36-45",IF(HR_Data[[#This Row],[Age]]&lt;=55,"46-55","56+"))))</f>
        <v>18-25</v>
      </c>
      <c r="AK1005" s="11" t="str">
        <f>IF(HR_Data[[#This Row],[MonthlyIncome]]&lt;3000,"Low",IF(HR_Data[[#This Row],[MonthlyIncome]]&lt;6000,"Medium",IF(HR_Data[[#This Row],[MonthlyIncome]]&lt;10000,"High","Very High")))</f>
        <v>Medium</v>
      </c>
      <c r="AL100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05" t="str">
        <f>IF(HR_Data[[#This Row],[TotalWorkingYears]]&lt;=5,"Junior",IF(HR_Data[[#This Row],[TotalWorkingYears]]&lt;=15,"Mid-Level","Senior"))</f>
        <v>Mid-Level</v>
      </c>
      <c r="AN1005" s="11" t="str">
        <f>IF(HR_Data[[#This Row],[PerformanceRating]]=3,"Standard","Excellent")</f>
        <v>Standard</v>
      </c>
      <c r="AO1005" s="11" t="str">
        <f>IF(HR_Data[[#This Row],[JobSatisfaction]]&lt;=2,"Low","High")</f>
        <v>High</v>
      </c>
      <c r="AP1005" s="11" t="str">
        <f>IF(AND(HR_Data[[#This Row],[OverTime]]="Yes",HR_Data[[#This Row],[JobSatisfaction]]&lt;=2,HR_Data[[#This Row],[YearsAtCompany]]&lt;=2),"High Risk","Normal")</f>
        <v>Normal</v>
      </c>
    </row>
    <row r="1006" spans="1:42" x14ac:dyDescent="0.25">
      <c r="A1006" s="6">
        <v>26</v>
      </c>
      <c r="B1006" s="4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s="11" t="str">
        <f>IF(HR_Data[[#This Row],[Age]]&lt;=25,"18-25",IF(HR_Data[[#This Row],[Age]]&lt;=35,"26-35",IF(HR_Data[[#This Row],[Age]]&lt;=45,"36-45",IF(HR_Data[[#This Row],[Age]]&lt;=55,"46-55","56+"))))</f>
        <v>26-35</v>
      </c>
      <c r="AK1006" s="11" t="str">
        <f>IF(HR_Data[[#This Row],[MonthlyIncome]]&lt;3000,"Low",IF(HR_Data[[#This Row],[MonthlyIncome]]&lt;6000,"Medium",IF(HR_Data[[#This Row],[MonthlyIncome]]&lt;10000,"High","Very High")))</f>
        <v>Medium</v>
      </c>
      <c r="AL100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06" t="str">
        <f>IF(HR_Data[[#This Row],[TotalWorkingYears]]&lt;=5,"Junior",IF(HR_Data[[#This Row],[TotalWorkingYears]]&lt;=15,"Mid-Level","Senior"))</f>
        <v>Mid-Level</v>
      </c>
      <c r="AN1006" s="11" t="str">
        <f>IF(HR_Data[[#This Row],[PerformanceRating]]=3,"Standard","Excellent")</f>
        <v>Standard</v>
      </c>
      <c r="AO1006" s="11" t="str">
        <f>IF(HR_Data[[#This Row],[JobSatisfaction]]&lt;=2,"Low","High")</f>
        <v>Low</v>
      </c>
      <c r="AP1006" s="11" t="str">
        <f>IF(AND(HR_Data[[#This Row],[OverTime]]="Yes",HR_Data[[#This Row],[JobSatisfaction]]&lt;=2,HR_Data[[#This Row],[YearsAtCompany]]&lt;=2),"High Risk","Normal")</f>
        <v>Normal</v>
      </c>
    </row>
    <row r="1007" spans="1:42" x14ac:dyDescent="0.25">
      <c r="A1007" s="6">
        <v>29</v>
      </c>
      <c r="B1007" s="4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s="11" t="str">
        <f>IF(HR_Data[[#This Row],[Age]]&lt;=25,"18-25",IF(HR_Data[[#This Row],[Age]]&lt;=35,"26-35",IF(HR_Data[[#This Row],[Age]]&lt;=45,"36-45",IF(HR_Data[[#This Row],[Age]]&lt;=55,"46-55","56+"))))</f>
        <v>26-35</v>
      </c>
      <c r="AK1007" s="11" t="str">
        <f>IF(HR_Data[[#This Row],[MonthlyIncome]]&lt;3000,"Low",IF(HR_Data[[#This Row],[MonthlyIncome]]&lt;6000,"Medium",IF(HR_Data[[#This Row],[MonthlyIncome]]&lt;10000,"High","Very High")))</f>
        <v>High</v>
      </c>
      <c r="AL100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07" t="str">
        <f>IF(HR_Data[[#This Row],[TotalWorkingYears]]&lt;=5,"Junior",IF(HR_Data[[#This Row],[TotalWorkingYears]]&lt;=15,"Mid-Level","Senior"))</f>
        <v>Mid-Level</v>
      </c>
      <c r="AN1007" s="11" t="str">
        <f>IF(HR_Data[[#This Row],[PerformanceRating]]=3,"Standard","Excellent")</f>
        <v>Standard</v>
      </c>
      <c r="AO1007" s="11" t="str">
        <f>IF(HR_Data[[#This Row],[JobSatisfaction]]&lt;=2,"Low","High")</f>
        <v>Low</v>
      </c>
      <c r="AP1007" s="11" t="str">
        <f>IF(AND(HR_Data[[#This Row],[OverTime]]="Yes",HR_Data[[#This Row],[JobSatisfaction]]&lt;=2,HR_Data[[#This Row],[YearsAtCompany]]&lt;=2),"High Risk","Normal")</f>
        <v>Normal</v>
      </c>
    </row>
    <row r="1008" spans="1:42" x14ac:dyDescent="0.25">
      <c r="A1008" s="6">
        <v>49</v>
      </c>
      <c r="B1008" s="4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s="11" t="str">
        <f>IF(HR_Data[[#This Row],[Age]]&lt;=25,"18-25",IF(HR_Data[[#This Row],[Age]]&lt;=35,"26-35",IF(HR_Data[[#This Row],[Age]]&lt;=45,"36-45",IF(HR_Data[[#This Row],[Age]]&lt;=55,"46-55","56+"))))</f>
        <v>46-55</v>
      </c>
      <c r="AK1008" s="11" t="str">
        <f>IF(HR_Data[[#This Row],[MonthlyIncome]]&lt;3000,"Low",IF(HR_Data[[#This Row],[MonthlyIncome]]&lt;6000,"Medium",IF(HR_Data[[#This Row],[MonthlyIncome]]&lt;10000,"High","Very High")))</f>
        <v>Medium</v>
      </c>
      <c r="AL100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08" t="str">
        <f>IF(HR_Data[[#This Row],[TotalWorkingYears]]&lt;=5,"Junior",IF(HR_Data[[#This Row],[TotalWorkingYears]]&lt;=15,"Mid-Level","Senior"))</f>
        <v>Senior</v>
      </c>
      <c r="AN1008" s="11" t="str">
        <f>IF(HR_Data[[#This Row],[PerformanceRating]]=3,"Standard","Excellent")</f>
        <v>Excellent</v>
      </c>
      <c r="AO1008" s="11" t="str">
        <f>IF(HR_Data[[#This Row],[JobSatisfaction]]&lt;=2,"Low","High")</f>
        <v>Low</v>
      </c>
      <c r="AP1008" s="11" t="str">
        <f>IF(AND(HR_Data[[#This Row],[OverTime]]="Yes",HR_Data[[#This Row],[JobSatisfaction]]&lt;=2,HR_Data[[#This Row],[YearsAtCompany]]&lt;=2),"High Risk","Normal")</f>
        <v>Normal</v>
      </c>
    </row>
    <row r="1009" spans="1:42" x14ac:dyDescent="0.25">
      <c r="A1009" s="6">
        <v>29</v>
      </c>
      <c r="B1009" s="4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s="11" t="str">
        <f>IF(HR_Data[[#This Row],[Age]]&lt;=25,"18-25",IF(HR_Data[[#This Row],[Age]]&lt;=35,"26-35",IF(HR_Data[[#This Row],[Age]]&lt;=45,"36-45",IF(HR_Data[[#This Row],[Age]]&lt;=55,"46-55","56+"))))</f>
        <v>26-35</v>
      </c>
      <c r="AK1009" s="11" t="str">
        <f>IF(HR_Data[[#This Row],[MonthlyIncome]]&lt;3000,"Low",IF(HR_Data[[#This Row],[MonthlyIncome]]&lt;6000,"Medium",IF(HR_Data[[#This Row],[MonthlyIncome]]&lt;10000,"High","Very High")))</f>
        <v>High</v>
      </c>
      <c r="AL100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09" t="str">
        <f>IF(HR_Data[[#This Row],[TotalWorkingYears]]&lt;=5,"Junior",IF(HR_Data[[#This Row],[TotalWorkingYears]]&lt;=15,"Mid-Level","Senior"))</f>
        <v>Mid-Level</v>
      </c>
      <c r="AN1009" s="11" t="str">
        <f>IF(HR_Data[[#This Row],[PerformanceRating]]=3,"Standard","Excellent")</f>
        <v>Standard</v>
      </c>
      <c r="AO1009" s="11" t="str">
        <f>IF(HR_Data[[#This Row],[JobSatisfaction]]&lt;=2,"Low","High")</f>
        <v>High</v>
      </c>
      <c r="AP1009" s="11" t="str">
        <f>IF(AND(HR_Data[[#This Row],[OverTime]]="Yes",HR_Data[[#This Row],[JobSatisfaction]]&lt;=2,HR_Data[[#This Row],[YearsAtCompany]]&lt;=2),"High Risk","Normal")</f>
        <v>Normal</v>
      </c>
    </row>
    <row r="1010" spans="1:42" x14ac:dyDescent="0.25">
      <c r="A1010" s="6">
        <v>54</v>
      </c>
      <c r="B1010" s="4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s="11" t="str">
        <f>IF(HR_Data[[#This Row],[Age]]&lt;=25,"18-25",IF(HR_Data[[#This Row],[Age]]&lt;=35,"26-35",IF(HR_Data[[#This Row],[Age]]&lt;=45,"36-45",IF(HR_Data[[#This Row],[Age]]&lt;=55,"46-55","56+"))))</f>
        <v>46-55</v>
      </c>
      <c r="AK1010" s="11" t="str">
        <f>IF(HR_Data[[#This Row],[MonthlyIncome]]&lt;3000,"Low",IF(HR_Data[[#This Row],[MonthlyIncome]]&lt;6000,"Medium",IF(HR_Data[[#This Row],[MonthlyIncome]]&lt;10000,"High","Very High")))</f>
        <v>Very High</v>
      </c>
      <c r="AL101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010" t="str">
        <f>IF(HR_Data[[#This Row],[TotalWorkingYears]]&lt;=5,"Junior",IF(HR_Data[[#This Row],[TotalWorkingYears]]&lt;=15,"Mid-Level","Senior"))</f>
        <v>Senior</v>
      </c>
      <c r="AN1010" s="11" t="str">
        <f>IF(HR_Data[[#This Row],[PerformanceRating]]=3,"Standard","Excellent")</f>
        <v>Standard</v>
      </c>
      <c r="AO1010" s="11" t="str">
        <f>IF(HR_Data[[#This Row],[JobSatisfaction]]&lt;=2,"Low","High")</f>
        <v>High</v>
      </c>
      <c r="AP1010" s="11" t="str">
        <f>IF(AND(HR_Data[[#This Row],[OverTime]]="Yes",HR_Data[[#This Row],[JobSatisfaction]]&lt;=2,HR_Data[[#This Row],[YearsAtCompany]]&lt;=2),"High Risk","Normal")</f>
        <v>Normal</v>
      </c>
    </row>
    <row r="1011" spans="1:42" x14ac:dyDescent="0.25">
      <c r="A1011" s="6">
        <v>58</v>
      </c>
      <c r="B1011" s="4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s="11" t="str">
        <f>IF(HR_Data[[#This Row],[Age]]&lt;=25,"18-25",IF(HR_Data[[#This Row],[Age]]&lt;=35,"26-35",IF(HR_Data[[#This Row],[Age]]&lt;=45,"36-45",IF(HR_Data[[#This Row],[Age]]&lt;=55,"46-55","56+"))))</f>
        <v>56+</v>
      </c>
      <c r="AK1011" s="11" t="str">
        <f>IF(HR_Data[[#This Row],[MonthlyIncome]]&lt;3000,"Low",IF(HR_Data[[#This Row],[MonthlyIncome]]&lt;6000,"Medium",IF(HR_Data[[#This Row],[MonthlyIncome]]&lt;10000,"High","Very High")))</f>
        <v>Very High</v>
      </c>
      <c r="AL101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11" t="str">
        <f>IF(HR_Data[[#This Row],[TotalWorkingYears]]&lt;=5,"Junior",IF(HR_Data[[#This Row],[TotalWorkingYears]]&lt;=15,"Mid-Level","Senior"))</f>
        <v>Senior</v>
      </c>
      <c r="AN1011" s="11" t="str">
        <f>IF(HR_Data[[#This Row],[PerformanceRating]]=3,"Standard","Excellent")</f>
        <v>Excellent</v>
      </c>
      <c r="AO1011" s="11" t="str">
        <f>IF(HR_Data[[#This Row],[JobSatisfaction]]&lt;=2,"Low","High")</f>
        <v>Low</v>
      </c>
      <c r="AP1011" s="11" t="str">
        <f>IF(AND(HR_Data[[#This Row],[OverTime]]="Yes",HR_Data[[#This Row],[JobSatisfaction]]&lt;=2,HR_Data[[#This Row],[YearsAtCompany]]&lt;=2),"High Risk","Normal")</f>
        <v>Normal</v>
      </c>
    </row>
    <row r="1012" spans="1:42" x14ac:dyDescent="0.25">
      <c r="A1012" s="6">
        <v>55</v>
      </c>
      <c r="B1012" s="4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s="11" t="str">
        <f>IF(HR_Data[[#This Row],[Age]]&lt;=25,"18-25",IF(HR_Data[[#This Row],[Age]]&lt;=35,"26-35",IF(HR_Data[[#This Row],[Age]]&lt;=45,"36-45",IF(HR_Data[[#This Row],[Age]]&lt;=55,"46-55","56+"))))</f>
        <v>46-55</v>
      </c>
      <c r="AK1012" s="11" t="str">
        <f>IF(HR_Data[[#This Row],[MonthlyIncome]]&lt;3000,"Low",IF(HR_Data[[#This Row],[MonthlyIncome]]&lt;6000,"Medium",IF(HR_Data[[#This Row],[MonthlyIncome]]&lt;10000,"High","Very High")))</f>
        <v>Very High</v>
      </c>
      <c r="AL101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12" t="str">
        <f>IF(HR_Data[[#This Row],[TotalWorkingYears]]&lt;=5,"Junior",IF(HR_Data[[#This Row],[TotalWorkingYears]]&lt;=15,"Mid-Level","Senior"))</f>
        <v>Senior</v>
      </c>
      <c r="AN1012" s="11" t="str">
        <f>IF(HR_Data[[#This Row],[PerformanceRating]]=3,"Standard","Excellent")</f>
        <v>Standard</v>
      </c>
      <c r="AO1012" s="11" t="str">
        <f>IF(HR_Data[[#This Row],[JobSatisfaction]]&lt;=2,"Low","High")</f>
        <v>High</v>
      </c>
      <c r="AP1012" s="11" t="str">
        <f>IF(AND(HR_Data[[#This Row],[OverTime]]="Yes",HR_Data[[#This Row],[JobSatisfaction]]&lt;=2,HR_Data[[#This Row],[YearsAtCompany]]&lt;=2),"High Risk","Normal")</f>
        <v>Normal</v>
      </c>
    </row>
    <row r="1013" spans="1:42" x14ac:dyDescent="0.25">
      <c r="A1013" s="6">
        <v>36</v>
      </c>
      <c r="B1013" s="4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s="11" t="str">
        <f>IF(HR_Data[[#This Row],[Age]]&lt;=25,"18-25",IF(HR_Data[[#This Row],[Age]]&lt;=35,"26-35",IF(HR_Data[[#This Row],[Age]]&lt;=45,"36-45",IF(HR_Data[[#This Row],[Age]]&lt;=55,"46-55","56+"))))</f>
        <v>36-45</v>
      </c>
      <c r="AK1013" s="11" t="str">
        <f>IF(HR_Data[[#This Row],[MonthlyIncome]]&lt;3000,"Low",IF(HR_Data[[#This Row],[MonthlyIncome]]&lt;6000,"Medium",IF(HR_Data[[#This Row],[MonthlyIncome]]&lt;10000,"High","Very High")))</f>
        <v>High</v>
      </c>
      <c r="AL101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13" t="str">
        <f>IF(HR_Data[[#This Row],[TotalWorkingYears]]&lt;=5,"Junior",IF(HR_Data[[#This Row],[TotalWorkingYears]]&lt;=15,"Mid-Level","Senior"))</f>
        <v>Mid-Level</v>
      </c>
      <c r="AN1013" s="11" t="str">
        <f>IF(HR_Data[[#This Row],[PerformanceRating]]=3,"Standard","Excellent")</f>
        <v>Standard</v>
      </c>
      <c r="AO1013" s="11" t="str">
        <f>IF(HR_Data[[#This Row],[JobSatisfaction]]&lt;=2,"Low","High")</f>
        <v>Low</v>
      </c>
      <c r="AP1013" s="11" t="str">
        <f>IF(AND(HR_Data[[#This Row],[OverTime]]="Yes",HR_Data[[#This Row],[JobSatisfaction]]&lt;=2,HR_Data[[#This Row],[YearsAtCompany]]&lt;=2),"High Risk","Normal")</f>
        <v>Normal</v>
      </c>
    </row>
    <row r="1014" spans="1:42" x14ac:dyDescent="0.25">
      <c r="A1014" s="6">
        <v>31</v>
      </c>
      <c r="B1014" s="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s="11" t="str">
        <f>IF(HR_Data[[#This Row],[Age]]&lt;=25,"18-25",IF(HR_Data[[#This Row],[Age]]&lt;=35,"26-35",IF(HR_Data[[#This Row],[Age]]&lt;=45,"36-45",IF(HR_Data[[#This Row],[Age]]&lt;=55,"46-55","56+"))))</f>
        <v>26-35</v>
      </c>
      <c r="AK1014" s="11" t="str">
        <f>IF(HR_Data[[#This Row],[MonthlyIncome]]&lt;3000,"Low",IF(HR_Data[[#This Row],[MonthlyIncome]]&lt;6000,"Medium",IF(HR_Data[[#This Row],[MonthlyIncome]]&lt;10000,"High","Very High")))</f>
        <v>Low</v>
      </c>
      <c r="AL101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14" t="str">
        <f>IF(HR_Data[[#This Row],[TotalWorkingYears]]&lt;=5,"Junior",IF(HR_Data[[#This Row],[TotalWorkingYears]]&lt;=15,"Mid-Level","Senior"))</f>
        <v>Junior</v>
      </c>
      <c r="AN1014" s="11" t="str">
        <f>IF(HR_Data[[#This Row],[PerformanceRating]]=3,"Standard","Excellent")</f>
        <v>Standard</v>
      </c>
      <c r="AO1014" s="11" t="str">
        <f>IF(HR_Data[[#This Row],[JobSatisfaction]]&lt;=2,"Low","High")</f>
        <v>High</v>
      </c>
      <c r="AP1014" s="11" t="str">
        <f>IF(AND(HR_Data[[#This Row],[OverTime]]="Yes",HR_Data[[#This Row],[JobSatisfaction]]&lt;=2,HR_Data[[#This Row],[YearsAtCompany]]&lt;=2),"High Risk","Normal")</f>
        <v>Normal</v>
      </c>
    </row>
    <row r="1015" spans="1:42" x14ac:dyDescent="0.25">
      <c r="A1015" s="6">
        <v>30</v>
      </c>
      <c r="B1015" s="4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s="11" t="str">
        <f>IF(HR_Data[[#This Row],[Age]]&lt;=25,"18-25",IF(HR_Data[[#This Row],[Age]]&lt;=35,"26-35",IF(HR_Data[[#This Row],[Age]]&lt;=45,"36-45",IF(HR_Data[[#This Row],[Age]]&lt;=55,"46-55","56+"))))</f>
        <v>26-35</v>
      </c>
      <c r="AK1015" s="11" t="str">
        <f>IF(HR_Data[[#This Row],[MonthlyIncome]]&lt;3000,"Low",IF(HR_Data[[#This Row],[MonthlyIncome]]&lt;6000,"Medium",IF(HR_Data[[#This Row],[MonthlyIncome]]&lt;10000,"High","Very High")))</f>
        <v>Medium</v>
      </c>
      <c r="AL101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15" t="str">
        <f>IF(HR_Data[[#This Row],[TotalWorkingYears]]&lt;=5,"Junior",IF(HR_Data[[#This Row],[TotalWorkingYears]]&lt;=15,"Mid-Level","Senior"))</f>
        <v>Mid-Level</v>
      </c>
      <c r="AN1015" s="11" t="str">
        <f>IF(HR_Data[[#This Row],[PerformanceRating]]=3,"Standard","Excellent")</f>
        <v>Standard</v>
      </c>
      <c r="AO1015" s="11" t="str">
        <f>IF(HR_Data[[#This Row],[JobSatisfaction]]&lt;=2,"Low","High")</f>
        <v>Low</v>
      </c>
      <c r="AP1015" s="11" t="str">
        <f>IF(AND(HR_Data[[#This Row],[OverTime]]="Yes",HR_Data[[#This Row],[JobSatisfaction]]&lt;=2,HR_Data[[#This Row],[YearsAtCompany]]&lt;=2),"High Risk","Normal")</f>
        <v>Normal</v>
      </c>
    </row>
    <row r="1016" spans="1:42" x14ac:dyDescent="0.25">
      <c r="A1016" s="6">
        <v>31</v>
      </c>
      <c r="B1016" s="4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s="11" t="str">
        <f>IF(HR_Data[[#This Row],[Age]]&lt;=25,"18-25",IF(HR_Data[[#This Row],[Age]]&lt;=35,"26-35",IF(HR_Data[[#This Row],[Age]]&lt;=45,"36-45",IF(HR_Data[[#This Row],[Age]]&lt;=55,"46-55","56+"))))</f>
        <v>26-35</v>
      </c>
      <c r="AK1016" s="11" t="str">
        <f>IF(HR_Data[[#This Row],[MonthlyIncome]]&lt;3000,"Low",IF(HR_Data[[#This Row],[MonthlyIncome]]&lt;6000,"Medium",IF(HR_Data[[#This Row],[MonthlyIncome]]&lt;10000,"High","Very High")))</f>
        <v>Very High</v>
      </c>
      <c r="AL101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16" t="str">
        <f>IF(HR_Data[[#This Row],[TotalWorkingYears]]&lt;=5,"Junior",IF(HR_Data[[#This Row],[TotalWorkingYears]]&lt;=15,"Mid-Level","Senior"))</f>
        <v>Mid-Level</v>
      </c>
      <c r="AN1016" s="11" t="str">
        <f>IF(HR_Data[[#This Row],[PerformanceRating]]=3,"Standard","Excellent")</f>
        <v>Standard</v>
      </c>
      <c r="AO1016" s="11" t="str">
        <f>IF(HR_Data[[#This Row],[JobSatisfaction]]&lt;=2,"Low","High")</f>
        <v>Low</v>
      </c>
      <c r="AP1016" s="11" t="str">
        <f>IF(AND(HR_Data[[#This Row],[OverTime]]="Yes",HR_Data[[#This Row],[JobSatisfaction]]&lt;=2,HR_Data[[#This Row],[YearsAtCompany]]&lt;=2),"High Risk","Normal")</f>
        <v>Normal</v>
      </c>
    </row>
    <row r="1017" spans="1:42" x14ac:dyDescent="0.25">
      <c r="A1017" s="6">
        <v>34</v>
      </c>
      <c r="B1017" s="4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s="11" t="str">
        <f>IF(HR_Data[[#This Row],[Age]]&lt;=25,"18-25",IF(HR_Data[[#This Row],[Age]]&lt;=35,"26-35",IF(HR_Data[[#This Row],[Age]]&lt;=45,"36-45",IF(HR_Data[[#This Row],[Age]]&lt;=55,"46-55","56+"))))</f>
        <v>26-35</v>
      </c>
      <c r="AK1017" s="11" t="str">
        <f>IF(HR_Data[[#This Row],[MonthlyIncome]]&lt;3000,"Low",IF(HR_Data[[#This Row],[MonthlyIncome]]&lt;6000,"Medium",IF(HR_Data[[#This Row],[MonthlyIncome]]&lt;10000,"High","Very High")))</f>
        <v>Low</v>
      </c>
      <c r="AL101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17" t="str">
        <f>IF(HR_Data[[#This Row],[TotalWorkingYears]]&lt;=5,"Junior",IF(HR_Data[[#This Row],[TotalWorkingYears]]&lt;=15,"Mid-Level","Senior"))</f>
        <v>Mid-Level</v>
      </c>
      <c r="AN1017" s="11" t="str">
        <f>IF(HR_Data[[#This Row],[PerformanceRating]]=3,"Standard","Excellent")</f>
        <v>Standard</v>
      </c>
      <c r="AO1017" s="11" t="str">
        <f>IF(HR_Data[[#This Row],[JobSatisfaction]]&lt;=2,"Low","High")</f>
        <v>Low</v>
      </c>
      <c r="AP1017" s="11" t="str">
        <f>IF(AND(HR_Data[[#This Row],[OverTime]]="Yes",HR_Data[[#This Row],[JobSatisfaction]]&lt;=2,HR_Data[[#This Row],[YearsAtCompany]]&lt;=2),"High Risk","Normal")</f>
        <v>Normal</v>
      </c>
    </row>
    <row r="1018" spans="1:42" x14ac:dyDescent="0.25">
      <c r="A1018" s="6">
        <v>31</v>
      </c>
      <c r="B1018" s="4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s="11" t="str">
        <f>IF(HR_Data[[#This Row],[Age]]&lt;=25,"18-25",IF(HR_Data[[#This Row],[Age]]&lt;=35,"26-35",IF(HR_Data[[#This Row],[Age]]&lt;=45,"36-45",IF(HR_Data[[#This Row],[Age]]&lt;=55,"46-55","56+"))))</f>
        <v>26-35</v>
      </c>
      <c r="AK1018" s="11" t="str">
        <f>IF(HR_Data[[#This Row],[MonthlyIncome]]&lt;3000,"Low",IF(HR_Data[[#This Row],[MonthlyIncome]]&lt;6000,"Medium",IF(HR_Data[[#This Row],[MonthlyIncome]]&lt;10000,"High","Very High")))</f>
        <v>Low</v>
      </c>
      <c r="AL101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18" t="str">
        <f>IF(HR_Data[[#This Row],[TotalWorkingYears]]&lt;=5,"Junior",IF(HR_Data[[#This Row],[TotalWorkingYears]]&lt;=15,"Mid-Level","Senior"))</f>
        <v>Junior</v>
      </c>
      <c r="AN1018" s="11" t="str">
        <f>IF(HR_Data[[#This Row],[PerformanceRating]]=3,"Standard","Excellent")</f>
        <v>Standard</v>
      </c>
      <c r="AO1018" s="11" t="str">
        <f>IF(HR_Data[[#This Row],[JobSatisfaction]]&lt;=2,"Low","High")</f>
        <v>Low</v>
      </c>
      <c r="AP1018" s="11" t="str">
        <f>IF(AND(HR_Data[[#This Row],[OverTime]]="Yes",HR_Data[[#This Row],[JobSatisfaction]]&lt;=2,HR_Data[[#This Row],[YearsAtCompany]]&lt;=2),"High Risk","Normal")</f>
        <v>Normal</v>
      </c>
    </row>
    <row r="1019" spans="1:42" x14ac:dyDescent="0.25">
      <c r="A1019" s="6">
        <v>27</v>
      </c>
      <c r="B1019" s="4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s="11" t="str">
        <f>IF(HR_Data[[#This Row],[Age]]&lt;=25,"18-25",IF(HR_Data[[#This Row],[Age]]&lt;=35,"26-35",IF(HR_Data[[#This Row],[Age]]&lt;=45,"36-45",IF(HR_Data[[#This Row],[Age]]&lt;=55,"46-55","56+"))))</f>
        <v>26-35</v>
      </c>
      <c r="AK1019" s="11" t="str">
        <f>IF(HR_Data[[#This Row],[MonthlyIncome]]&lt;3000,"Low",IF(HR_Data[[#This Row],[MonthlyIncome]]&lt;6000,"Medium",IF(HR_Data[[#This Row],[MonthlyIncome]]&lt;10000,"High","Very High")))</f>
        <v>Low</v>
      </c>
      <c r="AL101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19" t="str">
        <f>IF(HR_Data[[#This Row],[TotalWorkingYears]]&lt;=5,"Junior",IF(HR_Data[[#This Row],[TotalWorkingYears]]&lt;=15,"Mid-Level","Senior"))</f>
        <v>Mid-Level</v>
      </c>
      <c r="AN1019" s="11" t="str">
        <f>IF(HR_Data[[#This Row],[PerformanceRating]]=3,"Standard","Excellent")</f>
        <v>Standard</v>
      </c>
      <c r="AO1019" s="11" t="str">
        <f>IF(HR_Data[[#This Row],[JobSatisfaction]]&lt;=2,"Low","High")</f>
        <v>Low</v>
      </c>
      <c r="AP1019" s="11" t="str">
        <f>IF(AND(HR_Data[[#This Row],[OverTime]]="Yes",HR_Data[[#This Row],[JobSatisfaction]]&lt;=2,HR_Data[[#This Row],[YearsAtCompany]]&lt;=2),"High Risk","Normal")</f>
        <v>Normal</v>
      </c>
    </row>
    <row r="1020" spans="1:42" x14ac:dyDescent="0.25">
      <c r="A1020" s="6">
        <v>36</v>
      </c>
      <c r="B1020" s="4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s="11" t="str">
        <f>IF(HR_Data[[#This Row],[Age]]&lt;=25,"18-25",IF(HR_Data[[#This Row],[Age]]&lt;=35,"26-35",IF(HR_Data[[#This Row],[Age]]&lt;=45,"36-45",IF(HR_Data[[#This Row],[Age]]&lt;=55,"46-55","56+"))))</f>
        <v>36-45</v>
      </c>
      <c r="AK1020" s="11" t="str">
        <f>IF(HR_Data[[#This Row],[MonthlyIncome]]&lt;3000,"Low",IF(HR_Data[[#This Row],[MonthlyIncome]]&lt;6000,"Medium",IF(HR_Data[[#This Row],[MonthlyIncome]]&lt;10000,"High","Very High")))</f>
        <v>Medium</v>
      </c>
      <c r="AL102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20" t="str">
        <f>IF(HR_Data[[#This Row],[TotalWorkingYears]]&lt;=5,"Junior",IF(HR_Data[[#This Row],[TotalWorkingYears]]&lt;=15,"Mid-Level","Senior"))</f>
        <v>Mid-Level</v>
      </c>
      <c r="AN1020" s="11" t="str">
        <f>IF(HR_Data[[#This Row],[PerformanceRating]]=3,"Standard","Excellent")</f>
        <v>Standard</v>
      </c>
      <c r="AO1020" s="11" t="str">
        <f>IF(HR_Data[[#This Row],[JobSatisfaction]]&lt;=2,"Low","High")</f>
        <v>High</v>
      </c>
      <c r="AP1020" s="11" t="str">
        <f>IF(AND(HR_Data[[#This Row],[OverTime]]="Yes",HR_Data[[#This Row],[JobSatisfaction]]&lt;=2,HR_Data[[#This Row],[YearsAtCompany]]&lt;=2),"High Risk","Normal")</f>
        <v>Normal</v>
      </c>
    </row>
    <row r="1021" spans="1:42" x14ac:dyDescent="0.25">
      <c r="A1021" s="6">
        <v>36</v>
      </c>
      <c r="B1021" s="4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s="11" t="str">
        <f>IF(HR_Data[[#This Row],[Age]]&lt;=25,"18-25",IF(HR_Data[[#This Row],[Age]]&lt;=35,"26-35",IF(HR_Data[[#This Row],[Age]]&lt;=45,"36-45",IF(HR_Data[[#This Row],[Age]]&lt;=55,"46-55","56+"))))</f>
        <v>36-45</v>
      </c>
      <c r="AK1021" s="11" t="str">
        <f>IF(HR_Data[[#This Row],[MonthlyIncome]]&lt;3000,"Low",IF(HR_Data[[#This Row],[MonthlyIncome]]&lt;6000,"Medium",IF(HR_Data[[#This Row],[MonthlyIncome]]&lt;10000,"High","Very High")))</f>
        <v>Medium</v>
      </c>
      <c r="AL102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21" t="str">
        <f>IF(HR_Data[[#This Row],[TotalWorkingYears]]&lt;=5,"Junior",IF(HR_Data[[#This Row],[TotalWorkingYears]]&lt;=15,"Mid-Level","Senior"))</f>
        <v>Mid-Level</v>
      </c>
      <c r="AN1021" s="11" t="str">
        <f>IF(HR_Data[[#This Row],[PerformanceRating]]=3,"Standard","Excellent")</f>
        <v>Standard</v>
      </c>
      <c r="AO1021" s="11" t="str">
        <f>IF(HR_Data[[#This Row],[JobSatisfaction]]&lt;=2,"Low","High")</f>
        <v>Low</v>
      </c>
      <c r="AP1021" s="11" t="str">
        <f>IF(AND(HR_Data[[#This Row],[OverTime]]="Yes",HR_Data[[#This Row],[JobSatisfaction]]&lt;=2,HR_Data[[#This Row],[YearsAtCompany]]&lt;=2),"High Risk","Normal")</f>
        <v>Normal</v>
      </c>
    </row>
    <row r="1022" spans="1:42" x14ac:dyDescent="0.25">
      <c r="A1022" s="6">
        <v>47</v>
      </c>
      <c r="B1022" s="4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s="11" t="str">
        <f>IF(HR_Data[[#This Row],[Age]]&lt;=25,"18-25",IF(HR_Data[[#This Row],[Age]]&lt;=35,"26-35",IF(HR_Data[[#This Row],[Age]]&lt;=45,"36-45",IF(HR_Data[[#This Row],[Age]]&lt;=55,"46-55","56+"))))</f>
        <v>46-55</v>
      </c>
      <c r="AK1022" s="11" t="str">
        <f>IF(HR_Data[[#This Row],[MonthlyIncome]]&lt;3000,"Low",IF(HR_Data[[#This Row],[MonthlyIncome]]&lt;6000,"Medium",IF(HR_Data[[#This Row],[MonthlyIncome]]&lt;10000,"High","Very High")))</f>
        <v>Medium</v>
      </c>
      <c r="AL102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22" t="str">
        <f>IF(HR_Data[[#This Row],[TotalWorkingYears]]&lt;=5,"Junior",IF(HR_Data[[#This Row],[TotalWorkingYears]]&lt;=15,"Mid-Level","Senior"))</f>
        <v>Senior</v>
      </c>
      <c r="AN1022" s="11" t="str">
        <f>IF(HR_Data[[#This Row],[PerformanceRating]]=3,"Standard","Excellent")</f>
        <v>Standard</v>
      </c>
      <c r="AO1022" s="11" t="str">
        <f>IF(HR_Data[[#This Row],[JobSatisfaction]]&lt;=2,"Low","High")</f>
        <v>High</v>
      </c>
      <c r="AP1022" s="11" t="str">
        <f>IF(AND(HR_Data[[#This Row],[OverTime]]="Yes",HR_Data[[#This Row],[JobSatisfaction]]&lt;=2,HR_Data[[#This Row],[YearsAtCompany]]&lt;=2),"High Risk","Normal")</f>
        <v>Normal</v>
      </c>
    </row>
    <row r="1023" spans="1:42" x14ac:dyDescent="0.25">
      <c r="A1023" s="6">
        <v>25</v>
      </c>
      <c r="B1023" s="4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s="11" t="str">
        <f>IF(HR_Data[[#This Row],[Age]]&lt;=25,"18-25",IF(HR_Data[[#This Row],[Age]]&lt;=35,"26-35",IF(HR_Data[[#This Row],[Age]]&lt;=45,"36-45",IF(HR_Data[[#This Row],[Age]]&lt;=55,"46-55","56+"))))</f>
        <v>18-25</v>
      </c>
      <c r="AK1023" s="11" t="str">
        <f>IF(HR_Data[[#This Row],[MonthlyIncome]]&lt;3000,"Low",IF(HR_Data[[#This Row],[MonthlyIncome]]&lt;6000,"Medium",IF(HR_Data[[#This Row],[MonthlyIncome]]&lt;10000,"High","Very High")))</f>
        <v>Medium</v>
      </c>
      <c r="AL102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23" t="str">
        <f>IF(HR_Data[[#This Row],[TotalWorkingYears]]&lt;=5,"Junior",IF(HR_Data[[#This Row],[TotalWorkingYears]]&lt;=15,"Mid-Level","Senior"))</f>
        <v>Mid-Level</v>
      </c>
      <c r="AN1023" s="11" t="str">
        <f>IF(HR_Data[[#This Row],[PerformanceRating]]=3,"Standard","Excellent")</f>
        <v>Standard</v>
      </c>
      <c r="AO1023" s="11" t="str">
        <f>IF(HR_Data[[#This Row],[JobSatisfaction]]&lt;=2,"Low","High")</f>
        <v>Low</v>
      </c>
      <c r="AP1023" s="11" t="str">
        <f>IF(AND(HR_Data[[#This Row],[OverTime]]="Yes",HR_Data[[#This Row],[JobSatisfaction]]&lt;=2,HR_Data[[#This Row],[YearsAtCompany]]&lt;=2),"High Risk","Normal")</f>
        <v>Normal</v>
      </c>
    </row>
    <row r="1024" spans="1:42" x14ac:dyDescent="0.25">
      <c r="A1024" s="6">
        <v>37</v>
      </c>
      <c r="B1024" s="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s="11" t="str">
        <f>IF(HR_Data[[#This Row],[Age]]&lt;=25,"18-25",IF(HR_Data[[#This Row],[Age]]&lt;=35,"26-35",IF(HR_Data[[#This Row],[Age]]&lt;=45,"36-45",IF(HR_Data[[#This Row],[Age]]&lt;=55,"46-55","56+"))))</f>
        <v>36-45</v>
      </c>
      <c r="AK1024" s="11" t="str">
        <f>IF(HR_Data[[#This Row],[MonthlyIncome]]&lt;3000,"Low",IF(HR_Data[[#This Row],[MonthlyIncome]]&lt;6000,"Medium",IF(HR_Data[[#This Row],[MonthlyIncome]]&lt;10000,"High","Very High")))</f>
        <v>Medium</v>
      </c>
      <c r="AL102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24" t="str">
        <f>IF(HR_Data[[#This Row],[TotalWorkingYears]]&lt;=5,"Junior",IF(HR_Data[[#This Row],[TotalWorkingYears]]&lt;=15,"Mid-Level","Senior"))</f>
        <v>Mid-Level</v>
      </c>
      <c r="AN1024" s="11" t="str">
        <f>IF(HR_Data[[#This Row],[PerformanceRating]]=3,"Standard","Excellent")</f>
        <v>Standard</v>
      </c>
      <c r="AO1024" s="11" t="str">
        <f>IF(HR_Data[[#This Row],[JobSatisfaction]]&lt;=2,"Low","High")</f>
        <v>High</v>
      </c>
      <c r="AP1024" s="11" t="str">
        <f>IF(AND(HR_Data[[#This Row],[OverTime]]="Yes",HR_Data[[#This Row],[JobSatisfaction]]&lt;=2,HR_Data[[#This Row],[YearsAtCompany]]&lt;=2),"High Risk","Normal")</f>
        <v>Normal</v>
      </c>
    </row>
    <row r="1025" spans="1:42" x14ac:dyDescent="0.25">
      <c r="A1025" s="6">
        <v>56</v>
      </c>
      <c r="B1025" s="4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s="11" t="str">
        <f>IF(HR_Data[[#This Row],[Age]]&lt;=25,"18-25",IF(HR_Data[[#This Row],[Age]]&lt;=35,"26-35",IF(HR_Data[[#This Row],[Age]]&lt;=45,"36-45",IF(HR_Data[[#This Row],[Age]]&lt;=55,"46-55","56+"))))</f>
        <v>56+</v>
      </c>
      <c r="AK1025" s="11" t="str">
        <f>IF(HR_Data[[#This Row],[MonthlyIncome]]&lt;3000,"Low",IF(HR_Data[[#This Row],[MonthlyIncome]]&lt;6000,"Medium",IF(HR_Data[[#This Row],[MonthlyIncome]]&lt;10000,"High","Very High")))</f>
        <v>Low</v>
      </c>
      <c r="AL102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25" t="str">
        <f>IF(HR_Data[[#This Row],[TotalWorkingYears]]&lt;=5,"Junior",IF(HR_Data[[#This Row],[TotalWorkingYears]]&lt;=15,"Mid-Level","Senior"))</f>
        <v>Junior</v>
      </c>
      <c r="AN1025" s="11" t="str">
        <f>IF(HR_Data[[#This Row],[PerformanceRating]]=3,"Standard","Excellent")</f>
        <v>Excellent</v>
      </c>
      <c r="AO1025" s="11" t="str">
        <f>IF(HR_Data[[#This Row],[JobSatisfaction]]&lt;=2,"Low","High")</f>
        <v>Low</v>
      </c>
      <c r="AP1025" s="11" t="str">
        <f>IF(AND(HR_Data[[#This Row],[OverTime]]="Yes",HR_Data[[#This Row],[JobSatisfaction]]&lt;=2,HR_Data[[#This Row],[YearsAtCompany]]&lt;=2),"High Risk","Normal")</f>
        <v>Normal</v>
      </c>
    </row>
    <row r="1026" spans="1:42" x14ac:dyDescent="0.25">
      <c r="A1026" s="6">
        <v>47</v>
      </c>
      <c r="B1026" s="4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s="11" t="str">
        <f>IF(HR_Data[[#This Row],[Age]]&lt;=25,"18-25",IF(HR_Data[[#This Row],[Age]]&lt;=35,"26-35",IF(HR_Data[[#This Row],[Age]]&lt;=45,"36-45",IF(HR_Data[[#This Row],[Age]]&lt;=55,"46-55","56+"))))</f>
        <v>46-55</v>
      </c>
      <c r="AK1026" s="11" t="str">
        <f>IF(HR_Data[[#This Row],[MonthlyIncome]]&lt;3000,"Low",IF(HR_Data[[#This Row],[MonthlyIncome]]&lt;6000,"Medium",IF(HR_Data[[#This Row],[MonthlyIncome]]&lt;10000,"High","Very High")))</f>
        <v>Very High</v>
      </c>
      <c r="AL102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026" t="str">
        <f>IF(HR_Data[[#This Row],[TotalWorkingYears]]&lt;=5,"Junior",IF(HR_Data[[#This Row],[TotalWorkingYears]]&lt;=15,"Mid-Level","Senior"))</f>
        <v>Senior</v>
      </c>
      <c r="AN1026" s="11" t="str">
        <f>IF(HR_Data[[#This Row],[PerformanceRating]]=3,"Standard","Excellent")</f>
        <v>Standard</v>
      </c>
      <c r="AO1026" s="11" t="str">
        <f>IF(HR_Data[[#This Row],[JobSatisfaction]]&lt;=2,"Low","High")</f>
        <v>High</v>
      </c>
      <c r="AP1026" s="11" t="str">
        <f>IF(AND(HR_Data[[#This Row],[OverTime]]="Yes",HR_Data[[#This Row],[JobSatisfaction]]&lt;=2,HR_Data[[#This Row],[YearsAtCompany]]&lt;=2),"High Risk","Normal")</f>
        <v>Normal</v>
      </c>
    </row>
    <row r="1027" spans="1:42" x14ac:dyDescent="0.25">
      <c r="A1027" s="6">
        <v>24</v>
      </c>
      <c r="B1027" s="4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s="11" t="str">
        <f>IF(HR_Data[[#This Row],[Age]]&lt;=25,"18-25",IF(HR_Data[[#This Row],[Age]]&lt;=35,"26-35",IF(HR_Data[[#This Row],[Age]]&lt;=45,"36-45",IF(HR_Data[[#This Row],[Age]]&lt;=55,"46-55","56+"))))</f>
        <v>18-25</v>
      </c>
      <c r="AK1027" s="11" t="str">
        <f>IF(HR_Data[[#This Row],[MonthlyIncome]]&lt;3000,"Low",IF(HR_Data[[#This Row],[MonthlyIncome]]&lt;6000,"Medium",IF(HR_Data[[#This Row],[MonthlyIncome]]&lt;10000,"High","Very High")))</f>
        <v>Medium</v>
      </c>
      <c r="AL102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27" t="str">
        <f>IF(HR_Data[[#This Row],[TotalWorkingYears]]&lt;=5,"Junior",IF(HR_Data[[#This Row],[TotalWorkingYears]]&lt;=15,"Mid-Level","Senior"))</f>
        <v>Junior</v>
      </c>
      <c r="AN1027" s="11" t="str">
        <f>IF(HR_Data[[#This Row],[PerformanceRating]]=3,"Standard","Excellent")</f>
        <v>Standard</v>
      </c>
      <c r="AO1027" s="11" t="str">
        <f>IF(HR_Data[[#This Row],[JobSatisfaction]]&lt;=2,"Low","High")</f>
        <v>High</v>
      </c>
      <c r="AP1027" s="11" t="str">
        <f>IF(AND(HR_Data[[#This Row],[OverTime]]="Yes",HR_Data[[#This Row],[JobSatisfaction]]&lt;=2,HR_Data[[#This Row],[YearsAtCompany]]&lt;=2),"High Risk","Normal")</f>
        <v>Normal</v>
      </c>
    </row>
    <row r="1028" spans="1:42" x14ac:dyDescent="0.25">
      <c r="A1028" s="6">
        <v>32</v>
      </c>
      <c r="B1028" s="4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s="11" t="str">
        <f>IF(HR_Data[[#This Row],[Age]]&lt;=25,"18-25",IF(HR_Data[[#This Row],[Age]]&lt;=35,"26-35",IF(HR_Data[[#This Row],[Age]]&lt;=45,"36-45",IF(HR_Data[[#This Row],[Age]]&lt;=55,"46-55","56+"))))</f>
        <v>26-35</v>
      </c>
      <c r="AK1028" s="11" t="str">
        <f>IF(HR_Data[[#This Row],[MonthlyIncome]]&lt;3000,"Low",IF(HR_Data[[#This Row],[MonthlyIncome]]&lt;6000,"Medium",IF(HR_Data[[#This Row],[MonthlyIncome]]&lt;10000,"High","Very High")))</f>
        <v>High</v>
      </c>
      <c r="AL102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28" t="str">
        <f>IF(HR_Data[[#This Row],[TotalWorkingYears]]&lt;=5,"Junior",IF(HR_Data[[#This Row],[TotalWorkingYears]]&lt;=15,"Mid-Level","Senior"))</f>
        <v>Mid-Level</v>
      </c>
      <c r="AN1028" s="11" t="str">
        <f>IF(HR_Data[[#This Row],[PerformanceRating]]=3,"Standard","Excellent")</f>
        <v>Standard</v>
      </c>
      <c r="AO1028" s="11" t="str">
        <f>IF(HR_Data[[#This Row],[JobSatisfaction]]&lt;=2,"Low","High")</f>
        <v>High</v>
      </c>
      <c r="AP1028" s="11" t="str">
        <f>IF(AND(HR_Data[[#This Row],[OverTime]]="Yes",HR_Data[[#This Row],[JobSatisfaction]]&lt;=2,HR_Data[[#This Row],[YearsAtCompany]]&lt;=2),"High Risk","Normal")</f>
        <v>Normal</v>
      </c>
    </row>
    <row r="1029" spans="1:42" x14ac:dyDescent="0.25">
      <c r="A1029" s="6">
        <v>34</v>
      </c>
      <c r="B1029" s="4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s="11" t="str">
        <f>IF(HR_Data[[#This Row],[Age]]&lt;=25,"18-25",IF(HR_Data[[#This Row],[Age]]&lt;=35,"26-35",IF(HR_Data[[#This Row],[Age]]&lt;=45,"36-45",IF(HR_Data[[#This Row],[Age]]&lt;=55,"46-55","56+"))))</f>
        <v>26-35</v>
      </c>
      <c r="AK1029" s="11" t="str">
        <f>IF(HR_Data[[#This Row],[MonthlyIncome]]&lt;3000,"Low",IF(HR_Data[[#This Row],[MonthlyIncome]]&lt;6000,"Medium",IF(HR_Data[[#This Row],[MonthlyIncome]]&lt;10000,"High","Very High")))</f>
        <v>Medium</v>
      </c>
      <c r="AL102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29" t="str">
        <f>IF(HR_Data[[#This Row],[TotalWorkingYears]]&lt;=5,"Junior",IF(HR_Data[[#This Row],[TotalWorkingYears]]&lt;=15,"Mid-Level","Senior"))</f>
        <v>Mid-Level</v>
      </c>
      <c r="AN1029" s="11" t="str">
        <f>IF(HR_Data[[#This Row],[PerformanceRating]]=3,"Standard","Excellent")</f>
        <v>Standard</v>
      </c>
      <c r="AO1029" s="11" t="str">
        <f>IF(HR_Data[[#This Row],[JobSatisfaction]]&lt;=2,"Low","High")</f>
        <v>Low</v>
      </c>
      <c r="AP1029" s="11" t="str">
        <f>IF(AND(HR_Data[[#This Row],[OverTime]]="Yes",HR_Data[[#This Row],[JobSatisfaction]]&lt;=2,HR_Data[[#This Row],[YearsAtCompany]]&lt;=2),"High Risk","Normal")</f>
        <v>Normal</v>
      </c>
    </row>
    <row r="1030" spans="1:42" x14ac:dyDescent="0.25">
      <c r="A1030" s="6">
        <v>41</v>
      </c>
      <c r="B1030" s="4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s="11" t="str">
        <f>IF(HR_Data[[#This Row],[Age]]&lt;=25,"18-25",IF(HR_Data[[#This Row],[Age]]&lt;=35,"26-35",IF(HR_Data[[#This Row],[Age]]&lt;=45,"36-45",IF(HR_Data[[#This Row],[Age]]&lt;=55,"46-55","56+"))))</f>
        <v>36-45</v>
      </c>
      <c r="AK1030" s="11" t="str">
        <f>IF(HR_Data[[#This Row],[MonthlyIncome]]&lt;3000,"Low",IF(HR_Data[[#This Row],[MonthlyIncome]]&lt;6000,"Medium",IF(HR_Data[[#This Row],[MonthlyIncome]]&lt;10000,"High","Very High")))</f>
        <v>Low</v>
      </c>
      <c r="AL103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30" t="str">
        <f>IF(HR_Data[[#This Row],[TotalWorkingYears]]&lt;=5,"Junior",IF(HR_Data[[#This Row],[TotalWorkingYears]]&lt;=15,"Mid-Level","Senior"))</f>
        <v>Mid-Level</v>
      </c>
      <c r="AN1030" s="11" t="str">
        <f>IF(HR_Data[[#This Row],[PerformanceRating]]=3,"Standard","Excellent")</f>
        <v>Standard</v>
      </c>
      <c r="AO1030" s="11" t="str">
        <f>IF(HR_Data[[#This Row],[JobSatisfaction]]&lt;=2,"Low","High")</f>
        <v>High</v>
      </c>
      <c r="AP1030" s="11" t="str">
        <f>IF(AND(HR_Data[[#This Row],[OverTime]]="Yes",HR_Data[[#This Row],[JobSatisfaction]]&lt;=2,HR_Data[[#This Row],[YearsAtCompany]]&lt;=2),"High Risk","Normal")</f>
        <v>Normal</v>
      </c>
    </row>
    <row r="1031" spans="1:42" x14ac:dyDescent="0.25">
      <c r="A1031" s="6">
        <v>40</v>
      </c>
      <c r="B1031" s="4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s="11" t="str">
        <f>IF(HR_Data[[#This Row],[Age]]&lt;=25,"18-25",IF(HR_Data[[#This Row],[Age]]&lt;=35,"26-35",IF(HR_Data[[#This Row],[Age]]&lt;=45,"36-45",IF(HR_Data[[#This Row],[Age]]&lt;=55,"46-55","56+"))))</f>
        <v>36-45</v>
      </c>
      <c r="AK1031" s="11" t="str">
        <f>IF(HR_Data[[#This Row],[MonthlyIncome]]&lt;3000,"Low",IF(HR_Data[[#This Row],[MonthlyIncome]]&lt;6000,"Medium",IF(HR_Data[[#This Row],[MonthlyIncome]]&lt;10000,"High","Very High")))</f>
        <v>Medium</v>
      </c>
      <c r="AL103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31" t="str">
        <f>IF(HR_Data[[#This Row],[TotalWorkingYears]]&lt;=5,"Junior",IF(HR_Data[[#This Row],[TotalWorkingYears]]&lt;=15,"Mid-Level","Senior"))</f>
        <v>Mid-Level</v>
      </c>
      <c r="AN1031" s="11" t="str">
        <f>IF(HR_Data[[#This Row],[PerformanceRating]]=3,"Standard","Excellent")</f>
        <v>Standard</v>
      </c>
      <c r="AO1031" s="11" t="str">
        <f>IF(HR_Data[[#This Row],[JobSatisfaction]]&lt;=2,"Low","High")</f>
        <v>High</v>
      </c>
      <c r="AP1031" s="11" t="str">
        <f>IF(AND(HR_Data[[#This Row],[OverTime]]="Yes",HR_Data[[#This Row],[JobSatisfaction]]&lt;=2,HR_Data[[#This Row],[YearsAtCompany]]&lt;=2),"High Risk","Normal")</f>
        <v>Normal</v>
      </c>
    </row>
    <row r="1032" spans="1:42" x14ac:dyDescent="0.25">
      <c r="A1032" s="6">
        <v>31</v>
      </c>
      <c r="B1032" s="4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s="11" t="str">
        <f>IF(HR_Data[[#This Row],[Age]]&lt;=25,"18-25",IF(HR_Data[[#This Row],[Age]]&lt;=35,"26-35",IF(HR_Data[[#This Row],[Age]]&lt;=45,"36-45",IF(HR_Data[[#This Row],[Age]]&lt;=55,"46-55","56+"))))</f>
        <v>26-35</v>
      </c>
      <c r="AK1032" s="11" t="str">
        <f>IF(HR_Data[[#This Row],[MonthlyIncome]]&lt;3000,"Low",IF(HR_Data[[#This Row],[MonthlyIncome]]&lt;6000,"Medium",IF(HR_Data[[#This Row],[MonthlyIncome]]&lt;10000,"High","Very High")))</f>
        <v>Very High</v>
      </c>
      <c r="AL103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032" t="str">
        <f>IF(HR_Data[[#This Row],[TotalWorkingYears]]&lt;=5,"Junior",IF(HR_Data[[#This Row],[TotalWorkingYears]]&lt;=15,"Mid-Level","Senior"))</f>
        <v>Mid-Level</v>
      </c>
      <c r="AN1032" s="11" t="str">
        <f>IF(HR_Data[[#This Row],[PerformanceRating]]=3,"Standard","Excellent")</f>
        <v>Standard</v>
      </c>
      <c r="AO1032" s="11" t="str">
        <f>IF(HR_Data[[#This Row],[JobSatisfaction]]&lt;=2,"Low","High")</f>
        <v>High</v>
      </c>
      <c r="AP1032" s="11" t="str">
        <f>IF(AND(HR_Data[[#This Row],[OverTime]]="Yes",HR_Data[[#This Row],[JobSatisfaction]]&lt;=2,HR_Data[[#This Row],[YearsAtCompany]]&lt;=2),"High Risk","Normal")</f>
        <v>Normal</v>
      </c>
    </row>
    <row r="1033" spans="1:42" x14ac:dyDescent="0.25">
      <c r="A1033" s="6">
        <v>46</v>
      </c>
      <c r="B1033" s="4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s="11" t="str">
        <f>IF(HR_Data[[#This Row],[Age]]&lt;=25,"18-25",IF(HR_Data[[#This Row],[Age]]&lt;=35,"26-35",IF(HR_Data[[#This Row],[Age]]&lt;=45,"36-45",IF(HR_Data[[#This Row],[Age]]&lt;=55,"46-55","56+"))))</f>
        <v>46-55</v>
      </c>
      <c r="AK1033" s="11" t="str">
        <f>IF(HR_Data[[#This Row],[MonthlyIncome]]&lt;3000,"Low",IF(HR_Data[[#This Row],[MonthlyIncome]]&lt;6000,"Medium",IF(HR_Data[[#This Row],[MonthlyIncome]]&lt;10000,"High","Very High")))</f>
        <v>Very High</v>
      </c>
      <c r="AL103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33" t="str">
        <f>IF(HR_Data[[#This Row],[TotalWorkingYears]]&lt;=5,"Junior",IF(HR_Data[[#This Row],[TotalWorkingYears]]&lt;=15,"Mid-Level","Senior"))</f>
        <v>Senior</v>
      </c>
      <c r="AN1033" s="11" t="str">
        <f>IF(HR_Data[[#This Row],[PerformanceRating]]=3,"Standard","Excellent")</f>
        <v>Standard</v>
      </c>
      <c r="AO1033" s="11" t="str">
        <f>IF(HR_Data[[#This Row],[JobSatisfaction]]&lt;=2,"Low","High")</f>
        <v>High</v>
      </c>
      <c r="AP1033" s="11" t="str">
        <f>IF(AND(HR_Data[[#This Row],[OverTime]]="Yes",HR_Data[[#This Row],[JobSatisfaction]]&lt;=2,HR_Data[[#This Row],[YearsAtCompany]]&lt;=2),"High Risk","Normal")</f>
        <v>Normal</v>
      </c>
    </row>
    <row r="1034" spans="1:42" x14ac:dyDescent="0.25">
      <c r="A1034" s="6">
        <v>39</v>
      </c>
      <c r="B1034" s="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s="11" t="str">
        <f>IF(HR_Data[[#This Row],[Age]]&lt;=25,"18-25",IF(HR_Data[[#This Row],[Age]]&lt;=35,"26-35",IF(HR_Data[[#This Row],[Age]]&lt;=45,"36-45",IF(HR_Data[[#This Row],[Age]]&lt;=55,"46-55","56+"))))</f>
        <v>36-45</v>
      </c>
      <c r="AK1034" s="11" t="str">
        <f>IF(HR_Data[[#This Row],[MonthlyIncome]]&lt;3000,"Low",IF(HR_Data[[#This Row],[MonthlyIncome]]&lt;6000,"Medium",IF(HR_Data[[#This Row],[MonthlyIncome]]&lt;10000,"High","Very High")))</f>
        <v>Medium</v>
      </c>
      <c r="AL103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34" t="str">
        <f>IF(HR_Data[[#This Row],[TotalWorkingYears]]&lt;=5,"Junior",IF(HR_Data[[#This Row],[TotalWorkingYears]]&lt;=15,"Mid-Level","Senior"))</f>
        <v>Mid-Level</v>
      </c>
      <c r="AN1034" s="11" t="str">
        <f>IF(HR_Data[[#This Row],[PerformanceRating]]=3,"Standard","Excellent")</f>
        <v>Excellent</v>
      </c>
      <c r="AO1034" s="11" t="str">
        <f>IF(HR_Data[[#This Row],[JobSatisfaction]]&lt;=2,"Low","High")</f>
        <v>Low</v>
      </c>
      <c r="AP1034" s="11" t="str">
        <f>IF(AND(HR_Data[[#This Row],[OverTime]]="Yes",HR_Data[[#This Row],[JobSatisfaction]]&lt;=2,HR_Data[[#This Row],[YearsAtCompany]]&lt;=2),"High Risk","Normal")</f>
        <v>High Risk</v>
      </c>
    </row>
    <row r="1035" spans="1:42" x14ac:dyDescent="0.25">
      <c r="A1035" s="6">
        <v>31</v>
      </c>
      <c r="B1035" s="4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s="11" t="str">
        <f>IF(HR_Data[[#This Row],[Age]]&lt;=25,"18-25",IF(HR_Data[[#This Row],[Age]]&lt;=35,"26-35",IF(HR_Data[[#This Row],[Age]]&lt;=45,"36-45",IF(HR_Data[[#This Row],[Age]]&lt;=55,"46-55","56+"))))</f>
        <v>26-35</v>
      </c>
      <c r="AK1035" s="11" t="str">
        <f>IF(HR_Data[[#This Row],[MonthlyIncome]]&lt;3000,"Low",IF(HR_Data[[#This Row],[MonthlyIncome]]&lt;6000,"Medium",IF(HR_Data[[#This Row],[MonthlyIncome]]&lt;10000,"High","Very High")))</f>
        <v>High</v>
      </c>
      <c r="AL103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35" t="str">
        <f>IF(HR_Data[[#This Row],[TotalWorkingYears]]&lt;=5,"Junior",IF(HR_Data[[#This Row],[TotalWorkingYears]]&lt;=15,"Mid-Level","Senior"))</f>
        <v>Mid-Level</v>
      </c>
      <c r="AN1035" s="11" t="str">
        <f>IF(HR_Data[[#This Row],[PerformanceRating]]=3,"Standard","Excellent")</f>
        <v>Standard</v>
      </c>
      <c r="AO1035" s="11" t="str">
        <f>IF(HR_Data[[#This Row],[JobSatisfaction]]&lt;=2,"Low","High")</f>
        <v>Low</v>
      </c>
      <c r="AP1035" s="11" t="str">
        <f>IF(AND(HR_Data[[#This Row],[OverTime]]="Yes",HR_Data[[#This Row],[JobSatisfaction]]&lt;=2,HR_Data[[#This Row],[YearsAtCompany]]&lt;=2),"High Risk","Normal")</f>
        <v>Normal</v>
      </c>
    </row>
    <row r="1036" spans="1:42" x14ac:dyDescent="0.25">
      <c r="A1036" s="6">
        <v>45</v>
      </c>
      <c r="B1036" s="4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s="11" t="str">
        <f>IF(HR_Data[[#This Row],[Age]]&lt;=25,"18-25",IF(HR_Data[[#This Row],[Age]]&lt;=35,"26-35",IF(HR_Data[[#This Row],[Age]]&lt;=45,"36-45",IF(HR_Data[[#This Row],[Age]]&lt;=55,"46-55","56+"))))</f>
        <v>36-45</v>
      </c>
      <c r="AK1036" s="11" t="str">
        <f>IF(HR_Data[[#This Row],[MonthlyIncome]]&lt;3000,"Low",IF(HR_Data[[#This Row],[MonthlyIncome]]&lt;6000,"Medium",IF(HR_Data[[#This Row],[MonthlyIncome]]&lt;10000,"High","Very High")))</f>
        <v>Very High</v>
      </c>
      <c r="AL103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36" t="str">
        <f>IF(HR_Data[[#This Row],[TotalWorkingYears]]&lt;=5,"Junior",IF(HR_Data[[#This Row],[TotalWorkingYears]]&lt;=15,"Mid-Level","Senior"))</f>
        <v>Senior</v>
      </c>
      <c r="AN1036" s="11" t="str">
        <f>IF(HR_Data[[#This Row],[PerformanceRating]]=3,"Standard","Excellent")</f>
        <v>Standard</v>
      </c>
      <c r="AO1036" s="11" t="str">
        <f>IF(HR_Data[[#This Row],[JobSatisfaction]]&lt;=2,"Low","High")</f>
        <v>Low</v>
      </c>
      <c r="AP1036" s="11" t="str">
        <f>IF(AND(HR_Data[[#This Row],[OverTime]]="Yes",HR_Data[[#This Row],[JobSatisfaction]]&lt;=2,HR_Data[[#This Row],[YearsAtCompany]]&lt;=2),"High Risk","Normal")</f>
        <v>Normal</v>
      </c>
    </row>
    <row r="1037" spans="1:42" x14ac:dyDescent="0.25">
      <c r="A1037" s="6">
        <v>31</v>
      </c>
      <c r="B1037" s="4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s="11" t="str">
        <f>IF(HR_Data[[#This Row],[Age]]&lt;=25,"18-25",IF(HR_Data[[#This Row],[Age]]&lt;=35,"26-35",IF(HR_Data[[#This Row],[Age]]&lt;=45,"36-45",IF(HR_Data[[#This Row],[Age]]&lt;=55,"46-55","56+"))))</f>
        <v>26-35</v>
      </c>
      <c r="AK1037" s="11" t="str">
        <f>IF(HR_Data[[#This Row],[MonthlyIncome]]&lt;3000,"Low",IF(HR_Data[[#This Row],[MonthlyIncome]]&lt;6000,"Medium",IF(HR_Data[[#This Row],[MonthlyIncome]]&lt;10000,"High","Very High")))</f>
        <v>Low</v>
      </c>
      <c r="AL103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37" t="str">
        <f>IF(HR_Data[[#This Row],[TotalWorkingYears]]&lt;=5,"Junior",IF(HR_Data[[#This Row],[TotalWorkingYears]]&lt;=15,"Mid-Level","Senior"))</f>
        <v>Mid-Level</v>
      </c>
      <c r="AN1037" s="11" t="str">
        <f>IF(HR_Data[[#This Row],[PerformanceRating]]=3,"Standard","Excellent")</f>
        <v>Standard</v>
      </c>
      <c r="AO1037" s="11" t="str">
        <f>IF(HR_Data[[#This Row],[JobSatisfaction]]&lt;=2,"Low","High")</f>
        <v>Low</v>
      </c>
      <c r="AP1037" s="11" t="str">
        <f>IF(AND(HR_Data[[#This Row],[OverTime]]="Yes",HR_Data[[#This Row],[JobSatisfaction]]&lt;=2,HR_Data[[#This Row],[YearsAtCompany]]&lt;=2),"High Risk","Normal")</f>
        <v>Normal</v>
      </c>
    </row>
    <row r="1038" spans="1:42" x14ac:dyDescent="0.25">
      <c r="A1038" s="6">
        <v>31</v>
      </c>
      <c r="B1038" s="4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s="11" t="str">
        <f>IF(HR_Data[[#This Row],[Age]]&lt;=25,"18-25",IF(HR_Data[[#This Row],[Age]]&lt;=35,"26-35",IF(HR_Data[[#This Row],[Age]]&lt;=45,"36-45",IF(HR_Data[[#This Row],[Age]]&lt;=55,"46-55","56+"))))</f>
        <v>26-35</v>
      </c>
      <c r="AK1038" s="11" t="str">
        <f>IF(HR_Data[[#This Row],[MonthlyIncome]]&lt;3000,"Low",IF(HR_Data[[#This Row],[MonthlyIncome]]&lt;6000,"Medium",IF(HR_Data[[#This Row],[MonthlyIncome]]&lt;10000,"High","Very High")))</f>
        <v>Medium</v>
      </c>
      <c r="AL103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38" t="str">
        <f>IF(HR_Data[[#This Row],[TotalWorkingYears]]&lt;=5,"Junior",IF(HR_Data[[#This Row],[TotalWorkingYears]]&lt;=15,"Mid-Level","Senior"))</f>
        <v>Mid-Level</v>
      </c>
      <c r="AN1038" s="11" t="str">
        <f>IF(HR_Data[[#This Row],[PerformanceRating]]=3,"Standard","Excellent")</f>
        <v>Standard</v>
      </c>
      <c r="AO1038" s="11" t="str">
        <f>IF(HR_Data[[#This Row],[JobSatisfaction]]&lt;=2,"Low","High")</f>
        <v>High</v>
      </c>
      <c r="AP1038" s="11" t="str">
        <f>IF(AND(HR_Data[[#This Row],[OverTime]]="Yes",HR_Data[[#This Row],[JobSatisfaction]]&lt;=2,HR_Data[[#This Row],[YearsAtCompany]]&lt;=2),"High Risk","Normal")</f>
        <v>Normal</v>
      </c>
    </row>
    <row r="1039" spans="1:42" x14ac:dyDescent="0.25">
      <c r="A1039" s="6">
        <v>45</v>
      </c>
      <c r="B1039" s="4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s="11" t="str">
        <f>IF(HR_Data[[#This Row],[Age]]&lt;=25,"18-25",IF(HR_Data[[#This Row],[Age]]&lt;=35,"26-35",IF(HR_Data[[#This Row],[Age]]&lt;=45,"36-45",IF(HR_Data[[#This Row],[Age]]&lt;=55,"46-55","56+"))))</f>
        <v>36-45</v>
      </c>
      <c r="AK1039" s="11" t="str">
        <f>IF(HR_Data[[#This Row],[MonthlyIncome]]&lt;3000,"Low",IF(HR_Data[[#This Row],[MonthlyIncome]]&lt;6000,"Medium",IF(HR_Data[[#This Row],[MonthlyIncome]]&lt;10000,"High","Very High")))</f>
        <v>High</v>
      </c>
      <c r="AL103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39" t="str">
        <f>IF(HR_Data[[#This Row],[TotalWorkingYears]]&lt;=5,"Junior",IF(HR_Data[[#This Row],[TotalWorkingYears]]&lt;=15,"Mid-Level","Senior"))</f>
        <v>Mid-Level</v>
      </c>
      <c r="AN1039" s="11" t="str">
        <f>IF(HR_Data[[#This Row],[PerformanceRating]]=3,"Standard","Excellent")</f>
        <v>Standard</v>
      </c>
      <c r="AO1039" s="11" t="str">
        <f>IF(HR_Data[[#This Row],[JobSatisfaction]]&lt;=2,"Low","High")</f>
        <v>High</v>
      </c>
      <c r="AP1039" s="11" t="str">
        <f>IF(AND(HR_Data[[#This Row],[OverTime]]="Yes",HR_Data[[#This Row],[JobSatisfaction]]&lt;=2,HR_Data[[#This Row],[YearsAtCompany]]&lt;=2),"High Risk","Normal")</f>
        <v>Normal</v>
      </c>
    </row>
    <row r="1040" spans="1:42" x14ac:dyDescent="0.25">
      <c r="A1040" s="6">
        <v>48</v>
      </c>
      <c r="B1040" s="4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s="11" t="str">
        <f>IF(HR_Data[[#This Row],[Age]]&lt;=25,"18-25",IF(HR_Data[[#This Row],[Age]]&lt;=35,"26-35",IF(HR_Data[[#This Row],[Age]]&lt;=45,"36-45",IF(HR_Data[[#This Row],[Age]]&lt;=55,"46-55","56+"))))</f>
        <v>46-55</v>
      </c>
      <c r="AK1040" s="11" t="str">
        <f>IF(HR_Data[[#This Row],[MonthlyIncome]]&lt;3000,"Low",IF(HR_Data[[#This Row],[MonthlyIncome]]&lt;6000,"Medium",IF(HR_Data[[#This Row],[MonthlyIncome]]&lt;10000,"High","Very High")))</f>
        <v>Medium</v>
      </c>
      <c r="AL104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40" t="str">
        <f>IF(HR_Data[[#This Row],[TotalWorkingYears]]&lt;=5,"Junior",IF(HR_Data[[#This Row],[TotalWorkingYears]]&lt;=15,"Mid-Level","Senior"))</f>
        <v>Mid-Level</v>
      </c>
      <c r="AN1040" s="11" t="str">
        <f>IF(HR_Data[[#This Row],[PerformanceRating]]=3,"Standard","Excellent")</f>
        <v>Standard</v>
      </c>
      <c r="AO1040" s="11" t="str">
        <f>IF(HR_Data[[#This Row],[JobSatisfaction]]&lt;=2,"Low","High")</f>
        <v>Low</v>
      </c>
      <c r="AP1040" s="11" t="str">
        <f>IF(AND(HR_Data[[#This Row],[OverTime]]="Yes",HR_Data[[#This Row],[JobSatisfaction]]&lt;=2,HR_Data[[#This Row],[YearsAtCompany]]&lt;=2),"High Risk","Normal")</f>
        <v>Normal</v>
      </c>
    </row>
    <row r="1041" spans="1:42" x14ac:dyDescent="0.25">
      <c r="A1041" s="6">
        <v>34</v>
      </c>
      <c r="B1041" s="4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s="11" t="str">
        <f>IF(HR_Data[[#This Row],[Age]]&lt;=25,"18-25",IF(HR_Data[[#This Row],[Age]]&lt;=35,"26-35",IF(HR_Data[[#This Row],[Age]]&lt;=45,"36-45",IF(HR_Data[[#This Row],[Age]]&lt;=55,"46-55","56+"))))</f>
        <v>26-35</v>
      </c>
      <c r="AK1041" s="11" t="str">
        <f>IF(HR_Data[[#This Row],[MonthlyIncome]]&lt;3000,"Low",IF(HR_Data[[#This Row],[MonthlyIncome]]&lt;6000,"Medium",IF(HR_Data[[#This Row],[MonthlyIncome]]&lt;10000,"High","Very High")))</f>
        <v>Low</v>
      </c>
      <c r="AL104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41" t="str">
        <f>IF(HR_Data[[#This Row],[TotalWorkingYears]]&lt;=5,"Junior",IF(HR_Data[[#This Row],[TotalWorkingYears]]&lt;=15,"Mid-Level","Senior"))</f>
        <v>Junior</v>
      </c>
      <c r="AN1041" s="11" t="str">
        <f>IF(HR_Data[[#This Row],[PerformanceRating]]=3,"Standard","Excellent")</f>
        <v>Standard</v>
      </c>
      <c r="AO1041" s="11" t="str">
        <f>IF(HR_Data[[#This Row],[JobSatisfaction]]&lt;=2,"Low","High")</f>
        <v>High</v>
      </c>
      <c r="AP1041" s="11" t="str">
        <f>IF(AND(HR_Data[[#This Row],[OverTime]]="Yes",HR_Data[[#This Row],[JobSatisfaction]]&lt;=2,HR_Data[[#This Row],[YearsAtCompany]]&lt;=2),"High Risk","Normal")</f>
        <v>Normal</v>
      </c>
    </row>
    <row r="1042" spans="1:42" x14ac:dyDescent="0.25">
      <c r="A1042" s="6">
        <v>40</v>
      </c>
      <c r="B1042" s="4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s="11" t="str">
        <f>IF(HR_Data[[#This Row],[Age]]&lt;=25,"18-25",IF(HR_Data[[#This Row],[Age]]&lt;=35,"26-35",IF(HR_Data[[#This Row],[Age]]&lt;=45,"36-45",IF(HR_Data[[#This Row],[Age]]&lt;=55,"46-55","56+"))))</f>
        <v>36-45</v>
      </c>
      <c r="AK1042" s="11" t="str">
        <f>IF(HR_Data[[#This Row],[MonthlyIncome]]&lt;3000,"Low",IF(HR_Data[[#This Row],[MonthlyIncome]]&lt;6000,"Medium",IF(HR_Data[[#This Row],[MonthlyIncome]]&lt;10000,"High","Very High")))</f>
        <v>Very High</v>
      </c>
      <c r="AL104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42" t="str">
        <f>IF(HR_Data[[#This Row],[TotalWorkingYears]]&lt;=5,"Junior",IF(HR_Data[[#This Row],[TotalWorkingYears]]&lt;=15,"Mid-Level","Senior"))</f>
        <v>Senior</v>
      </c>
      <c r="AN1042" s="11" t="str">
        <f>IF(HR_Data[[#This Row],[PerformanceRating]]=3,"Standard","Excellent")</f>
        <v>Standard</v>
      </c>
      <c r="AO1042" s="11" t="str">
        <f>IF(HR_Data[[#This Row],[JobSatisfaction]]&lt;=2,"Low","High")</f>
        <v>Low</v>
      </c>
      <c r="AP1042" s="11" t="str">
        <f>IF(AND(HR_Data[[#This Row],[OverTime]]="Yes",HR_Data[[#This Row],[JobSatisfaction]]&lt;=2,HR_Data[[#This Row],[YearsAtCompany]]&lt;=2),"High Risk","Normal")</f>
        <v>Normal</v>
      </c>
    </row>
    <row r="1043" spans="1:42" x14ac:dyDescent="0.25">
      <c r="A1043" s="6">
        <v>28</v>
      </c>
      <c r="B1043" s="4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s="11" t="str">
        <f>IF(HR_Data[[#This Row],[Age]]&lt;=25,"18-25",IF(HR_Data[[#This Row],[Age]]&lt;=35,"26-35",IF(HR_Data[[#This Row],[Age]]&lt;=45,"36-45",IF(HR_Data[[#This Row],[Age]]&lt;=55,"46-55","56+"))))</f>
        <v>26-35</v>
      </c>
      <c r="AK1043" s="11" t="str">
        <f>IF(HR_Data[[#This Row],[MonthlyIncome]]&lt;3000,"Low",IF(HR_Data[[#This Row],[MonthlyIncome]]&lt;6000,"Medium",IF(HR_Data[[#This Row],[MonthlyIncome]]&lt;10000,"High","Very High")))</f>
        <v>High</v>
      </c>
      <c r="AL104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43" t="str">
        <f>IF(HR_Data[[#This Row],[TotalWorkingYears]]&lt;=5,"Junior",IF(HR_Data[[#This Row],[TotalWorkingYears]]&lt;=15,"Mid-Level","Senior"))</f>
        <v>Mid-Level</v>
      </c>
      <c r="AN1043" s="11" t="str">
        <f>IF(HR_Data[[#This Row],[PerformanceRating]]=3,"Standard","Excellent")</f>
        <v>Standard</v>
      </c>
      <c r="AO1043" s="11" t="str">
        <f>IF(HR_Data[[#This Row],[JobSatisfaction]]&lt;=2,"Low","High")</f>
        <v>Low</v>
      </c>
      <c r="AP1043" s="11" t="str">
        <f>IF(AND(HR_Data[[#This Row],[OverTime]]="Yes",HR_Data[[#This Row],[JobSatisfaction]]&lt;=2,HR_Data[[#This Row],[YearsAtCompany]]&lt;=2),"High Risk","Normal")</f>
        <v>Normal</v>
      </c>
    </row>
    <row r="1044" spans="1:42" x14ac:dyDescent="0.25">
      <c r="A1044" s="6">
        <v>44</v>
      </c>
      <c r="B1044" s="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s="11" t="str">
        <f>IF(HR_Data[[#This Row],[Age]]&lt;=25,"18-25",IF(HR_Data[[#This Row],[Age]]&lt;=35,"26-35",IF(HR_Data[[#This Row],[Age]]&lt;=45,"36-45",IF(HR_Data[[#This Row],[Age]]&lt;=55,"46-55","56+"))))</f>
        <v>36-45</v>
      </c>
      <c r="AK1044" s="11" t="str">
        <f>IF(HR_Data[[#This Row],[MonthlyIncome]]&lt;3000,"Low",IF(HR_Data[[#This Row],[MonthlyIncome]]&lt;6000,"Medium",IF(HR_Data[[#This Row],[MonthlyIncome]]&lt;10000,"High","Very High")))</f>
        <v>Medium</v>
      </c>
      <c r="AL104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44" t="str">
        <f>IF(HR_Data[[#This Row],[TotalWorkingYears]]&lt;=5,"Junior",IF(HR_Data[[#This Row],[TotalWorkingYears]]&lt;=15,"Mid-Level","Senior"))</f>
        <v>Mid-Level</v>
      </c>
      <c r="AN1044" s="11" t="str">
        <f>IF(HR_Data[[#This Row],[PerformanceRating]]=3,"Standard","Excellent")</f>
        <v>Standard</v>
      </c>
      <c r="AO1044" s="11" t="str">
        <f>IF(HR_Data[[#This Row],[JobSatisfaction]]&lt;=2,"Low","High")</f>
        <v>High</v>
      </c>
      <c r="AP1044" s="11" t="str">
        <f>IF(AND(HR_Data[[#This Row],[OverTime]]="Yes",HR_Data[[#This Row],[JobSatisfaction]]&lt;=2,HR_Data[[#This Row],[YearsAtCompany]]&lt;=2),"High Risk","Normal")</f>
        <v>Normal</v>
      </c>
    </row>
    <row r="1045" spans="1:42" x14ac:dyDescent="0.25">
      <c r="A1045" s="6">
        <v>53</v>
      </c>
      <c r="B1045" s="4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s="11" t="str">
        <f>IF(HR_Data[[#This Row],[Age]]&lt;=25,"18-25",IF(HR_Data[[#This Row],[Age]]&lt;=35,"26-35",IF(HR_Data[[#This Row],[Age]]&lt;=45,"36-45",IF(HR_Data[[#This Row],[Age]]&lt;=55,"46-55","56+"))))</f>
        <v>46-55</v>
      </c>
      <c r="AK1045" s="11" t="str">
        <f>IF(HR_Data[[#This Row],[MonthlyIncome]]&lt;3000,"Low",IF(HR_Data[[#This Row],[MonthlyIncome]]&lt;6000,"Medium",IF(HR_Data[[#This Row],[MonthlyIncome]]&lt;10000,"High","Very High")))</f>
        <v>Very High</v>
      </c>
      <c r="AL104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45" t="str">
        <f>IF(HR_Data[[#This Row],[TotalWorkingYears]]&lt;=5,"Junior",IF(HR_Data[[#This Row],[TotalWorkingYears]]&lt;=15,"Mid-Level","Senior"))</f>
        <v>Senior</v>
      </c>
      <c r="AN1045" s="11" t="str">
        <f>IF(HR_Data[[#This Row],[PerformanceRating]]=3,"Standard","Excellent")</f>
        <v>Standard</v>
      </c>
      <c r="AO1045" s="11" t="str">
        <f>IF(HR_Data[[#This Row],[JobSatisfaction]]&lt;=2,"Low","High")</f>
        <v>Low</v>
      </c>
      <c r="AP1045" s="11" t="str">
        <f>IF(AND(HR_Data[[#This Row],[OverTime]]="Yes",HR_Data[[#This Row],[JobSatisfaction]]&lt;=2,HR_Data[[#This Row],[YearsAtCompany]]&lt;=2),"High Risk","Normal")</f>
        <v>Normal</v>
      </c>
    </row>
    <row r="1046" spans="1:42" x14ac:dyDescent="0.25">
      <c r="A1046" s="6">
        <v>49</v>
      </c>
      <c r="B1046" s="4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s="11" t="str">
        <f>IF(HR_Data[[#This Row],[Age]]&lt;=25,"18-25",IF(HR_Data[[#This Row],[Age]]&lt;=35,"26-35",IF(HR_Data[[#This Row],[Age]]&lt;=45,"36-45",IF(HR_Data[[#This Row],[Age]]&lt;=55,"46-55","56+"))))</f>
        <v>46-55</v>
      </c>
      <c r="AK1046" s="11" t="str">
        <f>IF(HR_Data[[#This Row],[MonthlyIncome]]&lt;3000,"Low",IF(HR_Data[[#This Row],[MonthlyIncome]]&lt;6000,"Medium",IF(HR_Data[[#This Row],[MonthlyIncome]]&lt;10000,"High","Very High")))</f>
        <v>High</v>
      </c>
      <c r="AL104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46" t="str">
        <f>IF(HR_Data[[#This Row],[TotalWorkingYears]]&lt;=5,"Junior",IF(HR_Data[[#This Row],[TotalWorkingYears]]&lt;=15,"Mid-Level","Senior"))</f>
        <v>Senior</v>
      </c>
      <c r="AN1046" s="11" t="str">
        <f>IF(HR_Data[[#This Row],[PerformanceRating]]=3,"Standard","Excellent")</f>
        <v>Standard</v>
      </c>
      <c r="AO1046" s="11" t="str">
        <f>IF(HR_Data[[#This Row],[JobSatisfaction]]&lt;=2,"Low","High")</f>
        <v>High</v>
      </c>
      <c r="AP1046" s="11" t="str">
        <f>IF(AND(HR_Data[[#This Row],[OverTime]]="Yes",HR_Data[[#This Row],[JobSatisfaction]]&lt;=2,HR_Data[[#This Row],[YearsAtCompany]]&lt;=2),"High Risk","Normal")</f>
        <v>Normal</v>
      </c>
    </row>
    <row r="1047" spans="1:42" x14ac:dyDescent="0.25">
      <c r="A1047" s="6">
        <v>40</v>
      </c>
      <c r="B1047" s="4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s="11" t="str">
        <f>IF(HR_Data[[#This Row],[Age]]&lt;=25,"18-25",IF(HR_Data[[#This Row],[Age]]&lt;=35,"26-35",IF(HR_Data[[#This Row],[Age]]&lt;=45,"36-45",IF(HR_Data[[#This Row],[Age]]&lt;=55,"46-55","56+"))))</f>
        <v>36-45</v>
      </c>
      <c r="AK1047" s="11" t="str">
        <f>IF(HR_Data[[#This Row],[MonthlyIncome]]&lt;3000,"Low",IF(HR_Data[[#This Row],[MonthlyIncome]]&lt;6000,"Medium",IF(HR_Data[[#This Row],[MonthlyIncome]]&lt;10000,"High","Very High")))</f>
        <v>Low</v>
      </c>
      <c r="AL104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47" t="str">
        <f>IF(HR_Data[[#This Row],[TotalWorkingYears]]&lt;=5,"Junior",IF(HR_Data[[#This Row],[TotalWorkingYears]]&lt;=15,"Mid-Level","Senior"))</f>
        <v>Mid-Level</v>
      </c>
      <c r="AN1047" s="11" t="str">
        <f>IF(HR_Data[[#This Row],[PerformanceRating]]=3,"Standard","Excellent")</f>
        <v>Standard</v>
      </c>
      <c r="AO1047" s="11" t="str">
        <f>IF(HR_Data[[#This Row],[JobSatisfaction]]&lt;=2,"Low","High")</f>
        <v>High</v>
      </c>
      <c r="AP1047" s="11" t="str">
        <f>IF(AND(HR_Data[[#This Row],[OverTime]]="Yes",HR_Data[[#This Row],[JobSatisfaction]]&lt;=2,HR_Data[[#This Row],[YearsAtCompany]]&lt;=2),"High Risk","Normal")</f>
        <v>Normal</v>
      </c>
    </row>
    <row r="1048" spans="1:42" x14ac:dyDescent="0.25">
      <c r="A1048" s="6">
        <v>44</v>
      </c>
      <c r="B1048" s="4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s="11" t="str">
        <f>IF(HR_Data[[#This Row],[Age]]&lt;=25,"18-25",IF(HR_Data[[#This Row],[Age]]&lt;=35,"26-35",IF(HR_Data[[#This Row],[Age]]&lt;=45,"36-45",IF(HR_Data[[#This Row],[Age]]&lt;=55,"46-55","56+"))))</f>
        <v>36-45</v>
      </c>
      <c r="AK1048" s="11" t="str">
        <f>IF(HR_Data[[#This Row],[MonthlyIncome]]&lt;3000,"Low",IF(HR_Data[[#This Row],[MonthlyIncome]]&lt;6000,"Medium",IF(HR_Data[[#This Row],[MonthlyIncome]]&lt;10000,"High","Very High")))</f>
        <v>Medium</v>
      </c>
      <c r="AL104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48" t="str">
        <f>IF(HR_Data[[#This Row],[TotalWorkingYears]]&lt;=5,"Junior",IF(HR_Data[[#This Row],[TotalWorkingYears]]&lt;=15,"Mid-Level","Senior"))</f>
        <v>Mid-Level</v>
      </c>
      <c r="AN1048" s="11" t="str">
        <f>IF(HR_Data[[#This Row],[PerformanceRating]]=3,"Standard","Excellent")</f>
        <v>Standard</v>
      </c>
      <c r="AO1048" s="11" t="str">
        <f>IF(HR_Data[[#This Row],[JobSatisfaction]]&lt;=2,"Low","High")</f>
        <v>Low</v>
      </c>
      <c r="AP1048" s="11" t="str">
        <f>IF(AND(HR_Data[[#This Row],[OverTime]]="Yes",HR_Data[[#This Row],[JobSatisfaction]]&lt;=2,HR_Data[[#This Row],[YearsAtCompany]]&lt;=2),"High Risk","Normal")</f>
        <v>Normal</v>
      </c>
    </row>
    <row r="1049" spans="1:42" x14ac:dyDescent="0.25">
      <c r="A1049" s="6">
        <v>33</v>
      </c>
      <c r="B1049" s="4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s="11" t="str">
        <f>IF(HR_Data[[#This Row],[Age]]&lt;=25,"18-25",IF(HR_Data[[#This Row],[Age]]&lt;=35,"26-35",IF(HR_Data[[#This Row],[Age]]&lt;=45,"36-45",IF(HR_Data[[#This Row],[Age]]&lt;=55,"46-55","56+"))))</f>
        <v>26-35</v>
      </c>
      <c r="AK1049" s="11" t="str">
        <f>IF(HR_Data[[#This Row],[MonthlyIncome]]&lt;3000,"Low",IF(HR_Data[[#This Row],[MonthlyIncome]]&lt;6000,"Medium",IF(HR_Data[[#This Row],[MonthlyIncome]]&lt;10000,"High","Very High")))</f>
        <v>Medium</v>
      </c>
      <c r="AL104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49" t="str">
        <f>IF(HR_Data[[#This Row],[TotalWorkingYears]]&lt;=5,"Junior",IF(HR_Data[[#This Row],[TotalWorkingYears]]&lt;=15,"Mid-Level","Senior"))</f>
        <v>Junior</v>
      </c>
      <c r="AN1049" s="11" t="str">
        <f>IF(HR_Data[[#This Row],[PerformanceRating]]=3,"Standard","Excellent")</f>
        <v>Standard</v>
      </c>
      <c r="AO1049" s="11" t="str">
        <f>IF(HR_Data[[#This Row],[JobSatisfaction]]&lt;=2,"Low","High")</f>
        <v>Low</v>
      </c>
      <c r="AP1049" s="11" t="str">
        <f>IF(AND(HR_Data[[#This Row],[OverTime]]="Yes",HR_Data[[#This Row],[JobSatisfaction]]&lt;=2,HR_Data[[#This Row],[YearsAtCompany]]&lt;=2),"High Risk","Normal")</f>
        <v>Normal</v>
      </c>
    </row>
    <row r="1050" spans="1:42" x14ac:dyDescent="0.25">
      <c r="A1050" s="6">
        <v>34</v>
      </c>
      <c r="B1050" s="4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s="11" t="str">
        <f>IF(HR_Data[[#This Row],[Age]]&lt;=25,"18-25",IF(HR_Data[[#This Row],[Age]]&lt;=35,"26-35",IF(HR_Data[[#This Row],[Age]]&lt;=45,"36-45",IF(HR_Data[[#This Row],[Age]]&lt;=55,"46-55","56+"))))</f>
        <v>26-35</v>
      </c>
      <c r="AK1050" s="11" t="str">
        <f>IF(HR_Data[[#This Row],[MonthlyIncome]]&lt;3000,"Low",IF(HR_Data[[#This Row],[MonthlyIncome]]&lt;6000,"Medium",IF(HR_Data[[#This Row],[MonthlyIncome]]&lt;10000,"High","Very High")))</f>
        <v>Medium</v>
      </c>
      <c r="AL105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050" t="str">
        <f>IF(HR_Data[[#This Row],[TotalWorkingYears]]&lt;=5,"Junior",IF(HR_Data[[#This Row],[TotalWorkingYears]]&lt;=15,"Mid-Level","Senior"))</f>
        <v>Mid-Level</v>
      </c>
      <c r="AN1050" s="11" t="str">
        <f>IF(HR_Data[[#This Row],[PerformanceRating]]=3,"Standard","Excellent")</f>
        <v>Standard</v>
      </c>
      <c r="AO1050" s="11" t="str">
        <f>IF(HR_Data[[#This Row],[JobSatisfaction]]&lt;=2,"Low","High")</f>
        <v>Low</v>
      </c>
      <c r="AP1050" s="11" t="str">
        <f>IF(AND(HR_Data[[#This Row],[OverTime]]="Yes",HR_Data[[#This Row],[JobSatisfaction]]&lt;=2,HR_Data[[#This Row],[YearsAtCompany]]&lt;=2),"High Risk","Normal")</f>
        <v>Normal</v>
      </c>
    </row>
    <row r="1051" spans="1:42" x14ac:dyDescent="0.25">
      <c r="A1051" s="6">
        <v>30</v>
      </c>
      <c r="B1051" s="4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s="11" t="str">
        <f>IF(HR_Data[[#This Row],[Age]]&lt;=25,"18-25",IF(HR_Data[[#This Row],[Age]]&lt;=35,"26-35",IF(HR_Data[[#This Row],[Age]]&lt;=45,"36-45",IF(HR_Data[[#This Row],[Age]]&lt;=55,"46-55","56+"))))</f>
        <v>26-35</v>
      </c>
      <c r="AK1051" s="11" t="str">
        <f>IF(HR_Data[[#This Row],[MonthlyIncome]]&lt;3000,"Low",IF(HR_Data[[#This Row],[MonthlyIncome]]&lt;6000,"Medium",IF(HR_Data[[#This Row],[MonthlyIncome]]&lt;10000,"High","Very High")))</f>
        <v>Medium</v>
      </c>
      <c r="AL105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51" t="str">
        <f>IF(HR_Data[[#This Row],[TotalWorkingYears]]&lt;=5,"Junior",IF(HR_Data[[#This Row],[TotalWorkingYears]]&lt;=15,"Mid-Level","Senior"))</f>
        <v>Junior</v>
      </c>
      <c r="AN1051" s="11" t="str">
        <f>IF(HR_Data[[#This Row],[PerformanceRating]]=3,"Standard","Excellent")</f>
        <v>Standard</v>
      </c>
      <c r="AO1051" s="11" t="str">
        <f>IF(HR_Data[[#This Row],[JobSatisfaction]]&lt;=2,"Low","High")</f>
        <v>High</v>
      </c>
      <c r="AP1051" s="11" t="str">
        <f>IF(AND(HR_Data[[#This Row],[OverTime]]="Yes",HR_Data[[#This Row],[JobSatisfaction]]&lt;=2,HR_Data[[#This Row],[YearsAtCompany]]&lt;=2),"High Risk","Normal")</f>
        <v>Normal</v>
      </c>
    </row>
    <row r="1052" spans="1:42" x14ac:dyDescent="0.25">
      <c r="A1052" s="6">
        <v>42</v>
      </c>
      <c r="B1052" s="4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s="11" t="str">
        <f>IF(HR_Data[[#This Row],[Age]]&lt;=25,"18-25",IF(HR_Data[[#This Row],[Age]]&lt;=35,"26-35",IF(HR_Data[[#This Row],[Age]]&lt;=45,"36-45",IF(HR_Data[[#This Row],[Age]]&lt;=55,"46-55","56+"))))</f>
        <v>36-45</v>
      </c>
      <c r="AK1052" s="11" t="str">
        <f>IF(HR_Data[[#This Row],[MonthlyIncome]]&lt;3000,"Low",IF(HR_Data[[#This Row],[MonthlyIncome]]&lt;6000,"Medium",IF(HR_Data[[#This Row],[MonthlyIncome]]&lt;10000,"High","Very High")))</f>
        <v>Medium</v>
      </c>
      <c r="AL105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052" t="str">
        <f>IF(HR_Data[[#This Row],[TotalWorkingYears]]&lt;=5,"Junior",IF(HR_Data[[#This Row],[TotalWorkingYears]]&lt;=15,"Mid-Level","Senior"))</f>
        <v>Mid-Level</v>
      </c>
      <c r="AN1052" s="11" t="str">
        <f>IF(HR_Data[[#This Row],[PerformanceRating]]=3,"Standard","Excellent")</f>
        <v>Standard</v>
      </c>
      <c r="AO1052" s="11" t="str">
        <f>IF(HR_Data[[#This Row],[JobSatisfaction]]&lt;=2,"Low","High")</f>
        <v>High</v>
      </c>
      <c r="AP1052" s="11" t="str">
        <f>IF(AND(HR_Data[[#This Row],[OverTime]]="Yes",HR_Data[[#This Row],[JobSatisfaction]]&lt;=2,HR_Data[[#This Row],[YearsAtCompany]]&lt;=2),"High Risk","Normal")</f>
        <v>Normal</v>
      </c>
    </row>
    <row r="1053" spans="1:42" x14ac:dyDescent="0.25">
      <c r="A1053" s="6">
        <v>44</v>
      </c>
      <c r="B1053" s="4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s="11" t="str">
        <f>IF(HR_Data[[#This Row],[Age]]&lt;=25,"18-25",IF(HR_Data[[#This Row],[Age]]&lt;=35,"26-35",IF(HR_Data[[#This Row],[Age]]&lt;=45,"36-45",IF(HR_Data[[#This Row],[Age]]&lt;=55,"46-55","56+"))))</f>
        <v>36-45</v>
      </c>
      <c r="AK1053" s="11" t="str">
        <f>IF(HR_Data[[#This Row],[MonthlyIncome]]&lt;3000,"Low",IF(HR_Data[[#This Row],[MonthlyIncome]]&lt;6000,"Medium",IF(HR_Data[[#This Row],[MonthlyIncome]]&lt;10000,"High","Very High")))</f>
        <v>Medium</v>
      </c>
      <c r="AL105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53" t="str">
        <f>IF(HR_Data[[#This Row],[TotalWorkingYears]]&lt;=5,"Junior",IF(HR_Data[[#This Row],[TotalWorkingYears]]&lt;=15,"Mid-Level","Senior"))</f>
        <v>Mid-Level</v>
      </c>
      <c r="AN1053" s="11" t="str">
        <f>IF(HR_Data[[#This Row],[PerformanceRating]]=3,"Standard","Excellent")</f>
        <v>Standard</v>
      </c>
      <c r="AO1053" s="11" t="str">
        <f>IF(HR_Data[[#This Row],[JobSatisfaction]]&lt;=2,"Low","High")</f>
        <v>High</v>
      </c>
      <c r="AP1053" s="11" t="str">
        <f>IF(AND(HR_Data[[#This Row],[OverTime]]="Yes",HR_Data[[#This Row],[JobSatisfaction]]&lt;=2,HR_Data[[#This Row],[YearsAtCompany]]&lt;=2),"High Risk","Normal")</f>
        <v>Normal</v>
      </c>
    </row>
    <row r="1054" spans="1:42" x14ac:dyDescent="0.25">
      <c r="A1054" s="6">
        <v>30</v>
      </c>
      <c r="B1054" s="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s="11" t="str">
        <f>IF(HR_Data[[#This Row],[Age]]&lt;=25,"18-25",IF(HR_Data[[#This Row],[Age]]&lt;=35,"26-35",IF(HR_Data[[#This Row],[Age]]&lt;=45,"36-45",IF(HR_Data[[#This Row],[Age]]&lt;=55,"46-55","56+"))))</f>
        <v>26-35</v>
      </c>
      <c r="AK1054" s="11" t="str">
        <f>IF(HR_Data[[#This Row],[MonthlyIncome]]&lt;3000,"Low",IF(HR_Data[[#This Row],[MonthlyIncome]]&lt;6000,"Medium",IF(HR_Data[[#This Row],[MonthlyIncome]]&lt;10000,"High","Very High")))</f>
        <v>Low</v>
      </c>
      <c r="AL105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54" t="str">
        <f>IF(HR_Data[[#This Row],[TotalWorkingYears]]&lt;=5,"Junior",IF(HR_Data[[#This Row],[TotalWorkingYears]]&lt;=15,"Mid-Level","Senior"))</f>
        <v>Junior</v>
      </c>
      <c r="AN1054" s="11" t="str">
        <f>IF(HR_Data[[#This Row],[PerformanceRating]]=3,"Standard","Excellent")</f>
        <v>Standard</v>
      </c>
      <c r="AO1054" s="11" t="str">
        <f>IF(HR_Data[[#This Row],[JobSatisfaction]]&lt;=2,"Low","High")</f>
        <v>High</v>
      </c>
      <c r="AP1054" s="11" t="str">
        <f>IF(AND(HR_Data[[#This Row],[OverTime]]="Yes",HR_Data[[#This Row],[JobSatisfaction]]&lt;=2,HR_Data[[#This Row],[YearsAtCompany]]&lt;=2),"High Risk","Normal")</f>
        <v>Normal</v>
      </c>
    </row>
    <row r="1055" spans="1:42" x14ac:dyDescent="0.25">
      <c r="A1055" s="6">
        <v>57</v>
      </c>
      <c r="B1055" s="4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s="11" t="str">
        <f>IF(HR_Data[[#This Row],[Age]]&lt;=25,"18-25",IF(HR_Data[[#This Row],[Age]]&lt;=35,"26-35",IF(HR_Data[[#This Row],[Age]]&lt;=45,"36-45",IF(HR_Data[[#This Row],[Age]]&lt;=55,"46-55","56+"))))</f>
        <v>56+</v>
      </c>
      <c r="AK1055" s="11" t="str">
        <f>IF(HR_Data[[#This Row],[MonthlyIncome]]&lt;3000,"Low",IF(HR_Data[[#This Row],[MonthlyIncome]]&lt;6000,"Medium",IF(HR_Data[[#This Row],[MonthlyIncome]]&lt;10000,"High","Very High")))</f>
        <v>Medium</v>
      </c>
      <c r="AL1055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055" t="str">
        <f>IF(HR_Data[[#This Row],[TotalWorkingYears]]&lt;=5,"Junior",IF(HR_Data[[#This Row],[TotalWorkingYears]]&lt;=15,"Mid-Level","Senior"))</f>
        <v>Mid-Level</v>
      </c>
      <c r="AN1055" s="11" t="str">
        <f>IF(HR_Data[[#This Row],[PerformanceRating]]=3,"Standard","Excellent")</f>
        <v>Excellent</v>
      </c>
      <c r="AO1055" s="11" t="str">
        <f>IF(HR_Data[[#This Row],[JobSatisfaction]]&lt;=2,"Low","High")</f>
        <v>High</v>
      </c>
      <c r="AP1055" s="11" t="str">
        <f>IF(AND(HR_Data[[#This Row],[OverTime]]="Yes",HR_Data[[#This Row],[JobSatisfaction]]&lt;=2,HR_Data[[#This Row],[YearsAtCompany]]&lt;=2),"High Risk","Normal")</f>
        <v>Normal</v>
      </c>
    </row>
    <row r="1056" spans="1:42" x14ac:dyDescent="0.25">
      <c r="A1056" s="6">
        <v>49</v>
      </c>
      <c r="B1056" s="4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s="11" t="str">
        <f>IF(HR_Data[[#This Row],[Age]]&lt;=25,"18-25",IF(HR_Data[[#This Row],[Age]]&lt;=35,"26-35",IF(HR_Data[[#This Row],[Age]]&lt;=45,"36-45",IF(HR_Data[[#This Row],[Age]]&lt;=55,"46-55","56+"))))</f>
        <v>46-55</v>
      </c>
      <c r="AK1056" s="11" t="str">
        <f>IF(HR_Data[[#This Row],[MonthlyIncome]]&lt;3000,"Low",IF(HR_Data[[#This Row],[MonthlyIncome]]&lt;6000,"Medium",IF(HR_Data[[#This Row],[MonthlyIncome]]&lt;10000,"High","Very High")))</f>
        <v>Very High</v>
      </c>
      <c r="AL105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56" t="str">
        <f>IF(HR_Data[[#This Row],[TotalWorkingYears]]&lt;=5,"Junior",IF(HR_Data[[#This Row],[TotalWorkingYears]]&lt;=15,"Mid-Level","Senior"))</f>
        <v>Senior</v>
      </c>
      <c r="AN1056" s="11" t="str">
        <f>IF(HR_Data[[#This Row],[PerformanceRating]]=3,"Standard","Excellent")</f>
        <v>Standard</v>
      </c>
      <c r="AO1056" s="11" t="str">
        <f>IF(HR_Data[[#This Row],[JobSatisfaction]]&lt;=2,"Low","High")</f>
        <v>Low</v>
      </c>
      <c r="AP1056" s="11" t="str">
        <f>IF(AND(HR_Data[[#This Row],[OverTime]]="Yes",HR_Data[[#This Row],[JobSatisfaction]]&lt;=2,HR_Data[[#This Row],[YearsAtCompany]]&lt;=2),"High Risk","Normal")</f>
        <v>Normal</v>
      </c>
    </row>
    <row r="1057" spans="1:42" x14ac:dyDescent="0.25">
      <c r="A1057" s="6">
        <v>34</v>
      </c>
      <c r="B1057" s="4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s="11" t="str">
        <f>IF(HR_Data[[#This Row],[Age]]&lt;=25,"18-25",IF(HR_Data[[#This Row],[Age]]&lt;=35,"26-35",IF(HR_Data[[#This Row],[Age]]&lt;=45,"36-45",IF(HR_Data[[#This Row],[Age]]&lt;=55,"46-55","56+"))))</f>
        <v>26-35</v>
      </c>
      <c r="AK1057" s="11" t="str">
        <f>IF(HR_Data[[#This Row],[MonthlyIncome]]&lt;3000,"Low",IF(HR_Data[[#This Row],[MonthlyIncome]]&lt;6000,"Medium",IF(HR_Data[[#This Row],[MonthlyIncome]]&lt;10000,"High","Very High")))</f>
        <v>Very High</v>
      </c>
      <c r="AL1057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057" t="str">
        <f>IF(HR_Data[[#This Row],[TotalWorkingYears]]&lt;=5,"Junior",IF(HR_Data[[#This Row],[TotalWorkingYears]]&lt;=15,"Mid-Level","Senior"))</f>
        <v>Senior</v>
      </c>
      <c r="AN1057" s="11" t="str">
        <f>IF(HR_Data[[#This Row],[PerformanceRating]]=3,"Standard","Excellent")</f>
        <v>Standard</v>
      </c>
      <c r="AO1057" s="11" t="str">
        <f>IF(HR_Data[[#This Row],[JobSatisfaction]]&lt;=2,"Low","High")</f>
        <v>Low</v>
      </c>
      <c r="AP1057" s="11" t="str">
        <f>IF(AND(HR_Data[[#This Row],[OverTime]]="Yes",HR_Data[[#This Row],[JobSatisfaction]]&lt;=2,HR_Data[[#This Row],[YearsAtCompany]]&lt;=2),"High Risk","Normal")</f>
        <v>Normal</v>
      </c>
    </row>
    <row r="1058" spans="1:42" x14ac:dyDescent="0.25">
      <c r="A1058" s="6">
        <v>28</v>
      </c>
      <c r="B1058" s="4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s="11" t="str">
        <f>IF(HR_Data[[#This Row],[Age]]&lt;=25,"18-25",IF(HR_Data[[#This Row],[Age]]&lt;=35,"26-35",IF(HR_Data[[#This Row],[Age]]&lt;=45,"36-45",IF(HR_Data[[#This Row],[Age]]&lt;=55,"46-55","56+"))))</f>
        <v>26-35</v>
      </c>
      <c r="AK1058" s="11" t="str">
        <f>IF(HR_Data[[#This Row],[MonthlyIncome]]&lt;3000,"Low",IF(HR_Data[[#This Row],[MonthlyIncome]]&lt;6000,"Medium",IF(HR_Data[[#This Row],[MonthlyIncome]]&lt;10000,"High","Very High")))</f>
        <v>Low</v>
      </c>
      <c r="AL105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58" t="str">
        <f>IF(HR_Data[[#This Row],[TotalWorkingYears]]&lt;=5,"Junior",IF(HR_Data[[#This Row],[TotalWorkingYears]]&lt;=15,"Mid-Level","Senior"))</f>
        <v>Junior</v>
      </c>
      <c r="AN1058" s="11" t="str">
        <f>IF(HR_Data[[#This Row],[PerformanceRating]]=3,"Standard","Excellent")</f>
        <v>Standard</v>
      </c>
      <c r="AO1058" s="11" t="str">
        <f>IF(HR_Data[[#This Row],[JobSatisfaction]]&lt;=2,"Low","High")</f>
        <v>High</v>
      </c>
      <c r="AP1058" s="11" t="str">
        <f>IF(AND(HR_Data[[#This Row],[OverTime]]="Yes",HR_Data[[#This Row],[JobSatisfaction]]&lt;=2,HR_Data[[#This Row],[YearsAtCompany]]&lt;=2),"High Risk","Normal")</f>
        <v>Normal</v>
      </c>
    </row>
    <row r="1059" spans="1:42" x14ac:dyDescent="0.25">
      <c r="A1059" s="6">
        <v>29</v>
      </c>
      <c r="B1059" s="4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s="11" t="str">
        <f>IF(HR_Data[[#This Row],[Age]]&lt;=25,"18-25",IF(HR_Data[[#This Row],[Age]]&lt;=35,"26-35",IF(HR_Data[[#This Row],[Age]]&lt;=45,"36-45",IF(HR_Data[[#This Row],[Age]]&lt;=55,"46-55","56+"))))</f>
        <v>26-35</v>
      </c>
      <c r="AK1059" s="11" t="str">
        <f>IF(HR_Data[[#This Row],[MonthlyIncome]]&lt;3000,"Low",IF(HR_Data[[#This Row],[MonthlyIncome]]&lt;6000,"Medium",IF(HR_Data[[#This Row],[MonthlyIncome]]&lt;10000,"High","Very High")))</f>
        <v>Medium</v>
      </c>
      <c r="AL105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59" t="str">
        <f>IF(HR_Data[[#This Row],[TotalWorkingYears]]&lt;=5,"Junior",IF(HR_Data[[#This Row],[TotalWorkingYears]]&lt;=15,"Mid-Level","Senior"))</f>
        <v>Mid-Level</v>
      </c>
      <c r="AN1059" s="11" t="str">
        <f>IF(HR_Data[[#This Row],[PerformanceRating]]=3,"Standard","Excellent")</f>
        <v>Standard</v>
      </c>
      <c r="AO1059" s="11" t="str">
        <f>IF(HR_Data[[#This Row],[JobSatisfaction]]&lt;=2,"Low","High")</f>
        <v>Low</v>
      </c>
      <c r="AP1059" s="11" t="str">
        <f>IF(AND(HR_Data[[#This Row],[OverTime]]="Yes",HR_Data[[#This Row],[JobSatisfaction]]&lt;=2,HR_Data[[#This Row],[YearsAtCompany]]&lt;=2),"High Risk","Normal")</f>
        <v>Normal</v>
      </c>
    </row>
    <row r="1060" spans="1:42" x14ac:dyDescent="0.25">
      <c r="A1060" s="6">
        <v>34</v>
      </c>
      <c r="B1060" s="4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s="11" t="str">
        <f>IF(HR_Data[[#This Row],[Age]]&lt;=25,"18-25",IF(HR_Data[[#This Row],[Age]]&lt;=35,"26-35",IF(HR_Data[[#This Row],[Age]]&lt;=45,"36-45",IF(HR_Data[[#This Row],[Age]]&lt;=55,"46-55","56+"))))</f>
        <v>26-35</v>
      </c>
      <c r="AK1060" s="11" t="str">
        <f>IF(HR_Data[[#This Row],[MonthlyIncome]]&lt;3000,"Low",IF(HR_Data[[#This Row],[MonthlyIncome]]&lt;6000,"Medium",IF(HR_Data[[#This Row],[MonthlyIncome]]&lt;10000,"High","Very High")))</f>
        <v>Medium</v>
      </c>
      <c r="AL106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060" t="str">
        <f>IF(HR_Data[[#This Row],[TotalWorkingYears]]&lt;=5,"Junior",IF(HR_Data[[#This Row],[TotalWorkingYears]]&lt;=15,"Mid-Level","Senior"))</f>
        <v>Senior</v>
      </c>
      <c r="AN1060" s="11" t="str">
        <f>IF(HR_Data[[#This Row],[PerformanceRating]]=3,"Standard","Excellent")</f>
        <v>Excellent</v>
      </c>
      <c r="AO1060" s="11" t="str">
        <f>IF(HR_Data[[#This Row],[JobSatisfaction]]&lt;=2,"Low","High")</f>
        <v>Low</v>
      </c>
      <c r="AP1060" s="11" t="str">
        <f>IF(AND(HR_Data[[#This Row],[OverTime]]="Yes",HR_Data[[#This Row],[JobSatisfaction]]&lt;=2,HR_Data[[#This Row],[YearsAtCompany]]&lt;=2),"High Risk","Normal")</f>
        <v>Normal</v>
      </c>
    </row>
    <row r="1061" spans="1:42" x14ac:dyDescent="0.25">
      <c r="A1061" s="6">
        <v>35</v>
      </c>
      <c r="B1061" s="4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s="11" t="str">
        <f>IF(HR_Data[[#This Row],[Age]]&lt;=25,"18-25",IF(HR_Data[[#This Row],[Age]]&lt;=35,"26-35",IF(HR_Data[[#This Row],[Age]]&lt;=45,"36-45",IF(HR_Data[[#This Row],[Age]]&lt;=55,"46-55","56+"))))</f>
        <v>26-35</v>
      </c>
      <c r="AK1061" s="11" t="str">
        <f>IF(HR_Data[[#This Row],[MonthlyIncome]]&lt;3000,"Low",IF(HR_Data[[#This Row],[MonthlyIncome]]&lt;6000,"Medium",IF(HR_Data[[#This Row],[MonthlyIncome]]&lt;10000,"High","Very High")))</f>
        <v>Low</v>
      </c>
      <c r="AL106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61" t="str">
        <f>IF(HR_Data[[#This Row],[TotalWorkingYears]]&lt;=5,"Junior",IF(HR_Data[[#This Row],[TotalWorkingYears]]&lt;=15,"Mid-Level","Senior"))</f>
        <v>Junior</v>
      </c>
      <c r="AN1061" s="11" t="str">
        <f>IF(HR_Data[[#This Row],[PerformanceRating]]=3,"Standard","Excellent")</f>
        <v>Standard</v>
      </c>
      <c r="AO1061" s="11" t="str">
        <f>IF(HR_Data[[#This Row],[JobSatisfaction]]&lt;=2,"Low","High")</f>
        <v>High</v>
      </c>
      <c r="AP1061" s="11" t="str">
        <f>IF(AND(HR_Data[[#This Row],[OverTime]]="Yes",HR_Data[[#This Row],[JobSatisfaction]]&lt;=2,HR_Data[[#This Row],[YearsAtCompany]]&lt;=2),"High Risk","Normal")</f>
        <v>Normal</v>
      </c>
    </row>
    <row r="1062" spans="1:42" x14ac:dyDescent="0.25">
      <c r="A1062" s="6">
        <v>24</v>
      </c>
      <c r="B1062" s="4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s="11" t="str">
        <f>IF(HR_Data[[#This Row],[Age]]&lt;=25,"18-25",IF(HR_Data[[#This Row],[Age]]&lt;=35,"26-35",IF(HR_Data[[#This Row],[Age]]&lt;=45,"36-45",IF(HR_Data[[#This Row],[Age]]&lt;=55,"46-55","56+"))))</f>
        <v>18-25</v>
      </c>
      <c r="AK1062" s="11" t="str">
        <f>IF(HR_Data[[#This Row],[MonthlyIncome]]&lt;3000,"Low",IF(HR_Data[[#This Row],[MonthlyIncome]]&lt;6000,"Medium",IF(HR_Data[[#This Row],[MonthlyIncome]]&lt;10000,"High","Very High")))</f>
        <v>Medium</v>
      </c>
      <c r="AL106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62" t="str">
        <f>IF(HR_Data[[#This Row],[TotalWorkingYears]]&lt;=5,"Junior",IF(HR_Data[[#This Row],[TotalWorkingYears]]&lt;=15,"Mid-Level","Senior"))</f>
        <v>Junior</v>
      </c>
      <c r="AN1062" s="11" t="str">
        <f>IF(HR_Data[[#This Row],[PerformanceRating]]=3,"Standard","Excellent")</f>
        <v>Standard</v>
      </c>
      <c r="AO1062" s="11" t="str">
        <f>IF(HR_Data[[#This Row],[JobSatisfaction]]&lt;=2,"Low","High")</f>
        <v>Low</v>
      </c>
      <c r="AP1062" s="11" t="str">
        <f>IF(AND(HR_Data[[#This Row],[OverTime]]="Yes",HR_Data[[#This Row],[JobSatisfaction]]&lt;=2,HR_Data[[#This Row],[YearsAtCompany]]&lt;=2),"High Risk","Normal")</f>
        <v>High Risk</v>
      </c>
    </row>
    <row r="1063" spans="1:42" x14ac:dyDescent="0.25">
      <c r="A1063" s="6">
        <v>24</v>
      </c>
      <c r="B1063" s="4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s="11" t="str">
        <f>IF(HR_Data[[#This Row],[Age]]&lt;=25,"18-25",IF(HR_Data[[#This Row],[Age]]&lt;=35,"26-35",IF(HR_Data[[#This Row],[Age]]&lt;=45,"36-45",IF(HR_Data[[#This Row],[Age]]&lt;=55,"46-55","56+"))))</f>
        <v>18-25</v>
      </c>
      <c r="AK1063" s="11" t="str">
        <f>IF(HR_Data[[#This Row],[MonthlyIncome]]&lt;3000,"Low",IF(HR_Data[[#This Row],[MonthlyIncome]]&lt;6000,"Medium",IF(HR_Data[[#This Row],[MonthlyIncome]]&lt;10000,"High","Very High")))</f>
        <v>Low</v>
      </c>
      <c r="AL106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63" t="str">
        <f>IF(HR_Data[[#This Row],[TotalWorkingYears]]&lt;=5,"Junior",IF(HR_Data[[#This Row],[TotalWorkingYears]]&lt;=15,"Mid-Level","Senior"))</f>
        <v>Junior</v>
      </c>
      <c r="AN1063" s="11" t="str">
        <f>IF(HR_Data[[#This Row],[PerformanceRating]]=3,"Standard","Excellent")</f>
        <v>Standard</v>
      </c>
      <c r="AO1063" s="11" t="str">
        <f>IF(HR_Data[[#This Row],[JobSatisfaction]]&lt;=2,"Low","High")</f>
        <v>Low</v>
      </c>
      <c r="AP1063" s="11" t="str">
        <f>IF(AND(HR_Data[[#This Row],[OverTime]]="Yes",HR_Data[[#This Row],[JobSatisfaction]]&lt;=2,HR_Data[[#This Row],[YearsAtCompany]]&lt;=2),"High Risk","Normal")</f>
        <v>Normal</v>
      </c>
    </row>
    <row r="1064" spans="1:42" x14ac:dyDescent="0.25">
      <c r="A1064" s="6">
        <v>44</v>
      </c>
      <c r="B1064" s="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s="11" t="str">
        <f>IF(HR_Data[[#This Row],[Age]]&lt;=25,"18-25",IF(HR_Data[[#This Row],[Age]]&lt;=35,"26-35",IF(HR_Data[[#This Row],[Age]]&lt;=45,"36-45",IF(HR_Data[[#This Row],[Age]]&lt;=55,"46-55","56+"))))</f>
        <v>36-45</v>
      </c>
      <c r="AK1064" s="11" t="str">
        <f>IF(HR_Data[[#This Row],[MonthlyIncome]]&lt;3000,"Low",IF(HR_Data[[#This Row],[MonthlyIncome]]&lt;6000,"Medium",IF(HR_Data[[#This Row],[MonthlyIncome]]&lt;10000,"High","Very High")))</f>
        <v>Very High</v>
      </c>
      <c r="AL106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64" t="str">
        <f>IF(HR_Data[[#This Row],[TotalWorkingYears]]&lt;=5,"Junior",IF(HR_Data[[#This Row],[TotalWorkingYears]]&lt;=15,"Mid-Level","Senior"))</f>
        <v>Senior</v>
      </c>
      <c r="AN1064" s="11" t="str">
        <f>IF(HR_Data[[#This Row],[PerformanceRating]]=3,"Standard","Excellent")</f>
        <v>Standard</v>
      </c>
      <c r="AO1064" s="11" t="str">
        <f>IF(HR_Data[[#This Row],[JobSatisfaction]]&lt;=2,"Low","High")</f>
        <v>High</v>
      </c>
      <c r="AP1064" s="11" t="str">
        <f>IF(AND(HR_Data[[#This Row],[OverTime]]="Yes",HR_Data[[#This Row],[JobSatisfaction]]&lt;=2,HR_Data[[#This Row],[YearsAtCompany]]&lt;=2),"High Risk","Normal")</f>
        <v>Normal</v>
      </c>
    </row>
    <row r="1065" spans="1:42" x14ac:dyDescent="0.25">
      <c r="A1065" s="6">
        <v>29</v>
      </c>
      <c r="B1065" s="4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s="11" t="str">
        <f>IF(HR_Data[[#This Row],[Age]]&lt;=25,"18-25",IF(HR_Data[[#This Row],[Age]]&lt;=35,"26-35",IF(HR_Data[[#This Row],[Age]]&lt;=45,"36-45",IF(HR_Data[[#This Row],[Age]]&lt;=55,"46-55","56+"))))</f>
        <v>26-35</v>
      </c>
      <c r="AK1065" s="11" t="str">
        <f>IF(HR_Data[[#This Row],[MonthlyIncome]]&lt;3000,"Low",IF(HR_Data[[#This Row],[MonthlyIncome]]&lt;6000,"Medium",IF(HR_Data[[#This Row],[MonthlyIncome]]&lt;10000,"High","Very High")))</f>
        <v>High</v>
      </c>
      <c r="AL106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65" t="str">
        <f>IF(HR_Data[[#This Row],[TotalWorkingYears]]&lt;=5,"Junior",IF(HR_Data[[#This Row],[TotalWorkingYears]]&lt;=15,"Mid-Level","Senior"))</f>
        <v>Mid-Level</v>
      </c>
      <c r="AN1065" s="11" t="str">
        <f>IF(HR_Data[[#This Row],[PerformanceRating]]=3,"Standard","Excellent")</f>
        <v>Standard</v>
      </c>
      <c r="AO1065" s="11" t="str">
        <f>IF(HR_Data[[#This Row],[JobSatisfaction]]&lt;=2,"Low","High")</f>
        <v>High</v>
      </c>
      <c r="AP1065" s="11" t="str">
        <f>IF(AND(HR_Data[[#This Row],[OverTime]]="Yes",HR_Data[[#This Row],[JobSatisfaction]]&lt;=2,HR_Data[[#This Row],[YearsAtCompany]]&lt;=2),"High Risk","Normal")</f>
        <v>Normal</v>
      </c>
    </row>
    <row r="1066" spans="1:42" x14ac:dyDescent="0.25">
      <c r="A1066" s="6">
        <v>30</v>
      </c>
      <c r="B1066" s="4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s="11" t="str">
        <f>IF(HR_Data[[#This Row],[Age]]&lt;=25,"18-25",IF(HR_Data[[#This Row],[Age]]&lt;=35,"26-35",IF(HR_Data[[#This Row],[Age]]&lt;=45,"36-45",IF(HR_Data[[#This Row],[Age]]&lt;=55,"46-55","56+"))))</f>
        <v>26-35</v>
      </c>
      <c r="AK1066" s="11" t="str">
        <f>IF(HR_Data[[#This Row],[MonthlyIncome]]&lt;3000,"Low",IF(HR_Data[[#This Row],[MonthlyIncome]]&lt;6000,"Medium",IF(HR_Data[[#This Row],[MonthlyIncome]]&lt;10000,"High","Very High")))</f>
        <v>Low</v>
      </c>
      <c r="AL106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66" t="str">
        <f>IF(HR_Data[[#This Row],[TotalWorkingYears]]&lt;=5,"Junior",IF(HR_Data[[#This Row],[TotalWorkingYears]]&lt;=15,"Mid-Level","Senior"))</f>
        <v>Mid-Level</v>
      </c>
      <c r="AN1066" s="11" t="str">
        <f>IF(HR_Data[[#This Row],[PerformanceRating]]=3,"Standard","Excellent")</f>
        <v>Excellent</v>
      </c>
      <c r="AO1066" s="11" t="str">
        <f>IF(HR_Data[[#This Row],[JobSatisfaction]]&lt;=2,"Low","High")</f>
        <v>High</v>
      </c>
      <c r="AP1066" s="11" t="str">
        <f>IF(AND(HR_Data[[#This Row],[OverTime]]="Yes",HR_Data[[#This Row],[JobSatisfaction]]&lt;=2,HR_Data[[#This Row],[YearsAtCompany]]&lt;=2),"High Risk","Normal")</f>
        <v>Normal</v>
      </c>
    </row>
    <row r="1067" spans="1:42" x14ac:dyDescent="0.25">
      <c r="A1067" s="6">
        <v>55</v>
      </c>
      <c r="B1067" s="4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s="11" t="str">
        <f>IF(HR_Data[[#This Row],[Age]]&lt;=25,"18-25",IF(HR_Data[[#This Row],[Age]]&lt;=35,"26-35",IF(HR_Data[[#This Row],[Age]]&lt;=45,"36-45",IF(HR_Data[[#This Row],[Age]]&lt;=55,"46-55","56+"))))</f>
        <v>46-55</v>
      </c>
      <c r="AK1067" s="11" t="str">
        <f>IF(HR_Data[[#This Row],[MonthlyIncome]]&lt;3000,"Low",IF(HR_Data[[#This Row],[MonthlyIncome]]&lt;6000,"Medium",IF(HR_Data[[#This Row],[MonthlyIncome]]&lt;10000,"High","Very High")))</f>
        <v>Medium</v>
      </c>
      <c r="AL106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67" t="str">
        <f>IF(HR_Data[[#This Row],[TotalWorkingYears]]&lt;=5,"Junior",IF(HR_Data[[#This Row],[TotalWorkingYears]]&lt;=15,"Mid-Level","Senior"))</f>
        <v>Junior</v>
      </c>
      <c r="AN1067" s="11" t="str">
        <f>IF(HR_Data[[#This Row],[PerformanceRating]]=3,"Standard","Excellent")</f>
        <v>Standard</v>
      </c>
      <c r="AO1067" s="11" t="str">
        <f>IF(HR_Data[[#This Row],[JobSatisfaction]]&lt;=2,"Low","High")</f>
        <v>High</v>
      </c>
      <c r="AP1067" s="11" t="str">
        <f>IF(AND(HR_Data[[#This Row],[OverTime]]="Yes",HR_Data[[#This Row],[JobSatisfaction]]&lt;=2,HR_Data[[#This Row],[YearsAtCompany]]&lt;=2),"High Risk","Normal")</f>
        <v>Normal</v>
      </c>
    </row>
    <row r="1068" spans="1:42" x14ac:dyDescent="0.25">
      <c r="A1068" s="6">
        <v>33</v>
      </c>
      <c r="B1068" s="4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s="11" t="str">
        <f>IF(HR_Data[[#This Row],[Age]]&lt;=25,"18-25",IF(HR_Data[[#This Row],[Age]]&lt;=35,"26-35",IF(HR_Data[[#This Row],[Age]]&lt;=45,"36-45",IF(HR_Data[[#This Row],[Age]]&lt;=55,"46-55","56+"))))</f>
        <v>26-35</v>
      </c>
      <c r="AK1068" s="11" t="str">
        <f>IF(HR_Data[[#This Row],[MonthlyIncome]]&lt;3000,"Low",IF(HR_Data[[#This Row],[MonthlyIncome]]&lt;6000,"Medium",IF(HR_Data[[#This Row],[MonthlyIncome]]&lt;10000,"High","Very High")))</f>
        <v>Medium</v>
      </c>
      <c r="AL106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68" t="str">
        <f>IF(HR_Data[[#This Row],[TotalWorkingYears]]&lt;=5,"Junior",IF(HR_Data[[#This Row],[TotalWorkingYears]]&lt;=15,"Mid-Level","Senior"))</f>
        <v>Mid-Level</v>
      </c>
      <c r="AN1068" s="11" t="str">
        <f>IF(HR_Data[[#This Row],[PerformanceRating]]=3,"Standard","Excellent")</f>
        <v>Standard</v>
      </c>
      <c r="AO1068" s="11" t="str">
        <f>IF(HR_Data[[#This Row],[JobSatisfaction]]&lt;=2,"Low","High")</f>
        <v>Low</v>
      </c>
      <c r="AP1068" s="11" t="str">
        <f>IF(AND(HR_Data[[#This Row],[OverTime]]="Yes",HR_Data[[#This Row],[JobSatisfaction]]&lt;=2,HR_Data[[#This Row],[YearsAtCompany]]&lt;=2),"High Risk","Normal")</f>
        <v>Normal</v>
      </c>
    </row>
    <row r="1069" spans="1:42" x14ac:dyDescent="0.25">
      <c r="A1069" s="6">
        <v>47</v>
      </c>
      <c r="B1069" s="4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s="11" t="str">
        <f>IF(HR_Data[[#This Row],[Age]]&lt;=25,"18-25",IF(HR_Data[[#This Row],[Age]]&lt;=35,"26-35",IF(HR_Data[[#This Row],[Age]]&lt;=45,"36-45",IF(HR_Data[[#This Row],[Age]]&lt;=55,"46-55","56+"))))</f>
        <v>46-55</v>
      </c>
      <c r="AK1069" s="11" t="str">
        <f>IF(HR_Data[[#This Row],[MonthlyIncome]]&lt;3000,"Low",IF(HR_Data[[#This Row],[MonthlyIncome]]&lt;6000,"Medium",IF(HR_Data[[#This Row],[MonthlyIncome]]&lt;10000,"High","Very High")))</f>
        <v>Medium</v>
      </c>
      <c r="AL106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69" t="str">
        <f>IF(HR_Data[[#This Row],[TotalWorkingYears]]&lt;=5,"Junior",IF(HR_Data[[#This Row],[TotalWorkingYears]]&lt;=15,"Mid-Level","Senior"))</f>
        <v>Mid-Level</v>
      </c>
      <c r="AN1069" s="11" t="str">
        <f>IF(HR_Data[[#This Row],[PerformanceRating]]=3,"Standard","Excellent")</f>
        <v>Standard</v>
      </c>
      <c r="AO1069" s="11" t="str">
        <f>IF(HR_Data[[#This Row],[JobSatisfaction]]&lt;=2,"Low","High")</f>
        <v>High</v>
      </c>
      <c r="AP1069" s="11" t="str">
        <f>IF(AND(HR_Data[[#This Row],[OverTime]]="Yes",HR_Data[[#This Row],[JobSatisfaction]]&lt;=2,HR_Data[[#This Row],[YearsAtCompany]]&lt;=2),"High Risk","Normal")</f>
        <v>Normal</v>
      </c>
    </row>
    <row r="1070" spans="1:42" x14ac:dyDescent="0.25">
      <c r="A1070" s="6">
        <v>28</v>
      </c>
      <c r="B1070" s="4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s="11" t="str">
        <f>IF(HR_Data[[#This Row],[Age]]&lt;=25,"18-25",IF(HR_Data[[#This Row],[Age]]&lt;=35,"26-35",IF(HR_Data[[#This Row],[Age]]&lt;=45,"36-45",IF(HR_Data[[#This Row],[Age]]&lt;=55,"46-55","56+"))))</f>
        <v>26-35</v>
      </c>
      <c r="AK1070" s="11" t="str">
        <f>IF(HR_Data[[#This Row],[MonthlyIncome]]&lt;3000,"Low",IF(HR_Data[[#This Row],[MonthlyIncome]]&lt;6000,"Medium",IF(HR_Data[[#This Row],[MonthlyIncome]]&lt;10000,"High","Very High")))</f>
        <v>Low</v>
      </c>
      <c r="AL107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70" t="str">
        <f>IF(HR_Data[[#This Row],[TotalWorkingYears]]&lt;=5,"Junior",IF(HR_Data[[#This Row],[TotalWorkingYears]]&lt;=15,"Mid-Level","Senior"))</f>
        <v>Mid-Level</v>
      </c>
      <c r="AN1070" s="11" t="str">
        <f>IF(HR_Data[[#This Row],[PerformanceRating]]=3,"Standard","Excellent")</f>
        <v>Standard</v>
      </c>
      <c r="AO1070" s="11" t="str">
        <f>IF(HR_Data[[#This Row],[JobSatisfaction]]&lt;=2,"Low","High")</f>
        <v>Low</v>
      </c>
      <c r="AP1070" s="11" t="str">
        <f>IF(AND(HR_Data[[#This Row],[OverTime]]="Yes",HR_Data[[#This Row],[JobSatisfaction]]&lt;=2,HR_Data[[#This Row],[YearsAtCompany]]&lt;=2),"High Risk","Normal")</f>
        <v>Normal</v>
      </c>
    </row>
    <row r="1071" spans="1:42" x14ac:dyDescent="0.25">
      <c r="A1071" s="6">
        <v>28</v>
      </c>
      <c r="B1071" s="4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s="11" t="str">
        <f>IF(HR_Data[[#This Row],[Age]]&lt;=25,"18-25",IF(HR_Data[[#This Row],[Age]]&lt;=35,"26-35",IF(HR_Data[[#This Row],[Age]]&lt;=45,"36-45",IF(HR_Data[[#This Row],[Age]]&lt;=55,"46-55","56+"))))</f>
        <v>26-35</v>
      </c>
      <c r="AK1071" s="11" t="str">
        <f>IF(HR_Data[[#This Row],[MonthlyIncome]]&lt;3000,"Low",IF(HR_Data[[#This Row],[MonthlyIncome]]&lt;6000,"Medium",IF(HR_Data[[#This Row],[MonthlyIncome]]&lt;10000,"High","Very High")))</f>
        <v>Low</v>
      </c>
      <c r="AL107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71" t="str">
        <f>IF(HR_Data[[#This Row],[TotalWorkingYears]]&lt;=5,"Junior",IF(HR_Data[[#This Row],[TotalWorkingYears]]&lt;=15,"Mid-Level","Senior"))</f>
        <v>Junior</v>
      </c>
      <c r="AN1071" s="11" t="str">
        <f>IF(HR_Data[[#This Row],[PerformanceRating]]=3,"Standard","Excellent")</f>
        <v>Standard</v>
      </c>
      <c r="AO1071" s="11" t="str">
        <f>IF(HR_Data[[#This Row],[JobSatisfaction]]&lt;=2,"Low","High")</f>
        <v>High</v>
      </c>
      <c r="AP1071" s="11" t="str">
        <f>IF(AND(HR_Data[[#This Row],[OverTime]]="Yes",HR_Data[[#This Row],[JobSatisfaction]]&lt;=2,HR_Data[[#This Row],[YearsAtCompany]]&lt;=2),"High Risk","Normal")</f>
        <v>Normal</v>
      </c>
    </row>
    <row r="1072" spans="1:42" x14ac:dyDescent="0.25">
      <c r="A1072" s="6">
        <v>28</v>
      </c>
      <c r="B1072" s="4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s="11" t="str">
        <f>IF(HR_Data[[#This Row],[Age]]&lt;=25,"18-25",IF(HR_Data[[#This Row],[Age]]&lt;=35,"26-35",IF(HR_Data[[#This Row],[Age]]&lt;=45,"36-45",IF(HR_Data[[#This Row],[Age]]&lt;=55,"46-55","56+"))))</f>
        <v>26-35</v>
      </c>
      <c r="AK1072" s="11" t="str">
        <f>IF(HR_Data[[#This Row],[MonthlyIncome]]&lt;3000,"Low",IF(HR_Data[[#This Row],[MonthlyIncome]]&lt;6000,"Medium",IF(HR_Data[[#This Row],[MonthlyIncome]]&lt;10000,"High","Very High")))</f>
        <v>Medium</v>
      </c>
      <c r="AL107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72" t="str">
        <f>IF(HR_Data[[#This Row],[TotalWorkingYears]]&lt;=5,"Junior",IF(HR_Data[[#This Row],[TotalWorkingYears]]&lt;=15,"Mid-Level","Senior"))</f>
        <v>Junior</v>
      </c>
      <c r="AN1072" s="11" t="str">
        <f>IF(HR_Data[[#This Row],[PerformanceRating]]=3,"Standard","Excellent")</f>
        <v>Standard</v>
      </c>
      <c r="AO1072" s="11" t="str">
        <f>IF(HR_Data[[#This Row],[JobSatisfaction]]&lt;=2,"Low","High")</f>
        <v>Low</v>
      </c>
      <c r="AP1072" s="11" t="str">
        <f>IF(AND(HR_Data[[#This Row],[OverTime]]="Yes",HR_Data[[#This Row],[JobSatisfaction]]&lt;=2,HR_Data[[#This Row],[YearsAtCompany]]&lt;=2),"High Risk","Normal")</f>
        <v>Normal</v>
      </c>
    </row>
    <row r="1073" spans="1:42" x14ac:dyDescent="0.25">
      <c r="A1073" s="6">
        <v>49</v>
      </c>
      <c r="B1073" s="4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s="11" t="str">
        <f>IF(HR_Data[[#This Row],[Age]]&lt;=25,"18-25",IF(HR_Data[[#This Row],[Age]]&lt;=35,"26-35",IF(HR_Data[[#This Row],[Age]]&lt;=45,"36-45",IF(HR_Data[[#This Row],[Age]]&lt;=55,"46-55","56+"))))</f>
        <v>46-55</v>
      </c>
      <c r="AK1073" s="11" t="str">
        <f>IF(HR_Data[[#This Row],[MonthlyIncome]]&lt;3000,"Low",IF(HR_Data[[#This Row],[MonthlyIncome]]&lt;6000,"Medium",IF(HR_Data[[#This Row],[MonthlyIncome]]&lt;10000,"High","Very High")))</f>
        <v>Medium</v>
      </c>
      <c r="AL107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73" t="str">
        <f>IF(HR_Data[[#This Row],[TotalWorkingYears]]&lt;=5,"Junior",IF(HR_Data[[#This Row],[TotalWorkingYears]]&lt;=15,"Mid-Level","Senior"))</f>
        <v>Mid-Level</v>
      </c>
      <c r="AN1073" s="11" t="str">
        <f>IF(HR_Data[[#This Row],[PerformanceRating]]=3,"Standard","Excellent")</f>
        <v>Excellent</v>
      </c>
      <c r="AO1073" s="11" t="str">
        <f>IF(HR_Data[[#This Row],[JobSatisfaction]]&lt;=2,"Low","High")</f>
        <v>Low</v>
      </c>
      <c r="AP1073" s="11" t="str">
        <f>IF(AND(HR_Data[[#This Row],[OverTime]]="Yes",HR_Data[[#This Row],[JobSatisfaction]]&lt;=2,HR_Data[[#This Row],[YearsAtCompany]]&lt;=2),"High Risk","Normal")</f>
        <v>Normal</v>
      </c>
    </row>
    <row r="1074" spans="1:42" x14ac:dyDescent="0.25">
      <c r="A1074" s="6">
        <v>29</v>
      </c>
      <c r="B1074" s="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s="11" t="str">
        <f>IF(HR_Data[[#This Row],[Age]]&lt;=25,"18-25",IF(HR_Data[[#This Row],[Age]]&lt;=35,"26-35",IF(HR_Data[[#This Row],[Age]]&lt;=45,"36-45",IF(HR_Data[[#This Row],[Age]]&lt;=55,"46-55","56+"))))</f>
        <v>26-35</v>
      </c>
      <c r="AK1074" s="11" t="str">
        <f>IF(HR_Data[[#This Row],[MonthlyIncome]]&lt;3000,"Low",IF(HR_Data[[#This Row],[MonthlyIncome]]&lt;6000,"Medium",IF(HR_Data[[#This Row],[MonthlyIncome]]&lt;10000,"High","Very High")))</f>
        <v>Medium</v>
      </c>
      <c r="AL107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74" t="str">
        <f>IF(HR_Data[[#This Row],[TotalWorkingYears]]&lt;=5,"Junior",IF(HR_Data[[#This Row],[TotalWorkingYears]]&lt;=15,"Mid-Level","Senior"))</f>
        <v>Junior</v>
      </c>
      <c r="AN1074" s="11" t="str">
        <f>IF(HR_Data[[#This Row],[PerformanceRating]]=3,"Standard","Excellent")</f>
        <v>Standard</v>
      </c>
      <c r="AO1074" s="11" t="str">
        <f>IF(HR_Data[[#This Row],[JobSatisfaction]]&lt;=2,"Low","High")</f>
        <v>Low</v>
      </c>
      <c r="AP1074" s="11" t="str">
        <f>IF(AND(HR_Data[[#This Row],[OverTime]]="Yes",HR_Data[[#This Row],[JobSatisfaction]]&lt;=2,HR_Data[[#This Row],[YearsAtCompany]]&lt;=2),"High Risk","Normal")</f>
        <v>Normal</v>
      </c>
    </row>
    <row r="1075" spans="1:42" x14ac:dyDescent="0.25">
      <c r="A1075" s="6">
        <v>28</v>
      </c>
      <c r="B1075" s="4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s="11" t="str">
        <f>IF(HR_Data[[#This Row],[Age]]&lt;=25,"18-25",IF(HR_Data[[#This Row],[Age]]&lt;=35,"26-35",IF(HR_Data[[#This Row],[Age]]&lt;=45,"36-45",IF(HR_Data[[#This Row],[Age]]&lt;=55,"46-55","56+"))))</f>
        <v>26-35</v>
      </c>
      <c r="AK1075" s="11" t="str">
        <f>IF(HR_Data[[#This Row],[MonthlyIncome]]&lt;3000,"Low",IF(HR_Data[[#This Row],[MonthlyIncome]]&lt;6000,"Medium",IF(HR_Data[[#This Row],[MonthlyIncome]]&lt;10000,"High","Very High")))</f>
        <v>High</v>
      </c>
      <c r="AL107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75" t="str">
        <f>IF(HR_Data[[#This Row],[TotalWorkingYears]]&lt;=5,"Junior",IF(HR_Data[[#This Row],[TotalWorkingYears]]&lt;=15,"Mid-Level","Senior"))</f>
        <v>Mid-Level</v>
      </c>
      <c r="AN1075" s="11" t="str">
        <f>IF(HR_Data[[#This Row],[PerformanceRating]]=3,"Standard","Excellent")</f>
        <v>Standard</v>
      </c>
      <c r="AO1075" s="11" t="str">
        <f>IF(HR_Data[[#This Row],[JobSatisfaction]]&lt;=2,"Low","High")</f>
        <v>Low</v>
      </c>
      <c r="AP1075" s="11" t="str">
        <f>IF(AND(HR_Data[[#This Row],[OverTime]]="Yes",HR_Data[[#This Row],[JobSatisfaction]]&lt;=2,HR_Data[[#This Row],[YearsAtCompany]]&lt;=2),"High Risk","Normal")</f>
        <v>Normal</v>
      </c>
    </row>
    <row r="1076" spans="1:42" x14ac:dyDescent="0.25">
      <c r="A1076" s="6">
        <v>33</v>
      </c>
      <c r="B1076" s="4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s="11" t="str">
        <f>IF(HR_Data[[#This Row],[Age]]&lt;=25,"18-25",IF(HR_Data[[#This Row],[Age]]&lt;=35,"26-35",IF(HR_Data[[#This Row],[Age]]&lt;=45,"36-45",IF(HR_Data[[#This Row],[Age]]&lt;=55,"46-55","56+"))))</f>
        <v>26-35</v>
      </c>
      <c r="AK1076" s="11" t="str">
        <f>IF(HR_Data[[#This Row],[MonthlyIncome]]&lt;3000,"Low",IF(HR_Data[[#This Row],[MonthlyIncome]]&lt;6000,"Medium",IF(HR_Data[[#This Row],[MonthlyIncome]]&lt;10000,"High","Very High")))</f>
        <v>High</v>
      </c>
      <c r="AL107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76" t="str">
        <f>IF(HR_Data[[#This Row],[TotalWorkingYears]]&lt;=5,"Junior",IF(HR_Data[[#This Row],[TotalWorkingYears]]&lt;=15,"Mid-Level","Senior"))</f>
        <v>Mid-Level</v>
      </c>
      <c r="AN1076" s="11" t="str">
        <f>IF(HR_Data[[#This Row],[PerformanceRating]]=3,"Standard","Excellent")</f>
        <v>Standard</v>
      </c>
      <c r="AO1076" s="11" t="str">
        <f>IF(HR_Data[[#This Row],[JobSatisfaction]]&lt;=2,"Low","High")</f>
        <v>High</v>
      </c>
      <c r="AP1076" s="11" t="str">
        <f>IF(AND(HR_Data[[#This Row],[OverTime]]="Yes",HR_Data[[#This Row],[JobSatisfaction]]&lt;=2,HR_Data[[#This Row],[YearsAtCompany]]&lt;=2),"High Risk","Normal")</f>
        <v>Normal</v>
      </c>
    </row>
    <row r="1077" spans="1:42" x14ac:dyDescent="0.25">
      <c r="A1077" s="6">
        <v>32</v>
      </c>
      <c r="B1077" s="4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s="11" t="str">
        <f>IF(HR_Data[[#This Row],[Age]]&lt;=25,"18-25",IF(HR_Data[[#This Row],[Age]]&lt;=35,"26-35",IF(HR_Data[[#This Row],[Age]]&lt;=45,"36-45",IF(HR_Data[[#This Row],[Age]]&lt;=55,"46-55","56+"))))</f>
        <v>26-35</v>
      </c>
      <c r="AK1077" s="11" t="str">
        <f>IF(HR_Data[[#This Row],[MonthlyIncome]]&lt;3000,"Low",IF(HR_Data[[#This Row],[MonthlyIncome]]&lt;6000,"Medium",IF(HR_Data[[#This Row],[MonthlyIncome]]&lt;10000,"High","Very High")))</f>
        <v>Very High</v>
      </c>
      <c r="AL107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77" t="str">
        <f>IF(HR_Data[[#This Row],[TotalWorkingYears]]&lt;=5,"Junior",IF(HR_Data[[#This Row],[TotalWorkingYears]]&lt;=15,"Mid-Level","Senior"))</f>
        <v>Mid-Level</v>
      </c>
      <c r="AN1077" s="11" t="str">
        <f>IF(HR_Data[[#This Row],[PerformanceRating]]=3,"Standard","Excellent")</f>
        <v>Excellent</v>
      </c>
      <c r="AO1077" s="11" t="str">
        <f>IF(HR_Data[[#This Row],[JobSatisfaction]]&lt;=2,"Low","High")</f>
        <v>High</v>
      </c>
      <c r="AP1077" s="11" t="str">
        <f>IF(AND(HR_Data[[#This Row],[OverTime]]="Yes",HR_Data[[#This Row],[JobSatisfaction]]&lt;=2,HR_Data[[#This Row],[YearsAtCompany]]&lt;=2),"High Risk","Normal")</f>
        <v>Normal</v>
      </c>
    </row>
    <row r="1078" spans="1:42" x14ac:dyDescent="0.25">
      <c r="A1078" s="6">
        <v>54</v>
      </c>
      <c r="B1078" s="4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s="11" t="str">
        <f>IF(HR_Data[[#This Row],[Age]]&lt;=25,"18-25",IF(HR_Data[[#This Row],[Age]]&lt;=35,"26-35",IF(HR_Data[[#This Row],[Age]]&lt;=45,"36-45",IF(HR_Data[[#This Row],[Age]]&lt;=55,"46-55","56+"))))</f>
        <v>46-55</v>
      </c>
      <c r="AK1078" s="11" t="str">
        <f>IF(HR_Data[[#This Row],[MonthlyIncome]]&lt;3000,"Low",IF(HR_Data[[#This Row],[MonthlyIncome]]&lt;6000,"Medium",IF(HR_Data[[#This Row],[MonthlyIncome]]&lt;10000,"High","Very High")))</f>
        <v>Very High</v>
      </c>
      <c r="AL107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078" t="str">
        <f>IF(HR_Data[[#This Row],[TotalWorkingYears]]&lt;=5,"Junior",IF(HR_Data[[#This Row],[TotalWorkingYears]]&lt;=15,"Mid-Level","Senior"))</f>
        <v>Senior</v>
      </c>
      <c r="AN1078" s="11" t="str">
        <f>IF(HR_Data[[#This Row],[PerformanceRating]]=3,"Standard","Excellent")</f>
        <v>Excellent</v>
      </c>
      <c r="AO1078" s="11" t="str">
        <f>IF(HR_Data[[#This Row],[JobSatisfaction]]&lt;=2,"Low","High")</f>
        <v>High</v>
      </c>
      <c r="AP1078" s="11" t="str">
        <f>IF(AND(HR_Data[[#This Row],[OverTime]]="Yes",HR_Data[[#This Row],[JobSatisfaction]]&lt;=2,HR_Data[[#This Row],[YearsAtCompany]]&lt;=2),"High Risk","Normal")</f>
        <v>Normal</v>
      </c>
    </row>
    <row r="1079" spans="1:42" x14ac:dyDescent="0.25">
      <c r="A1079" s="6">
        <v>29</v>
      </c>
      <c r="B1079" s="4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s="11" t="str">
        <f>IF(HR_Data[[#This Row],[Age]]&lt;=25,"18-25",IF(HR_Data[[#This Row],[Age]]&lt;=35,"26-35",IF(HR_Data[[#This Row],[Age]]&lt;=45,"36-45",IF(HR_Data[[#This Row],[Age]]&lt;=55,"46-55","56+"))))</f>
        <v>26-35</v>
      </c>
      <c r="AK1079" s="11" t="str">
        <f>IF(HR_Data[[#This Row],[MonthlyIncome]]&lt;3000,"Low",IF(HR_Data[[#This Row],[MonthlyIncome]]&lt;6000,"Medium",IF(HR_Data[[#This Row],[MonthlyIncome]]&lt;10000,"High","Very High")))</f>
        <v>Low</v>
      </c>
      <c r="AL107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79" t="str">
        <f>IF(HR_Data[[#This Row],[TotalWorkingYears]]&lt;=5,"Junior",IF(HR_Data[[#This Row],[TotalWorkingYears]]&lt;=15,"Mid-Level","Senior"))</f>
        <v>Mid-Level</v>
      </c>
      <c r="AN1079" s="11" t="str">
        <f>IF(HR_Data[[#This Row],[PerformanceRating]]=3,"Standard","Excellent")</f>
        <v>Standard</v>
      </c>
      <c r="AO1079" s="11" t="str">
        <f>IF(HR_Data[[#This Row],[JobSatisfaction]]&lt;=2,"Low","High")</f>
        <v>Low</v>
      </c>
      <c r="AP1079" s="11" t="str">
        <f>IF(AND(HR_Data[[#This Row],[OverTime]]="Yes",HR_Data[[#This Row],[JobSatisfaction]]&lt;=2,HR_Data[[#This Row],[YearsAtCompany]]&lt;=2),"High Risk","Normal")</f>
        <v>Normal</v>
      </c>
    </row>
    <row r="1080" spans="1:42" x14ac:dyDescent="0.25">
      <c r="A1080" s="6">
        <v>44</v>
      </c>
      <c r="B1080" s="4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s="11" t="str">
        <f>IF(HR_Data[[#This Row],[Age]]&lt;=25,"18-25",IF(HR_Data[[#This Row],[Age]]&lt;=35,"26-35",IF(HR_Data[[#This Row],[Age]]&lt;=45,"36-45",IF(HR_Data[[#This Row],[Age]]&lt;=55,"46-55","56+"))))</f>
        <v>36-45</v>
      </c>
      <c r="AK1080" s="11" t="str">
        <f>IF(HR_Data[[#This Row],[MonthlyIncome]]&lt;3000,"Low",IF(HR_Data[[#This Row],[MonthlyIncome]]&lt;6000,"Medium",IF(HR_Data[[#This Row],[MonthlyIncome]]&lt;10000,"High","Very High")))</f>
        <v>Very High</v>
      </c>
      <c r="AL108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080" t="str">
        <f>IF(HR_Data[[#This Row],[TotalWorkingYears]]&lt;=5,"Junior",IF(HR_Data[[#This Row],[TotalWorkingYears]]&lt;=15,"Mid-Level","Senior"))</f>
        <v>Senior</v>
      </c>
      <c r="AN1080" s="11" t="str">
        <f>IF(HR_Data[[#This Row],[PerformanceRating]]=3,"Standard","Excellent")</f>
        <v>Standard</v>
      </c>
      <c r="AO1080" s="11" t="str">
        <f>IF(HR_Data[[#This Row],[JobSatisfaction]]&lt;=2,"Low","High")</f>
        <v>Low</v>
      </c>
      <c r="AP1080" s="11" t="str">
        <f>IF(AND(HR_Data[[#This Row],[OverTime]]="Yes",HR_Data[[#This Row],[JobSatisfaction]]&lt;=2,HR_Data[[#This Row],[YearsAtCompany]]&lt;=2),"High Risk","Normal")</f>
        <v>Normal</v>
      </c>
    </row>
    <row r="1081" spans="1:42" x14ac:dyDescent="0.25">
      <c r="A1081" s="6">
        <v>39</v>
      </c>
      <c r="B1081" s="4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s="11" t="str">
        <f>IF(HR_Data[[#This Row],[Age]]&lt;=25,"18-25",IF(HR_Data[[#This Row],[Age]]&lt;=35,"26-35",IF(HR_Data[[#This Row],[Age]]&lt;=45,"36-45",IF(HR_Data[[#This Row],[Age]]&lt;=55,"46-55","56+"))))</f>
        <v>36-45</v>
      </c>
      <c r="AK1081" s="11" t="str">
        <f>IF(HR_Data[[#This Row],[MonthlyIncome]]&lt;3000,"Low",IF(HR_Data[[#This Row],[MonthlyIncome]]&lt;6000,"Medium",IF(HR_Data[[#This Row],[MonthlyIncome]]&lt;10000,"High","Very High")))</f>
        <v>High</v>
      </c>
      <c r="AL108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81" t="str">
        <f>IF(HR_Data[[#This Row],[TotalWorkingYears]]&lt;=5,"Junior",IF(HR_Data[[#This Row],[TotalWorkingYears]]&lt;=15,"Mid-Level","Senior"))</f>
        <v>Mid-Level</v>
      </c>
      <c r="AN1081" s="11" t="str">
        <f>IF(HR_Data[[#This Row],[PerformanceRating]]=3,"Standard","Excellent")</f>
        <v>Standard</v>
      </c>
      <c r="AO1081" s="11" t="str">
        <f>IF(HR_Data[[#This Row],[JobSatisfaction]]&lt;=2,"Low","High")</f>
        <v>Low</v>
      </c>
      <c r="AP1081" s="11" t="str">
        <f>IF(AND(HR_Data[[#This Row],[OverTime]]="Yes",HR_Data[[#This Row],[JobSatisfaction]]&lt;=2,HR_Data[[#This Row],[YearsAtCompany]]&lt;=2),"High Risk","Normal")</f>
        <v>Normal</v>
      </c>
    </row>
    <row r="1082" spans="1:42" x14ac:dyDescent="0.25">
      <c r="A1082" s="6">
        <v>46</v>
      </c>
      <c r="B1082" s="4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s="11" t="str">
        <f>IF(HR_Data[[#This Row],[Age]]&lt;=25,"18-25",IF(HR_Data[[#This Row],[Age]]&lt;=35,"26-35",IF(HR_Data[[#This Row],[Age]]&lt;=45,"36-45",IF(HR_Data[[#This Row],[Age]]&lt;=55,"46-55","56+"))))</f>
        <v>46-55</v>
      </c>
      <c r="AK1082" s="11" t="str">
        <f>IF(HR_Data[[#This Row],[MonthlyIncome]]&lt;3000,"Low",IF(HR_Data[[#This Row],[MonthlyIncome]]&lt;6000,"Medium",IF(HR_Data[[#This Row],[MonthlyIncome]]&lt;10000,"High","Very High")))</f>
        <v>Very High</v>
      </c>
      <c r="AL108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082" t="str">
        <f>IF(HR_Data[[#This Row],[TotalWorkingYears]]&lt;=5,"Junior",IF(HR_Data[[#This Row],[TotalWorkingYears]]&lt;=15,"Mid-Level","Senior"))</f>
        <v>Senior</v>
      </c>
      <c r="AN1082" s="11" t="str">
        <f>IF(HR_Data[[#This Row],[PerformanceRating]]=3,"Standard","Excellent")</f>
        <v>Standard</v>
      </c>
      <c r="AO1082" s="11" t="str">
        <f>IF(HR_Data[[#This Row],[JobSatisfaction]]&lt;=2,"Low","High")</f>
        <v>Low</v>
      </c>
      <c r="AP1082" s="11" t="str">
        <f>IF(AND(HR_Data[[#This Row],[OverTime]]="Yes",HR_Data[[#This Row],[JobSatisfaction]]&lt;=2,HR_Data[[#This Row],[YearsAtCompany]]&lt;=2),"High Risk","Normal")</f>
        <v>Normal</v>
      </c>
    </row>
    <row r="1083" spans="1:42" x14ac:dyDescent="0.25">
      <c r="A1083" s="6">
        <v>35</v>
      </c>
      <c r="B1083" s="4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s="11" t="str">
        <f>IF(HR_Data[[#This Row],[Age]]&lt;=25,"18-25",IF(HR_Data[[#This Row],[Age]]&lt;=35,"26-35",IF(HR_Data[[#This Row],[Age]]&lt;=45,"36-45",IF(HR_Data[[#This Row],[Age]]&lt;=55,"46-55","56+"))))</f>
        <v>26-35</v>
      </c>
      <c r="AK1083" s="11" t="str">
        <f>IF(HR_Data[[#This Row],[MonthlyIncome]]&lt;3000,"Low",IF(HR_Data[[#This Row],[MonthlyIncome]]&lt;6000,"Medium",IF(HR_Data[[#This Row],[MonthlyIncome]]&lt;10000,"High","Very High")))</f>
        <v>High</v>
      </c>
      <c r="AL1083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083" t="str">
        <f>IF(HR_Data[[#This Row],[TotalWorkingYears]]&lt;=5,"Junior",IF(HR_Data[[#This Row],[TotalWorkingYears]]&lt;=15,"Mid-Level","Senior"))</f>
        <v>Mid-Level</v>
      </c>
      <c r="AN1083" s="11" t="str">
        <f>IF(HR_Data[[#This Row],[PerformanceRating]]=3,"Standard","Excellent")</f>
        <v>Standard</v>
      </c>
      <c r="AO1083" s="11" t="str">
        <f>IF(HR_Data[[#This Row],[JobSatisfaction]]&lt;=2,"Low","High")</f>
        <v>Low</v>
      </c>
      <c r="AP1083" s="11" t="str">
        <f>IF(AND(HR_Data[[#This Row],[OverTime]]="Yes",HR_Data[[#This Row],[JobSatisfaction]]&lt;=2,HR_Data[[#This Row],[YearsAtCompany]]&lt;=2),"High Risk","Normal")</f>
        <v>Normal</v>
      </c>
    </row>
    <row r="1084" spans="1:42" x14ac:dyDescent="0.25">
      <c r="A1084" s="6">
        <v>23</v>
      </c>
      <c r="B1084" s="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s="11" t="str">
        <f>IF(HR_Data[[#This Row],[Age]]&lt;=25,"18-25",IF(HR_Data[[#This Row],[Age]]&lt;=35,"26-35",IF(HR_Data[[#This Row],[Age]]&lt;=45,"36-45",IF(HR_Data[[#This Row],[Age]]&lt;=55,"46-55","56+"))))</f>
        <v>18-25</v>
      </c>
      <c r="AK1084" s="11" t="str">
        <f>IF(HR_Data[[#This Row],[MonthlyIncome]]&lt;3000,"Low",IF(HR_Data[[#This Row],[MonthlyIncome]]&lt;6000,"Medium",IF(HR_Data[[#This Row],[MonthlyIncome]]&lt;10000,"High","Very High")))</f>
        <v>Low</v>
      </c>
      <c r="AL108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84" t="str">
        <f>IF(HR_Data[[#This Row],[TotalWorkingYears]]&lt;=5,"Junior",IF(HR_Data[[#This Row],[TotalWorkingYears]]&lt;=15,"Mid-Level","Senior"))</f>
        <v>Junior</v>
      </c>
      <c r="AN1084" s="11" t="str">
        <f>IF(HR_Data[[#This Row],[PerformanceRating]]=3,"Standard","Excellent")</f>
        <v>Standard</v>
      </c>
      <c r="AO1084" s="11" t="str">
        <f>IF(HR_Data[[#This Row],[JobSatisfaction]]&lt;=2,"Low","High")</f>
        <v>High</v>
      </c>
      <c r="AP1084" s="11" t="str">
        <f>IF(AND(HR_Data[[#This Row],[OverTime]]="Yes",HR_Data[[#This Row],[JobSatisfaction]]&lt;=2,HR_Data[[#This Row],[YearsAtCompany]]&lt;=2),"High Risk","Normal")</f>
        <v>Normal</v>
      </c>
    </row>
    <row r="1085" spans="1:42" x14ac:dyDescent="0.25">
      <c r="A1085" s="6">
        <v>40</v>
      </c>
      <c r="B1085" s="4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s="11" t="str">
        <f>IF(HR_Data[[#This Row],[Age]]&lt;=25,"18-25",IF(HR_Data[[#This Row],[Age]]&lt;=35,"26-35",IF(HR_Data[[#This Row],[Age]]&lt;=45,"36-45",IF(HR_Data[[#This Row],[Age]]&lt;=55,"46-55","56+"))))</f>
        <v>36-45</v>
      </c>
      <c r="AK1085" s="11" t="str">
        <f>IF(HR_Data[[#This Row],[MonthlyIncome]]&lt;3000,"Low",IF(HR_Data[[#This Row],[MonthlyIncome]]&lt;6000,"Medium",IF(HR_Data[[#This Row],[MonthlyIncome]]&lt;10000,"High","Very High")))</f>
        <v>Low</v>
      </c>
      <c r="AL108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85" t="str">
        <f>IF(HR_Data[[#This Row],[TotalWorkingYears]]&lt;=5,"Junior",IF(HR_Data[[#This Row],[TotalWorkingYears]]&lt;=15,"Mid-Level","Senior"))</f>
        <v>Mid-Level</v>
      </c>
      <c r="AN1085" s="11" t="str">
        <f>IF(HR_Data[[#This Row],[PerformanceRating]]=3,"Standard","Excellent")</f>
        <v>Standard</v>
      </c>
      <c r="AO1085" s="11" t="str">
        <f>IF(HR_Data[[#This Row],[JobSatisfaction]]&lt;=2,"Low","High")</f>
        <v>Low</v>
      </c>
      <c r="AP1085" s="11" t="str">
        <f>IF(AND(HR_Data[[#This Row],[OverTime]]="Yes",HR_Data[[#This Row],[JobSatisfaction]]&lt;=2,HR_Data[[#This Row],[YearsAtCompany]]&lt;=2),"High Risk","Normal")</f>
        <v>Normal</v>
      </c>
    </row>
    <row r="1086" spans="1:42" x14ac:dyDescent="0.25">
      <c r="A1086" s="6">
        <v>34</v>
      </c>
      <c r="B1086" s="4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s="11" t="str">
        <f>IF(HR_Data[[#This Row],[Age]]&lt;=25,"18-25",IF(HR_Data[[#This Row],[Age]]&lt;=35,"26-35",IF(HR_Data[[#This Row],[Age]]&lt;=45,"36-45",IF(HR_Data[[#This Row],[Age]]&lt;=55,"46-55","56+"))))</f>
        <v>26-35</v>
      </c>
      <c r="AK1086" s="11" t="str">
        <f>IF(HR_Data[[#This Row],[MonthlyIncome]]&lt;3000,"Low",IF(HR_Data[[#This Row],[MonthlyIncome]]&lt;6000,"Medium",IF(HR_Data[[#This Row],[MonthlyIncome]]&lt;10000,"High","Very High")))</f>
        <v>High</v>
      </c>
      <c r="AL108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86" t="str">
        <f>IF(HR_Data[[#This Row],[TotalWorkingYears]]&lt;=5,"Junior",IF(HR_Data[[#This Row],[TotalWorkingYears]]&lt;=15,"Mid-Level","Senior"))</f>
        <v>Mid-Level</v>
      </c>
      <c r="AN1086" s="11" t="str">
        <f>IF(HR_Data[[#This Row],[PerformanceRating]]=3,"Standard","Excellent")</f>
        <v>Standard</v>
      </c>
      <c r="AO1086" s="11" t="str">
        <f>IF(HR_Data[[#This Row],[JobSatisfaction]]&lt;=2,"Low","High")</f>
        <v>High</v>
      </c>
      <c r="AP1086" s="11" t="str">
        <f>IF(AND(HR_Data[[#This Row],[OverTime]]="Yes",HR_Data[[#This Row],[JobSatisfaction]]&lt;=2,HR_Data[[#This Row],[YearsAtCompany]]&lt;=2),"High Risk","Normal")</f>
        <v>Normal</v>
      </c>
    </row>
    <row r="1087" spans="1:42" x14ac:dyDescent="0.25">
      <c r="A1087" s="6">
        <v>31</v>
      </c>
      <c r="B1087" s="4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s="11" t="str">
        <f>IF(HR_Data[[#This Row],[Age]]&lt;=25,"18-25",IF(HR_Data[[#This Row],[Age]]&lt;=35,"26-35",IF(HR_Data[[#This Row],[Age]]&lt;=45,"36-45",IF(HR_Data[[#This Row],[Age]]&lt;=55,"46-55","56+"))))</f>
        <v>26-35</v>
      </c>
      <c r="AK1087" s="11" t="str">
        <f>IF(HR_Data[[#This Row],[MonthlyIncome]]&lt;3000,"Low",IF(HR_Data[[#This Row],[MonthlyIncome]]&lt;6000,"Medium",IF(HR_Data[[#This Row],[MonthlyIncome]]&lt;10000,"High","Very High")))</f>
        <v>Medium</v>
      </c>
      <c r="AL108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87" t="str">
        <f>IF(HR_Data[[#This Row],[TotalWorkingYears]]&lt;=5,"Junior",IF(HR_Data[[#This Row],[TotalWorkingYears]]&lt;=15,"Mid-Level","Senior"))</f>
        <v>Mid-Level</v>
      </c>
      <c r="AN1087" s="11" t="str">
        <f>IF(HR_Data[[#This Row],[PerformanceRating]]=3,"Standard","Excellent")</f>
        <v>Standard</v>
      </c>
      <c r="AO1087" s="11" t="str">
        <f>IF(HR_Data[[#This Row],[JobSatisfaction]]&lt;=2,"Low","High")</f>
        <v>High</v>
      </c>
      <c r="AP1087" s="11" t="str">
        <f>IF(AND(HR_Data[[#This Row],[OverTime]]="Yes",HR_Data[[#This Row],[JobSatisfaction]]&lt;=2,HR_Data[[#This Row],[YearsAtCompany]]&lt;=2),"High Risk","Normal")</f>
        <v>Normal</v>
      </c>
    </row>
    <row r="1088" spans="1:42" x14ac:dyDescent="0.25">
      <c r="A1088" s="6">
        <v>50</v>
      </c>
      <c r="B1088" s="4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s="11" t="str">
        <f>IF(HR_Data[[#This Row],[Age]]&lt;=25,"18-25",IF(HR_Data[[#This Row],[Age]]&lt;=35,"26-35",IF(HR_Data[[#This Row],[Age]]&lt;=45,"36-45",IF(HR_Data[[#This Row],[Age]]&lt;=55,"46-55","56+"))))</f>
        <v>46-55</v>
      </c>
      <c r="AK1088" s="11" t="str">
        <f>IF(HR_Data[[#This Row],[MonthlyIncome]]&lt;3000,"Low",IF(HR_Data[[#This Row],[MonthlyIncome]]&lt;6000,"Medium",IF(HR_Data[[#This Row],[MonthlyIncome]]&lt;10000,"High","Very High")))</f>
        <v>Very High</v>
      </c>
      <c r="AL108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088" t="str">
        <f>IF(HR_Data[[#This Row],[TotalWorkingYears]]&lt;=5,"Junior",IF(HR_Data[[#This Row],[TotalWorkingYears]]&lt;=15,"Mid-Level","Senior"))</f>
        <v>Senior</v>
      </c>
      <c r="AN1088" s="11" t="str">
        <f>IF(HR_Data[[#This Row],[PerformanceRating]]=3,"Standard","Excellent")</f>
        <v>Standard</v>
      </c>
      <c r="AO1088" s="11" t="str">
        <f>IF(HR_Data[[#This Row],[JobSatisfaction]]&lt;=2,"Low","High")</f>
        <v>High</v>
      </c>
      <c r="AP1088" s="11" t="str">
        <f>IF(AND(HR_Data[[#This Row],[OverTime]]="Yes",HR_Data[[#This Row],[JobSatisfaction]]&lt;=2,HR_Data[[#This Row],[YearsAtCompany]]&lt;=2),"High Risk","Normal")</f>
        <v>Normal</v>
      </c>
    </row>
    <row r="1089" spans="1:42" x14ac:dyDescent="0.25">
      <c r="A1089" s="6">
        <v>34</v>
      </c>
      <c r="B1089" s="4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s="11" t="str">
        <f>IF(HR_Data[[#This Row],[Age]]&lt;=25,"18-25",IF(HR_Data[[#This Row],[Age]]&lt;=35,"26-35",IF(HR_Data[[#This Row],[Age]]&lt;=45,"36-45",IF(HR_Data[[#This Row],[Age]]&lt;=55,"46-55","56+"))))</f>
        <v>26-35</v>
      </c>
      <c r="AK1089" s="11" t="str">
        <f>IF(HR_Data[[#This Row],[MonthlyIncome]]&lt;3000,"Low",IF(HR_Data[[#This Row],[MonthlyIncome]]&lt;6000,"Medium",IF(HR_Data[[#This Row],[MonthlyIncome]]&lt;10000,"High","Very High")))</f>
        <v>Low</v>
      </c>
      <c r="AL108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089" t="str">
        <f>IF(HR_Data[[#This Row],[TotalWorkingYears]]&lt;=5,"Junior",IF(HR_Data[[#This Row],[TotalWorkingYears]]&lt;=15,"Mid-Level","Senior"))</f>
        <v>Mid-Level</v>
      </c>
      <c r="AN1089" s="11" t="str">
        <f>IF(HR_Data[[#This Row],[PerformanceRating]]=3,"Standard","Excellent")</f>
        <v>Excellent</v>
      </c>
      <c r="AO1089" s="11" t="str">
        <f>IF(HR_Data[[#This Row],[JobSatisfaction]]&lt;=2,"Low","High")</f>
        <v>High</v>
      </c>
      <c r="AP1089" s="11" t="str">
        <f>IF(AND(HR_Data[[#This Row],[OverTime]]="Yes",HR_Data[[#This Row],[JobSatisfaction]]&lt;=2,HR_Data[[#This Row],[YearsAtCompany]]&lt;=2),"High Risk","Normal")</f>
        <v>Normal</v>
      </c>
    </row>
    <row r="1090" spans="1:42" x14ac:dyDescent="0.25">
      <c r="A1090" s="6">
        <v>42</v>
      </c>
      <c r="B1090" s="4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s="11" t="str">
        <f>IF(HR_Data[[#This Row],[Age]]&lt;=25,"18-25",IF(HR_Data[[#This Row],[Age]]&lt;=35,"26-35",IF(HR_Data[[#This Row],[Age]]&lt;=45,"36-45",IF(HR_Data[[#This Row],[Age]]&lt;=55,"46-55","56+"))))</f>
        <v>36-45</v>
      </c>
      <c r="AK1090" s="11" t="str">
        <f>IF(HR_Data[[#This Row],[MonthlyIncome]]&lt;3000,"Low",IF(HR_Data[[#This Row],[MonthlyIncome]]&lt;6000,"Medium",IF(HR_Data[[#This Row],[MonthlyIncome]]&lt;10000,"High","Very High")))</f>
        <v>Medium</v>
      </c>
      <c r="AL109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90" t="str">
        <f>IF(HR_Data[[#This Row],[TotalWorkingYears]]&lt;=5,"Junior",IF(HR_Data[[#This Row],[TotalWorkingYears]]&lt;=15,"Mid-Level","Senior"))</f>
        <v>Junior</v>
      </c>
      <c r="AN1090" s="11" t="str">
        <f>IF(HR_Data[[#This Row],[PerformanceRating]]=3,"Standard","Excellent")</f>
        <v>Standard</v>
      </c>
      <c r="AO1090" s="11" t="str">
        <f>IF(HR_Data[[#This Row],[JobSatisfaction]]&lt;=2,"Low","High")</f>
        <v>Low</v>
      </c>
      <c r="AP1090" s="11" t="str">
        <f>IF(AND(HR_Data[[#This Row],[OverTime]]="Yes",HR_Data[[#This Row],[JobSatisfaction]]&lt;=2,HR_Data[[#This Row],[YearsAtCompany]]&lt;=2),"High Risk","Normal")</f>
        <v>Normal</v>
      </c>
    </row>
    <row r="1091" spans="1:42" x14ac:dyDescent="0.25">
      <c r="A1091" s="6">
        <v>37</v>
      </c>
      <c r="B1091" s="4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s="11" t="str">
        <f>IF(HR_Data[[#This Row],[Age]]&lt;=25,"18-25",IF(HR_Data[[#This Row],[Age]]&lt;=35,"26-35",IF(HR_Data[[#This Row],[Age]]&lt;=45,"36-45",IF(HR_Data[[#This Row],[Age]]&lt;=55,"46-55","56+"))))</f>
        <v>36-45</v>
      </c>
      <c r="AK1091" s="11" t="str">
        <f>IF(HR_Data[[#This Row],[MonthlyIncome]]&lt;3000,"Low",IF(HR_Data[[#This Row],[MonthlyIncome]]&lt;6000,"Medium",IF(HR_Data[[#This Row],[MonthlyIncome]]&lt;10000,"High","Very High")))</f>
        <v>Medium</v>
      </c>
      <c r="AL109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91" t="str">
        <f>IF(HR_Data[[#This Row],[TotalWorkingYears]]&lt;=5,"Junior",IF(HR_Data[[#This Row],[TotalWorkingYears]]&lt;=15,"Mid-Level","Senior"))</f>
        <v>Mid-Level</v>
      </c>
      <c r="AN1091" s="11" t="str">
        <f>IF(HR_Data[[#This Row],[PerformanceRating]]=3,"Standard","Excellent")</f>
        <v>Standard</v>
      </c>
      <c r="AO1091" s="11" t="str">
        <f>IF(HR_Data[[#This Row],[JobSatisfaction]]&lt;=2,"Low","High")</f>
        <v>High</v>
      </c>
      <c r="AP1091" s="11" t="str">
        <f>IF(AND(HR_Data[[#This Row],[OverTime]]="Yes",HR_Data[[#This Row],[JobSatisfaction]]&lt;=2,HR_Data[[#This Row],[YearsAtCompany]]&lt;=2),"High Risk","Normal")</f>
        <v>Normal</v>
      </c>
    </row>
    <row r="1092" spans="1:42" x14ac:dyDescent="0.25">
      <c r="A1092" s="6">
        <v>29</v>
      </c>
      <c r="B1092" s="4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s="11" t="str">
        <f>IF(HR_Data[[#This Row],[Age]]&lt;=25,"18-25",IF(HR_Data[[#This Row],[Age]]&lt;=35,"26-35",IF(HR_Data[[#This Row],[Age]]&lt;=45,"36-45",IF(HR_Data[[#This Row],[Age]]&lt;=55,"46-55","56+"))))</f>
        <v>26-35</v>
      </c>
      <c r="AK1092" s="11" t="str">
        <f>IF(HR_Data[[#This Row],[MonthlyIncome]]&lt;3000,"Low",IF(HR_Data[[#This Row],[MonthlyIncome]]&lt;6000,"Medium",IF(HR_Data[[#This Row],[MonthlyIncome]]&lt;10000,"High","Very High")))</f>
        <v>High</v>
      </c>
      <c r="AL109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92" t="str">
        <f>IF(HR_Data[[#This Row],[TotalWorkingYears]]&lt;=5,"Junior",IF(HR_Data[[#This Row],[TotalWorkingYears]]&lt;=15,"Mid-Level","Senior"))</f>
        <v>Mid-Level</v>
      </c>
      <c r="AN1092" s="11" t="str">
        <f>IF(HR_Data[[#This Row],[PerformanceRating]]=3,"Standard","Excellent")</f>
        <v>Standard</v>
      </c>
      <c r="AO1092" s="11" t="str">
        <f>IF(HR_Data[[#This Row],[JobSatisfaction]]&lt;=2,"Low","High")</f>
        <v>Low</v>
      </c>
      <c r="AP1092" s="11" t="str">
        <f>IF(AND(HR_Data[[#This Row],[OverTime]]="Yes",HR_Data[[#This Row],[JobSatisfaction]]&lt;=2,HR_Data[[#This Row],[YearsAtCompany]]&lt;=2),"High Risk","Normal")</f>
        <v>Normal</v>
      </c>
    </row>
    <row r="1093" spans="1:42" x14ac:dyDescent="0.25">
      <c r="A1093" s="6">
        <v>33</v>
      </c>
      <c r="B1093" s="4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s="11" t="str">
        <f>IF(HR_Data[[#This Row],[Age]]&lt;=25,"18-25",IF(HR_Data[[#This Row],[Age]]&lt;=35,"26-35",IF(HR_Data[[#This Row],[Age]]&lt;=45,"36-45",IF(HR_Data[[#This Row],[Age]]&lt;=55,"46-55","56+"))))</f>
        <v>26-35</v>
      </c>
      <c r="AK1093" s="11" t="str">
        <f>IF(HR_Data[[#This Row],[MonthlyIncome]]&lt;3000,"Low",IF(HR_Data[[#This Row],[MonthlyIncome]]&lt;6000,"Medium",IF(HR_Data[[#This Row],[MonthlyIncome]]&lt;10000,"High","Very High")))</f>
        <v>Medium</v>
      </c>
      <c r="AL109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93" t="str">
        <f>IF(HR_Data[[#This Row],[TotalWorkingYears]]&lt;=5,"Junior",IF(HR_Data[[#This Row],[TotalWorkingYears]]&lt;=15,"Mid-Level","Senior"))</f>
        <v>Junior</v>
      </c>
      <c r="AN1093" s="11" t="str">
        <f>IF(HR_Data[[#This Row],[PerformanceRating]]=3,"Standard","Excellent")</f>
        <v>Standard</v>
      </c>
      <c r="AO1093" s="11" t="str">
        <f>IF(HR_Data[[#This Row],[JobSatisfaction]]&lt;=2,"Low","High")</f>
        <v>Low</v>
      </c>
      <c r="AP1093" s="11" t="str">
        <f>IF(AND(HR_Data[[#This Row],[OverTime]]="Yes",HR_Data[[#This Row],[JobSatisfaction]]&lt;=2,HR_Data[[#This Row],[YearsAtCompany]]&lt;=2),"High Risk","Normal")</f>
        <v>Normal</v>
      </c>
    </row>
    <row r="1094" spans="1:42" x14ac:dyDescent="0.25">
      <c r="A1094" s="6">
        <v>45</v>
      </c>
      <c r="B1094" s="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s="11" t="str">
        <f>IF(HR_Data[[#This Row],[Age]]&lt;=25,"18-25",IF(HR_Data[[#This Row],[Age]]&lt;=35,"26-35",IF(HR_Data[[#This Row],[Age]]&lt;=45,"36-45",IF(HR_Data[[#This Row],[Age]]&lt;=55,"46-55","56+"))))</f>
        <v>36-45</v>
      </c>
      <c r="AK1094" s="11" t="str">
        <f>IF(HR_Data[[#This Row],[MonthlyIncome]]&lt;3000,"Low",IF(HR_Data[[#This Row],[MonthlyIncome]]&lt;6000,"Medium",IF(HR_Data[[#This Row],[MonthlyIncome]]&lt;10000,"High","Very High")))</f>
        <v>Low</v>
      </c>
      <c r="AL109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094" t="str">
        <f>IF(HR_Data[[#This Row],[TotalWorkingYears]]&lt;=5,"Junior",IF(HR_Data[[#This Row],[TotalWorkingYears]]&lt;=15,"Mid-Level","Senior"))</f>
        <v>Mid-Level</v>
      </c>
      <c r="AN1094" s="11" t="str">
        <f>IF(HR_Data[[#This Row],[PerformanceRating]]=3,"Standard","Excellent")</f>
        <v>Excellent</v>
      </c>
      <c r="AO1094" s="11" t="str">
        <f>IF(HR_Data[[#This Row],[JobSatisfaction]]&lt;=2,"Low","High")</f>
        <v>High</v>
      </c>
      <c r="AP1094" s="11" t="str">
        <f>IF(AND(HR_Data[[#This Row],[OverTime]]="Yes",HR_Data[[#This Row],[JobSatisfaction]]&lt;=2,HR_Data[[#This Row],[YearsAtCompany]]&lt;=2),"High Risk","Normal")</f>
        <v>Normal</v>
      </c>
    </row>
    <row r="1095" spans="1:42" x14ac:dyDescent="0.25">
      <c r="A1095" s="6">
        <v>42</v>
      </c>
      <c r="B1095" s="4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s="11" t="str">
        <f>IF(HR_Data[[#This Row],[Age]]&lt;=25,"18-25",IF(HR_Data[[#This Row],[Age]]&lt;=35,"26-35",IF(HR_Data[[#This Row],[Age]]&lt;=45,"36-45",IF(HR_Data[[#This Row],[Age]]&lt;=55,"46-55","56+"))))</f>
        <v>36-45</v>
      </c>
      <c r="AK1095" s="11" t="str">
        <f>IF(HR_Data[[#This Row],[MonthlyIncome]]&lt;3000,"Low",IF(HR_Data[[#This Row],[MonthlyIncome]]&lt;6000,"Medium",IF(HR_Data[[#This Row],[MonthlyIncome]]&lt;10000,"High","Very High")))</f>
        <v>Very High</v>
      </c>
      <c r="AL109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095" t="str">
        <f>IF(HR_Data[[#This Row],[TotalWorkingYears]]&lt;=5,"Junior",IF(HR_Data[[#This Row],[TotalWorkingYears]]&lt;=15,"Mid-Level","Senior"))</f>
        <v>Senior</v>
      </c>
      <c r="AN1095" s="11" t="str">
        <f>IF(HR_Data[[#This Row],[PerformanceRating]]=3,"Standard","Excellent")</f>
        <v>Standard</v>
      </c>
      <c r="AO1095" s="11" t="str">
        <f>IF(HR_Data[[#This Row],[JobSatisfaction]]&lt;=2,"Low","High")</f>
        <v>High</v>
      </c>
      <c r="AP1095" s="11" t="str">
        <f>IF(AND(HR_Data[[#This Row],[OverTime]]="Yes",HR_Data[[#This Row],[JobSatisfaction]]&lt;=2,HR_Data[[#This Row],[YearsAtCompany]]&lt;=2),"High Risk","Normal")</f>
        <v>Normal</v>
      </c>
    </row>
    <row r="1096" spans="1:42" x14ac:dyDescent="0.25">
      <c r="A1096" s="6">
        <v>40</v>
      </c>
      <c r="B1096" s="4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s="11" t="str">
        <f>IF(HR_Data[[#This Row],[Age]]&lt;=25,"18-25",IF(HR_Data[[#This Row],[Age]]&lt;=35,"26-35",IF(HR_Data[[#This Row],[Age]]&lt;=45,"36-45",IF(HR_Data[[#This Row],[Age]]&lt;=55,"46-55","56+"))))</f>
        <v>36-45</v>
      </c>
      <c r="AK1096" s="11" t="str">
        <f>IF(HR_Data[[#This Row],[MonthlyIncome]]&lt;3000,"Low",IF(HR_Data[[#This Row],[MonthlyIncome]]&lt;6000,"Medium",IF(HR_Data[[#This Row],[MonthlyIncome]]&lt;10000,"High","Very High")))</f>
        <v>Medium</v>
      </c>
      <c r="AL109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096" t="str">
        <f>IF(HR_Data[[#This Row],[TotalWorkingYears]]&lt;=5,"Junior",IF(HR_Data[[#This Row],[TotalWorkingYears]]&lt;=15,"Mid-Level","Senior"))</f>
        <v>Mid-Level</v>
      </c>
      <c r="AN1096" s="11" t="str">
        <f>IF(HR_Data[[#This Row],[PerformanceRating]]=3,"Standard","Excellent")</f>
        <v>Standard</v>
      </c>
      <c r="AO1096" s="11" t="str">
        <f>IF(HR_Data[[#This Row],[JobSatisfaction]]&lt;=2,"Low","High")</f>
        <v>Low</v>
      </c>
      <c r="AP1096" s="11" t="str">
        <f>IF(AND(HR_Data[[#This Row],[OverTime]]="Yes",HR_Data[[#This Row],[JobSatisfaction]]&lt;=2,HR_Data[[#This Row],[YearsAtCompany]]&lt;=2),"High Risk","Normal")</f>
        <v>Normal</v>
      </c>
    </row>
    <row r="1097" spans="1:42" x14ac:dyDescent="0.25">
      <c r="A1097" s="6">
        <v>33</v>
      </c>
      <c r="B1097" s="4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s="11" t="str">
        <f>IF(HR_Data[[#This Row],[Age]]&lt;=25,"18-25",IF(HR_Data[[#This Row],[Age]]&lt;=35,"26-35",IF(HR_Data[[#This Row],[Age]]&lt;=45,"36-45",IF(HR_Data[[#This Row],[Age]]&lt;=55,"46-55","56+"))))</f>
        <v>26-35</v>
      </c>
      <c r="AK1097" s="11" t="str">
        <f>IF(HR_Data[[#This Row],[MonthlyIncome]]&lt;3000,"Low",IF(HR_Data[[#This Row],[MonthlyIncome]]&lt;6000,"Medium",IF(HR_Data[[#This Row],[MonthlyIncome]]&lt;10000,"High","Very High")))</f>
        <v>Medium</v>
      </c>
      <c r="AL1097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097" t="str">
        <f>IF(HR_Data[[#This Row],[TotalWorkingYears]]&lt;=5,"Junior",IF(HR_Data[[#This Row],[TotalWorkingYears]]&lt;=15,"Mid-Level","Senior"))</f>
        <v>Mid-Level</v>
      </c>
      <c r="AN1097" s="11" t="str">
        <f>IF(HR_Data[[#This Row],[PerformanceRating]]=3,"Standard","Excellent")</f>
        <v>Standard</v>
      </c>
      <c r="AO1097" s="11" t="str">
        <f>IF(HR_Data[[#This Row],[JobSatisfaction]]&lt;=2,"Low","High")</f>
        <v>High</v>
      </c>
      <c r="AP1097" s="11" t="str">
        <f>IF(AND(HR_Data[[#This Row],[OverTime]]="Yes",HR_Data[[#This Row],[JobSatisfaction]]&lt;=2,HR_Data[[#This Row],[YearsAtCompany]]&lt;=2),"High Risk","Normal")</f>
        <v>Normal</v>
      </c>
    </row>
    <row r="1098" spans="1:42" x14ac:dyDescent="0.25">
      <c r="A1098" s="6">
        <v>40</v>
      </c>
      <c r="B1098" s="4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s="11" t="str">
        <f>IF(HR_Data[[#This Row],[Age]]&lt;=25,"18-25",IF(HR_Data[[#This Row],[Age]]&lt;=35,"26-35",IF(HR_Data[[#This Row],[Age]]&lt;=45,"36-45",IF(HR_Data[[#This Row],[Age]]&lt;=55,"46-55","56+"))))</f>
        <v>36-45</v>
      </c>
      <c r="AK1098" s="11" t="str">
        <f>IF(HR_Data[[#This Row],[MonthlyIncome]]&lt;3000,"Low",IF(HR_Data[[#This Row],[MonthlyIncome]]&lt;6000,"Medium",IF(HR_Data[[#This Row],[MonthlyIncome]]&lt;10000,"High","Very High")))</f>
        <v>Very High</v>
      </c>
      <c r="AL109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098" t="str">
        <f>IF(HR_Data[[#This Row],[TotalWorkingYears]]&lt;=5,"Junior",IF(HR_Data[[#This Row],[TotalWorkingYears]]&lt;=15,"Mid-Level","Senior"))</f>
        <v>Senior</v>
      </c>
      <c r="AN1098" s="11" t="str">
        <f>IF(HR_Data[[#This Row],[PerformanceRating]]=3,"Standard","Excellent")</f>
        <v>Excellent</v>
      </c>
      <c r="AO1098" s="11" t="str">
        <f>IF(HR_Data[[#This Row],[JobSatisfaction]]&lt;=2,"Low","High")</f>
        <v>High</v>
      </c>
      <c r="AP1098" s="11" t="str">
        <f>IF(AND(HR_Data[[#This Row],[OverTime]]="Yes",HR_Data[[#This Row],[JobSatisfaction]]&lt;=2,HR_Data[[#This Row],[YearsAtCompany]]&lt;=2),"High Risk","Normal")</f>
        <v>Normal</v>
      </c>
    </row>
    <row r="1099" spans="1:42" x14ac:dyDescent="0.25">
      <c r="A1099" s="6">
        <v>24</v>
      </c>
      <c r="B1099" s="4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s="11" t="str">
        <f>IF(HR_Data[[#This Row],[Age]]&lt;=25,"18-25",IF(HR_Data[[#This Row],[Age]]&lt;=35,"26-35",IF(HR_Data[[#This Row],[Age]]&lt;=45,"36-45",IF(HR_Data[[#This Row],[Age]]&lt;=55,"46-55","56+"))))</f>
        <v>18-25</v>
      </c>
      <c r="AK1099" s="11" t="str">
        <f>IF(HR_Data[[#This Row],[MonthlyIncome]]&lt;3000,"Low",IF(HR_Data[[#This Row],[MonthlyIncome]]&lt;6000,"Medium",IF(HR_Data[[#This Row],[MonthlyIncome]]&lt;10000,"High","Very High")))</f>
        <v>Low</v>
      </c>
      <c r="AL109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099" t="str">
        <f>IF(HR_Data[[#This Row],[TotalWorkingYears]]&lt;=5,"Junior",IF(HR_Data[[#This Row],[TotalWorkingYears]]&lt;=15,"Mid-Level","Senior"))</f>
        <v>Junior</v>
      </c>
      <c r="AN1099" s="11" t="str">
        <f>IF(HR_Data[[#This Row],[PerformanceRating]]=3,"Standard","Excellent")</f>
        <v>Standard</v>
      </c>
      <c r="AO1099" s="11" t="str">
        <f>IF(HR_Data[[#This Row],[JobSatisfaction]]&lt;=2,"Low","High")</f>
        <v>Low</v>
      </c>
      <c r="AP1099" s="11" t="str">
        <f>IF(AND(HR_Data[[#This Row],[OverTime]]="Yes",HR_Data[[#This Row],[JobSatisfaction]]&lt;=2,HR_Data[[#This Row],[YearsAtCompany]]&lt;=2),"High Risk","Normal")</f>
        <v>Normal</v>
      </c>
    </row>
    <row r="1100" spans="1:42" x14ac:dyDescent="0.25">
      <c r="A1100" s="6">
        <v>40</v>
      </c>
      <c r="B1100" s="4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s="11" t="str">
        <f>IF(HR_Data[[#This Row],[Age]]&lt;=25,"18-25",IF(HR_Data[[#This Row],[Age]]&lt;=35,"26-35",IF(HR_Data[[#This Row],[Age]]&lt;=45,"36-45",IF(HR_Data[[#This Row],[Age]]&lt;=55,"46-55","56+"))))</f>
        <v>36-45</v>
      </c>
      <c r="AK1100" s="11" t="str">
        <f>IF(HR_Data[[#This Row],[MonthlyIncome]]&lt;3000,"Low",IF(HR_Data[[#This Row],[MonthlyIncome]]&lt;6000,"Medium",IF(HR_Data[[#This Row],[MonthlyIncome]]&lt;10000,"High","Very High")))</f>
        <v>Medium</v>
      </c>
      <c r="AL110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00" t="str">
        <f>IF(HR_Data[[#This Row],[TotalWorkingYears]]&lt;=5,"Junior",IF(HR_Data[[#This Row],[TotalWorkingYears]]&lt;=15,"Mid-Level","Senior"))</f>
        <v>Mid-Level</v>
      </c>
      <c r="AN1100" s="11" t="str">
        <f>IF(HR_Data[[#This Row],[PerformanceRating]]=3,"Standard","Excellent")</f>
        <v>Standard</v>
      </c>
      <c r="AO1100" s="11" t="str">
        <f>IF(HR_Data[[#This Row],[JobSatisfaction]]&lt;=2,"Low","High")</f>
        <v>High</v>
      </c>
      <c r="AP1100" s="11" t="str">
        <f>IF(AND(HR_Data[[#This Row],[OverTime]]="Yes",HR_Data[[#This Row],[JobSatisfaction]]&lt;=2,HR_Data[[#This Row],[YearsAtCompany]]&lt;=2),"High Risk","Normal")</f>
        <v>Normal</v>
      </c>
    </row>
    <row r="1101" spans="1:42" x14ac:dyDescent="0.25">
      <c r="A1101" s="6">
        <v>45</v>
      </c>
      <c r="B1101" s="4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s="11" t="str">
        <f>IF(HR_Data[[#This Row],[Age]]&lt;=25,"18-25",IF(HR_Data[[#This Row],[Age]]&lt;=35,"26-35",IF(HR_Data[[#This Row],[Age]]&lt;=45,"36-45",IF(HR_Data[[#This Row],[Age]]&lt;=55,"46-55","56+"))))</f>
        <v>36-45</v>
      </c>
      <c r="AK1101" s="11" t="str">
        <f>IF(HR_Data[[#This Row],[MonthlyIncome]]&lt;3000,"Low",IF(HR_Data[[#This Row],[MonthlyIncome]]&lt;6000,"Medium",IF(HR_Data[[#This Row],[MonthlyIncome]]&lt;10000,"High","Very High")))</f>
        <v>High</v>
      </c>
      <c r="AL110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01" t="str">
        <f>IF(HR_Data[[#This Row],[TotalWorkingYears]]&lt;=5,"Junior",IF(HR_Data[[#This Row],[TotalWorkingYears]]&lt;=15,"Mid-Level","Senior"))</f>
        <v>Mid-Level</v>
      </c>
      <c r="AN1101" s="11" t="str">
        <f>IF(HR_Data[[#This Row],[PerformanceRating]]=3,"Standard","Excellent")</f>
        <v>Standard</v>
      </c>
      <c r="AO1101" s="11" t="str">
        <f>IF(HR_Data[[#This Row],[JobSatisfaction]]&lt;=2,"Low","High")</f>
        <v>Low</v>
      </c>
      <c r="AP1101" s="11" t="str">
        <f>IF(AND(HR_Data[[#This Row],[OverTime]]="Yes",HR_Data[[#This Row],[JobSatisfaction]]&lt;=2,HR_Data[[#This Row],[YearsAtCompany]]&lt;=2),"High Risk","Normal")</f>
        <v>Normal</v>
      </c>
    </row>
    <row r="1102" spans="1:42" x14ac:dyDescent="0.25">
      <c r="A1102" s="6">
        <v>35</v>
      </c>
      <c r="B1102" s="4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s="11" t="str">
        <f>IF(HR_Data[[#This Row],[Age]]&lt;=25,"18-25",IF(HR_Data[[#This Row],[Age]]&lt;=35,"26-35",IF(HR_Data[[#This Row],[Age]]&lt;=45,"36-45",IF(HR_Data[[#This Row],[Age]]&lt;=55,"46-55","56+"))))</f>
        <v>26-35</v>
      </c>
      <c r="AK1102" s="11" t="str">
        <f>IF(HR_Data[[#This Row],[MonthlyIncome]]&lt;3000,"Low",IF(HR_Data[[#This Row],[MonthlyIncome]]&lt;6000,"Medium",IF(HR_Data[[#This Row],[MonthlyIncome]]&lt;10000,"High","Very High")))</f>
        <v>Low</v>
      </c>
      <c r="AL110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02" t="str">
        <f>IF(HR_Data[[#This Row],[TotalWorkingYears]]&lt;=5,"Junior",IF(HR_Data[[#This Row],[TotalWorkingYears]]&lt;=15,"Mid-Level","Senior"))</f>
        <v>Mid-Level</v>
      </c>
      <c r="AN1102" s="11" t="str">
        <f>IF(HR_Data[[#This Row],[PerformanceRating]]=3,"Standard","Excellent")</f>
        <v>Excellent</v>
      </c>
      <c r="AO1102" s="11" t="str">
        <f>IF(HR_Data[[#This Row],[JobSatisfaction]]&lt;=2,"Low","High")</f>
        <v>High</v>
      </c>
      <c r="AP1102" s="11" t="str">
        <f>IF(AND(HR_Data[[#This Row],[OverTime]]="Yes",HR_Data[[#This Row],[JobSatisfaction]]&lt;=2,HR_Data[[#This Row],[YearsAtCompany]]&lt;=2),"High Risk","Normal")</f>
        <v>Normal</v>
      </c>
    </row>
    <row r="1103" spans="1:42" x14ac:dyDescent="0.25">
      <c r="A1103" s="6">
        <v>32</v>
      </c>
      <c r="B1103" s="4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s="11" t="str">
        <f>IF(HR_Data[[#This Row],[Age]]&lt;=25,"18-25",IF(HR_Data[[#This Row],[Age]]&lt;=35,"26-35",IF(HR_Data[[#This Row],[Age]]&lt;=45,"36-45",IF(HR_Data[[#This Row],[Age]]&lt;=55,"46-55","56+"))))</f>
        <v>26-35</v>
      </c>
      <c r="AK1103" s="11" t="str">
        <f>IF(HR_Data[[#This Row],[MonthlyIncome]]&lt;3000,"Low",IF(HR_Data[[#This Row],[MonthlyIncome]]&lt;6000,"Medium",IF(HR_Data[[#This Row],[MonthlyIncome]]&lt;10000,"High","Very High")))</f>
        <v>Medium</v>
      </c>
      <c r="AL110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03" t="str">
        <f>IF(HR_Data[[#This Row],[TotalWorkingYears]]&lt;=5,"Junior",IF(HR_Data[[#This Row],[TotalWorkingYears]]&lt;=15,"Mid-Level","Senior"))</f>
        <v>Mid-Level</v>
      </c>
      <c r="AN1103" s="11" t="str">
        <f>IF(HR_Data[[#This Row],[PerformanceRating]]=3,"Standard","Excellent")</f>
        <v>Standard</v>
      </c>
      <c r="AO1103" s="11" t="str">
        <f>IF(HR_Data[[#This Row],[JobSatisfaction]]&lt;=2,"Low","High")</f>
        <v>Low</v>
      </c>
      <c r="AP1103" s="11" t="str">
        <f>IF(AND(HR_Data[[#This Row],[OverTime]]="Yes",HR_Data[[#This Row],[JobSatisfaction]]&lt;=2,HR_Data[[#This Row],[YearsAtCompany]]&lt;=2),"High Risk","Normal")</f>
        <v>Normal</v>
      </c>
    </row>
    <row r="1104" spans="1:42" x14ac:dyDescent="0.25">
      <c r="A1104" s="6">
        <v>36</v>
      </c>
      <c r="B1104" s="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s="11" t="str">
        <f>IF(HR_Data[[#This Row],[Age]]&lt;=25,"18-25",IF(HR_Data[[#This Row],[Age]]&lt;=35,"26-35",IF(HR_Data[[#This Row],[Age]]&lt;=45,"36-45",IF(HR_Data[[#This Row],[Age]]&lt;=55,"46-55","56+"))))</f>
        <v>36-45</v>
      </c>
      <c r="AK1104" s="11" t="str">
        <f>IF(HR_Data[[#This Row],[MonthlyIncome]]&lt;3000,"Low",IF(HR_Data[[#This Row],[MonthlyIncome]]&lt;6000,"Medium",IF(HR_Data[[#This Row],[MonthlyIncome]]&lt;10000,"High","Very High")))</f>
        <v>Low</v>
      </c>
      <c r="AL110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04" t="str">
        <f>IF(HR_Data[[#This Row],[TotalWorkingYears]]&lt;=5,"Junior",IF(HR_Data[[#This Row],[TotalWorkingYears]]&lt;=15,"Mid-Level","Senior"))</f>
        <v>Mid-Level</v>
      </c>
      <c r="AN1104" s="11" t="str">
        <f>IF(HR_Data[[#This Row],[PerformanceRating]]=3,"Standard","Excellent")</f>
        <v>Excellent</v>
      </c>
      <c r="AO1104" s="11" t="str">
        <f>IF(HR_Data[[#This Row],[JobSatisfaction]]&lt;=2,"Low","High")</f>
        <v>High</v>
      </c>
      <c r="AP1104" s="11" t="str">
        <f>IF(AND(HR_Data[[#This Row],[OverTime]]="Yes",HR_Data[[#This Row],[JobSatisfaction]]&lt;=2,HR_Data[[#This Row],[YearsAtCompany]]&lt;=2),"High Risk","Normal")</f>
        <v>Normal</v>
      </c>
    </row>
    <row r="1105" spans="1:42" x14ac:dyDescent="0.25">
      <c r="A1105" s="6">
        <v>48</v>
      </c>
      <c r="B1105" s="4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s="11" t="str">
        <f>IF(HR_Data[[#This Row],[Age]]&lt;=25,"18-25",IF(HR_Data[[#This Row],[Age]]&lt;=35,"26-35",IF(HR_Data[[#This Row],[Age]]&lt;=45,"36-45",IF(HR_Data[[#This Row],[Age]]&lt;=55,"46-55","56+"))))</f>
        <v>46-55</v>
      </c>
      <c r="AK1105" s="11" t="str">
        <f>IF(HR_Data[[#This Row],[MonthlyIncome]]&lt;3000,"Low",IF(HR_Data[[#This Row],[MonthlyIncome]]&lt;6000,"Medium",IF(HR_Data[[#This Row],[MonthlyIncome]]&lt;10000,"High","Very High")))</f>
        <v>High</v>
      </c>
      <c r="AL110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05" t="str">
        <f>IF(HR_Data[[#This Row],[TotalWorkingYears]]&lt;=5,"Junior",IF(HR_Data[[#This Row],[TotalWorkingYears]]&lt;=15,"Mid-Level","Senior"))</f>
        <v>Senior</v>
      </c>
      <c r="AN1105" s="11" t="str">
        <f>IF(HR_Data[[#This Row],[PerformanceRating]]=3,"Standard","Excellent")</f>
        <v>Standard</v>
      </c>
      <c r="AO1105" s="11" t="str">
        <f>IF(HR_Data[[#This Row],[JobSatisfaction]]&lt;=2,"Low","High")</f>
        <v>High</v>
      </c>
      <c r="AP1105" s="11" t="str">
        <f>IF(AND(HR_Data[[#This Row],[OverTime]]="Yes",HR_Data[[#This Row],[JobSatisfaction]]&lt;=2,HR_Data[[#This Row],[YearsAtCompany]]&lt;=2),"High Risk","Normal")</f>
        <v>Normal</v>
      </c>
    </row>
    <row r="1106" spans="1:42" x14ac:dyDescent="0.25">
      <c r="A1106" s="6">
        <v>29</v>
      </c>
      <c r="B1106" s="4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s="11" t="str">
        <f>IF(HR_Data[[#This Row],[Age]]&lt;=25,"18-25",IF(HR_Data[[#This Row],[Age]]&lt;=35,"26-35",IF(HR_Data[[#This Row],[Age]]&lt;=45,"36-45",IF(HR_Data[[#This Row],[Age]]&lt;=55,"46-55","56+"))))</f>
        <v>26-35</v>
      </c>
      <c r="AK1106" s="11" t="str">
        <f>IF(HR_Data[[#This Row],[MonthlyIncome]]&lt;3000,"Low",IF(HR_Data[[#This Row],[MonthlyIncome]]&lt;6000,"Medium",IF(HR_Data[[#This Row],[MonthlyIncome]]&lt;10000,"High","Very High")))</f>
        <v>Low</v>
      </c>
      <c r="AL110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06" t="str">
        <f>IF(HR_Data[[#This Row],[TotalWorkingYears]]&lt;=5,"Junior",IF(HR_Data[[#This Row],[TotalWorkingYears]]&lt;=15,"Mid-Level","Senior"))</f>
        <v>Junior</v>
      </c>
      <c r="AN1106" s="11" t="str">
        <f>IF(HR_Data[[#This Row],[PerformanceRating]]=3,"Standard","Excellent")</f>
        <v>Standard</v>
      </c>
      <c r="AO1106" s="11" t="str">
        <f>IF(HR_Data[[#This Row],[JobSatisfaction]]&lt;=2,"Low","High")</f>
        <v>High</v>
      </c>
      <c r="AP1106" s="11" t="str">
        <f>IF(AND(HR_Data[[#This Row],[OverTime]]="Yes",HR_Data[[#This Row],[JobSatisfaction]]&lt;=2,HR_Data[[#This Row],[YearsAtCompany]]&lt;=2),"High Risk","Normal")</f>
        <v>Normal</v>
      </c>
    </row>
    <row r="1107" spans="1:42" x14ac:dyDescent="0.25">
      <c r="A1107" s="6">
        <v>33</v>
      </c>
      <c r="B1107" s="4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s="11" t="str">
        <f>IF(HR_Data[[#This Row],[Age]]&lt;=25,"18-25",IF(HR_Data[[#This Row],[Age]]&lt;=35,"26-35",IF(HR_Data[[#This Row],[Age]]&lt;=45,"36-45",IF(HR_Data[[#This Row],[Age]]&lt;=55,"46-55","56+"))))</f>
        <v>26-35</v>
      </c>
      <c r="AK1107" s="11" t="str">
        <f>IF(HR_Data[[#This Row],[MonthlyIncome]]&lt;3000,"Low",IF(HR_Data[[#This Row],[MonthlyIncome]]&lt;6000,"Medium",IF(HR_Data[[#This Row],[MonthlyIncome]]&lt;10000,"High","Very High")))</f>
        <v>High</v>
      </c>
      <c r="AL110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07" t="str">
        <f>IF(HR_Data[[#This Row],[TotalWorkingYears]]&lt;=5,"Junior",IF(HR_Data[[#This Row],[TotalWorkingYears]]&lt;=15,"Mid-Level","Senior"))</f>
        <v>Mid-Level</v>
      </c>
      <c r="AN1107" s="11" t="str">
        <f>IF(HR_Data[[#This Row],[PerformanceRating]]=3,"Standard","Excellent")</f>
        <v>Standard</v>
      </c>
      <c r="AO1107" s="11" t="str">
        <f>IF(HR_Data[[#This Row],[JobSatisfaction]]&lt;=2,"Low","High")</f>
        <v>Low</v>
      </c>
      <c r="AP1107" s="11" t="str">
        <f>IF(AND(HR_Data[[#This Row],[OverTime]]="Yes",HR_Data[[#This Row],[JobSatisfaction]]&lt;=2,HR_Data[[#This Row],[YearsAtCompany]]&lt;=2),"High Risk","Normal")</f>
        <v>Normal</v>
      </c>
    </row>
    <row r="1108" spans="1:42" x14ac:dyDescent="0.25">
      <c r="A1108" s="6">
        <v>30</v>
      </c>
      <c r="B1108" s="4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s="11" t="str">
        <f>IF(HR_Data[[#This Row],[Age]]&lt;=25,"18-25",IF(HR_Data[[#This Row],[Age]]&lt;=35,"26-35",IF(HR_Data[[#This Row],[Age]]&lt;=45,"36-45",IF(HR_Data[[#This Row],[Age]]&lt;=55,"46-55","56+"))))</f>
        <v>26-35</v>
      </c>
      <c r="AK1108" s="11" t="str">
        <f>IF(HR_Data[[#This Row],[MonthlyIncome]]&lt;3000,"Low",IF(HR_Data[[#This Row],[MonthlyIncome]]&lt;6000,"Medium",IF(HR_Data[[#This Row],[MonthlyIncome]]&lt;10000,"High","Very High")))</f>
        <v>High</v>
      </c>
      <c r="AL110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08" t="str">
        <f>IF(HR_Data[[#This Row],[TotalWorkingYears]]&lt;=5,"Junior",IF(HR_Data[[#This Row],[TotalWorkingYears]]&lt;=15,"Mid-Level","Senior"))</f>
        <v>Mid-Level</v>
      </c>
      <c r="AN1108" s="11" t="str">
        <f>IF(HR_Data[[#This Row],[PerformanceRating]]=3,"Standard","Excellent")</f>
        <v>Standard</v>
      </c>
      <c r="AO1108" s="11" t="str">
        <f>IF(HR_Data[[#This Row],[JobSatisfaction]]&lt;=2,"Low","High")</f>
        <v>Low</v>
      </c>
      <c r="AP1108" s="11" t="str">
        <f>IF(AND(HR_Data[[#This Row],[OverTime]]="Yes",HR_Data[[#This Row],[JobSatisfaction]]&lt;=2,HR_Data[[#This Row],[YearsAtCompany]]&lt;=2),"High Risk","Normal")</f>
        <v>Normal</v>
      </c>
    </row>
    <row r="1109" spans="1:42" x14ac:dyDescent="0.25">
      <c r="A1109" s="6">
        <v>38</v>
      </c>
      <c r="B1109" s="4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s="11" t="str">
        <f>IF(HR_Data[[#This Row],[Age]]&lt;=25,"18-25",IF(HR_Data[[#This Row],[Age]]&lt;=35,"26-35",IF(HR_Data[[#This Row],[Age]]&lt;=45,"36-45",IF(HR_Data[[#This Row],[Age]]&lt;=55,"46-55","56+"))))</f>
        <v>36-45</v>
      </c>
      <c r="AK1109" s="11" t="str">
        <f>IF(HR_Data[[#This Row],[MonthlyIncome]]&lt;3000,"Low",IF(HR_Data[[#This Row],[MonthlyIncome]]&lt;6000,"Medium",IF(HR_Data[[#This Row],[MonthlyIncome]]&lt;10000,"High","Very High")))</f>
        <v>High</v>
      </c>
      <c r="AL110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09" t="str">
        <f>IF(HR_Data[[#This Row],[TotalWorkingYears]]&lt;=5,"Junior",IF(HR_Data[[#This Row],[TotalWorkingYears]]&lt;=15,"Mid-Level","Senior"))</f>
        <v>Mid-Level</v>
      </c>
      <c r="AN1109" s="11" t="str">
        <f>IF(HR_Data[[#This Row],[PerformanceRating]]=3,"Standard","Excellent")</f>
        <v>Standard</v>
      </c>
      <c r="AO1109" s="11" t="str">
        <f>IF(HR_Data[[#This Row],[JobSatisfaction]]&lt;=2,"Low","High")</f>
        <v>High</v>
      </c>
      <c r="AP1109" s="11" t="str">
        <f>IF(AND(HR_Data[[#This Row],[OverTime]]="Yes",HR_Data[[#This Row],[JobSatisfaction]]&lt;=2,HR_Data[[#This Row],[YearsAtCompany]]&lt;=2),"High Risk","Normal")</f>
        <v>Normal</v>
      </c>
    </row>
    <row r="1110" spans="1:42" x14ac:dyDescent="0.25">
      <c r="A1110" s="6">
        <v>35</v>
      </c>
      <c r="B1110" s="4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s="11" t="str">
        <f>IF(HR_Data[[#This Row],[Age]]&lt;=25,"18-25",IF(HR_Data[[#This Row],[Age]]&lt;=35,"26-35",IF(HR_Data[[#This Row],[Age]]&lt;=45,"36-45",IF(HR_Data[[#This Row],[Age]]&lt;=55,"46-55","56+"))))</f>
        <v>26-35</v>
      </c>
      <c r="AK1110" s="11" t="str">
        <f>IF(HR_Data[[#This Row],[MonthlyIncome]]&lt;3000,"Low",IF(HR_Data[[#This Row],[MonthlyIncome]]&lt;6000,"Medium",IF(HR_Data[[#This Row],[MonthlyIncome]]&lt;10000,"High","Very High")))</f>
        <v>Low</v>
      </c>
      <c r="AL111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10" t="str">
        <f>IF(HR_Data[[#This Row],[TotalWorkingYears]]&lt;=5,"Junior",IF(HR_Data[[#This Row],[TotalWorkingYears]]&lt;=15,"Mid-Level","Senior"))</f>
        <v>Junior</v>
      </c>
      <c r="AN1110" s="11" t="str">
        <f>IF(HR_Data[[#This Row],[PerformanceRating]]=3,"Standard","Excellent")</f>
        <v>Standard</v>
      </c>
      <c r="AO1110" s="11" t="str">
        <f>IF(HR_Data[[#This Row],[JobSatisfaction]]&lt;=2,"Low","High")</f>
        <v>Low</v>
      </c>
      <c r="AP1110" s="11" t="str">
        <f>IF(AND(HR_Data[[#This Row],[OverTime]]="Yes",HR_Data[[#This Row],[JobSatisfaction]]&lt;=2,HR_Data[[#This Row],[YearsAtCompany]]&lt;=2),"High Risk","Normal")</f>
        <v>Normal</v>
      </c>
    </row>
    <row r="1111" spans="1:42" x14ac:dyDescent="0.25">
      <c r="A1111" s="6">
        <v>30</v>
      </c>
      <c r="B1111" s="4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s="11" t="str">
        <f>IF(HR_Data[[#This Row],[Age]]&lt;=25,"18-25",IF(HR_Data[[#This Row],[Age]]&lt;=35,"26-35",IF(HR_Data[[#This Row],[Age]]&lt;=45,"36-45",IF(HR_Data[[#This Row],[Age]]&lt;=55,"46-55","56+"))))</f>
        <v>26-35</v>
      </c>
      <c r="AK1111" s="11" t="str">
        <f>IF(HR_Data[[#This Row],[MonthlyIncome]]&lt;3000,"Low",IF(HR_Data[[#This Row],[MonthlyIncome]]&lt;6000,"Medium",IF(HR_Data[[#This Row],[MonthlyIncome]]&lt;10000,"High","Very High")))</f>
        <v>High</v>
      </c>
      <c r="AL111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11" t="str">
        <f>IF(HR_Data[[#This Row],[TotalWorkingYears]]&lt;=5,"Junior",IF(HR_Data[[#This Row],[TotalWorkingYears]]&lt;=15,"Mid-Level","Senior"))</f>
        <v>Mid-Level</v>
      </c>
      <c r="AN1111" s="11" t="str">
        <f>IF(HR_Data[[#This Row],[PerformanceRating]]=3,"Standard","Excellent")</f>
        <v>Standard</v>
      </c>
      <c r="AO1111" s="11" t="str">
        <f>IF(HR_Data[[#This Row],[JobSatisfaction]]&lt;=2,"Low","High")</f>
        <v>Low</v>
      </c>
      <c r="AP1111" s="11" t="str">
        <f>IF(AND(HR_Data[[#This Row],[OverTime]]="Yes",HR_Data[[#This Row],[JobSatisfaction]]&lt;=2,HR_Data[[#This Row],[YearsAtCompany]]&lt;=2),"High Risk","Normal")</f>
        <v>Normal</v>
      </c>
    </row>
    <row r="1112" spans="1:42" x14ac:dyDescent="0.25">
      <c r="A1112" s="6">
        <v>35</v>
      </c>
      <c r="B1112" s="4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s="11" t="str">
        <f>IF(HR_Data[[#This Row],[Age]]&lt;=25,"18-25",IF(HR_Data[[#This Row],[Age]]&lt;=35,"26-35",IF(HR_Data[[#This Row],[Age]]&lt;=45,"36-45",IF(HR_Data[[#This Row],[Age]]&lt;=55,"46-55","56+"))))</f>
        <v>26-35</v>
      </c>
      <c r="AK1112" s="11" t="str">
        <f>IF(HR_Data[[#This Row],[MonthlyIncome]]&lt;3000,"Low",IF(HR_Data[[#This Row],[MonthlyIncome]]&lt;6000,"Medium",IF(HR_Data[[#This Row],[MonthlyIncome]]&lt;10000,"High","Very High")))</f>
        <v>Low</v>
      </c>
      <c r="AL111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12" t="str">
        <f>IF(HR_Data[[#This Row],[TotalWorkingYears]]&lt;=5,"Junior",IF(HR_Data[[#This Row],[TotalWorkingYears]]&lt;=15,"Mid-Level","Senior"))</f>
        <v>Junior</v>
      </c>
      <c r="AN1112" s="11" t="str">
        <f>IF(HR_Data[[#This Row],[PerformanceRating]]=3,"Standard","Excellent")</f>
        <v>Standard</v>
      </c>
      <c r="AO1112" s="11" t="str">
        <f>IF(HR_Data[[#This Row],[JobSatisfaction]]&lt;=2,"Low","High")</f>
        <v>Low</v>
      </c>
      <c r="AP1112" s="11" t="str">
        <f>IF(AND(HR_Data[[#This Row],[OverTime]]="Yes",HR_Data[[#This Row],[JobSatisfaction]]&lt;=2,HR_Data[[#This Row],[YearsAtCompany]]&lt;=2),"High Risk","Normal")</f>
        <v>High Risk</v>
      </c>
    </row>
    <row r="1113" spans="1:42" x14ac:dyDescent="0.25">
      <c r="A1113" s="6">
        <v>53</v>
      </c>
      <c r="B1113" s="4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s="11" t="str">
        <f>IF(HR_Data[[#This Row],[Age]]&lt;=25,"18-25",IF(HR_Data[[#This Row],[Age]]&lt;=35,"26-35",IF(HR_Data[[#This Row],[Age]]&lt;=45,"36-45",IF(HR_Data[[#This Row],[Age]]&lt;=55,"46-55","56+"))))</f>
        <v>46-55</v>
      </c>
      <c r="AK1113" s="11" t="str">
        <f>IF(HR_Data[[#This Row],[MonthlyIncome]]&lt;3000,"Low",IF(HR_Data[[#This Row],[MonthlyIncome]]&lt;6000,"Medium",IF(HR_Data[[#This Row],[MonthlyIncome]]&lt;10000,"High","Very High")))</f>
        <v>Very High</v>
      </c>
      <c r="AL111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113" t="str">
        <f>IF(HR_Data[[#This Row],[TotalWorkingYears]]&lt;=5,"Junior",IF(HR_Data[[#This Row],[TotalWorkingYears]]&lt;=15,"Mid-Level","Senior"))</f>
        <v>Senior</v>
      </c>
      <c r="AN1113" s="11" t="str">
        <f>IF(HR_Data[[#This Row],[PerformanceRating]]=3,"Standard","Excellent")</f>
        <v>Standard</v>
      </c>
      <c r="AO1113" s="11" t="str">
        <f>IF(HR_Data[[#This Row],[JobSatisfaction]]&lt;=2,"Low","High")</f>
        <v>High</v>
      </c>
      <c r="AP1113" s="11" t="str">
        <f>IF(AND(HR_Data[[#This Row],[OverTime]]="Yes",HR_Data[[#This Row],[JobSatisfaction]]&lt;=2,HR_Data[[#This Row],[YearsAtCompany]]&lt;=2),"High Risk","Normal")</f>
        <v>Normal</v>
      </c>
    </row>
    <row r="1114" spans="1:42" x14ac:dyDescent="0.25">
      <c r="A1114" s="6">
        <v>38</v>
      </c>
      <c r="B1114" s="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s="11" t="str">
        <f>IF(HR_Data[[#This Row],[Age]]&lt;=25,"18-25",IF(HR_Data[[#This Row],[Age]]&lt;=35,"26-35",IF(HR_Data[[#This Row],[Age]]&lt;=45,"36-45",IF(HR_Data[[#This Row],[Age]]&lt;=55,"46-55","56+"))))</f>
        <v>36-45</v>
      </c>
      <c r="AK1114" s="11" t="str">
        <f>IF(HR_Data[[#This Row],[MonthlyIncome]]&lt;3000,"Low",IF(HR_Data[[#This Row],[MonthlyIncome]]&lt;6000,"Medium",IF(HR_Data[[#This Row],[MonthlyIncome]]&lt;10000,"High","Very High")))</f>
        <v>Medium</v>
      </c>
      <c r="AL111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14" t="str">
        <f>IF(HR_Data[[#This Row],[TotalWorkingYears]]&lt;=5,"Junior",IF(HR_Data[[#This Row],[TotalWorkingYears]]&lt;=15,"Mid-Level","Senior"))</f>
        <v>Mid-Level</v>
      </c>
      <c r="AN1114" s="11" t="str">
        <f>IF(HR_Data[[#This Row],[PerformanceRating]]=3,"Standard","Excellent")</f>
        <v>Standard</v>
      </c>
      <c r="AO1114" s="11" t="str">
        <f>IF(HR_Data[[#This Row],[JobSatisfaction]]&lt;=2,"Low","High")</f>
        <v>Low</v>
      </c>
      <c r="AP1114" s="11" t="str">
        <f>IF(AND(HR_Data[[#This Row],[OverTime]]="Yes",HR_Data[[#This Row],[JobSatisfaction]]&lt;=2,HR_Data[[#This Row],[YearsAtCompany]]&lt;=2),"High Risk","Normal")</f>
        <v>Normal</v>
      </c>
    </row>
    <row r="1115" spans="1:42" x14ac:dyDescent="0.25">
      <c r="A1115" s="6">
        <v>32</v>
      </c>
      <c r="B1115" s="4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s="11" t="str">
        <f>IF(HR_Data[[#This Row],[Age]]&lt;=25,"18-25",IF(HR_Data[[#This Row],[Age]]&lt;=35,"26-35",IF(HR_Data[[#This Row],[Age]]&lt;=45,"36-45",IF(HR_Data[[#This Row],[Age]]&lt;=55,"46-55","56+"))))</f>
        <v>26-35</v>
      </c>
      <c r="AK1115" s="11" t="str">
        <f>IF(HR_Data[[#This Row],[MonthlyIncome]]&lt;3000,"Low",IF(HR_Data[[#This Row],[MonthlyIncome]]&lt;6000,"Medium",IF(HR_Data[[#This Row],[MonthlyIncome]]&lt;10000,"High","Very High")))</f>
        <v>Medium</v>
      </c>
      <c r="AL111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15" t="str">
        <f>IF(HR_Data[[#This Row],[TotalWorkingYears]]&lt;=5,"Junior",IF(HR_Data[[#This Row],[TotalWorkingYears]]&lt;=15,"Mid-Level","Senior"))</f>
        <v>Mid-Level</v>
      </c>
      <c r="AN1115" s="11" t="str">
        <f>IF(HR_Data[[#This Row],[PerformanceRating]]=3,"Standard","Excellent")</f>
        <v>Standard</v>
      </c>
      <c r="AO1115" s="11" t="str">
        <f>IF(HR_Data[[#This Row],[JobSatisfaction]]&lt;=2,"Low","High")</f>
        <v>Low</v>
      </c>
      <c r="AP1115" s="11" t="str">
        <f>IF(AND(HR_Data[[#This Row],[OverTime]]="Yes",HR_Data[[#This Row],[JobSatisfaction]]&lt;=2,HR_Data[[#This Row],[YearsAtCompany]]&lt;=2),"High Risk","Normal")</f>
        <v>Normal</v>
      </c>
    </row>
    <row r="1116" spans="1:42" x14ac:dyDescent="0.25">
      <c r="A1116" s="6">
        <v>48</v>
      </c>
      <c r="B1116" s="4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s="11" t="str">
        <f>IF(HR_Data[[#This Row],[Age]]&lt;=25,"18-25",IF(HR_Data[[#This Row],[Age]]&lt;=35,"26-35",IF(HR_Data[[#This Row],[Age]]&lt;=45,"36-45",IF(HR_Data[[#This Row],[Age]]&lt;=55,"46-55","56+"))))</f>
        <v>46-55</v>
      </c>
      <c r="AK1116" s="11" t="str">
        <f>IF(HR_Data[[#This Row],[MonthlyIncome]]&lt;3000,"Low",IF(HR_Data[[#This Row],[MonthlyIncome]]&lt;6000,"Medium",IF(HR_Data[[#This Row],[MonthlyIncome]]&lt;10000,"High","Very High")))</f>
        <v>Low</v>
      </c>
      <c r="AL111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16" t="str">
        <f>IF(HR_Data[[#This Row],[TotalWorkingYears]]&lt;=5,"Junior",IF(HR_Data[[#This Row],[TotalWorkingYears]]&lt;=15,"Mid-Level","Senior"))</f>
        <v>Mid-Level</v>
      </c>
      <c r="AN1116" s="11" t="str">
        <f>IF(HR_Data[[#This Row],[PerformanceRating]]=3,"Standard","Excellent")</f>
        <v>Standard</v>
      </c>
      <c r="AO1116" s="11" t="str">
        <f>IF(HR_Data[[#This Row],[JobSatisfaction]]&lt;=2,"Low","High")</f>
        <v>Low</v>
      </c>
      <c r="AP1116" s="11" t="str">
        <f>IF(AND(HR_Data[[#This Row],[OverTime]]="Yes",HR_Data[[#This Row],[JobSatisfaction]]&lt;=2,HR_Data[[#This Row],[YearsAtCompany]]&lt;=2),"High Risk","Normal")</f>
        <v>Normal</v>
      </c>
    </row>
    <row r="1117" spans="1:42" x14ac:dyDescent="0.25">
      <c r="A1117" s="6">
        <v>34</v>
      </c>
      <c r="B1117" s="4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s="11" t="str">
        <f>IF(HR_Data[[#This Row],[Age]]&lt;=25,"18-25",IF(HR_Data[[#This Row],[Age]]&lt;=35,"26-35",IF(HR_Data[[#This Row],[Age]]&lt;=45,"36-45",IF(HR_Data[[#This Row],[Age]]&lt;=55,"46-55","56+"))))</f>
        <v>26-35</v>
      </c>
      <c r="AK1117" s="11" t="str">
        <f>IF(HR_Data[[#This Row],[MonthlyIncome]]&lt;3000,"Low",IF(HR_Data[[#This Row],[MonthlyIncome]]&lt;6000,"Medium",IF(HR_Data[[#This Row],[MonthlyIncome]]&lt;10000,"High","Very High")))</f>
        <v>Low</v>
      </c>
      <c r="AL111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17" t="str">
        <f>IF(HR_Data[[#This Row],[TotalWorkingYears]]&lt;=5,"Junior",IF(HR_Data[[#This Row],[TotalWorkingYears]]&lt;=15,"Mid-Level","Senior"))</f>
        <v>Junior</v>
      </c>
      <c r="AN1117" s="11" t="str">
        <f>IF(HR_Data[[#This Row],[PerformanceRating]]=3,"Standard","Excellent")</f>
        <v>Standard</v>
      </c>
      <c r="AO1117" s="11" t="str">
        <f>IF(HR_Data[[#This Row],[JobSatisfaction]]&lt;=2,"Low","High")</f>
        <v>High</v>
      </c>
      <c r="AP1117" s="11" t="str">
        <f>IF(AND(HR_Data[[#This Row],[OverTime]]="Yes",HR_Data[[#This Row],[JobSatisfaction]]&lt;=2,HR_Data[[#This Row],[YearsAtCompany]]&lt;=2),"High Risk","Normal")</f>
        <v>Normal</v>
      </c>
    </row>
    <row r="1118" spans="1:42" x14ac:dyDescent="0.25">
      <c r="A1118" s="6">
        <v>55</v>
      </c>
      <c r="B1118" s="4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s="11" t="str">
        <f>IF(HR_Data[[#This Row],[Age]]&lt;=25,"18-25",IF(HR_Data[[#This Row],[Age]]&lt;=35,"26-35",IF(HR_Data[[#This Row],[Age]]&lt;=45,"36-45",IF(HR_Data[[#This Row],[Age]]&lt;=55,"46-55","56+"))))</f>
        <v>46-55</v>
      </c>
      <c r="AK1118" s="11" t="str">
        <f>IF(HR_Data[[#This Row],[MonthlyIncome]]&lt;3000,"Low",IF(HR_Data[[#This Row],[MonthlyIncome]]&lt;6000,"Medium",IF(HR_Data[[#This Row],[MonthlyIncome]]&lt;10000,"High","Very High")))</f>
        <v>Very High</v>
      </c>
      <c r="AL111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118" t="str">
        <f>IF(HR_Data[[#This Row],[TotalWorkingYears]]&lt;=5,"Junior",IF(HR_Data[[#This Row],[TotalWorkingYears]]&lt;=15,"Mid-Level","Senior"))</f>
        <v>Senior</v>
      </c>
      <c r="AN1118" s="11" t="str">
        <f>IF(HR_Data[[#This Row],[PerformanceRating]]=3,"Standard","Excellent")</f>
        <v>Excellent</v>
      </c>
      <c r="AO1118" s="11" t="str">
        <f>IF(HR_Data[[#This Row],[JobSatisfaction]]&lt;=2,"Low","High")</f>
        <v>High</v>
      </c>
      <c r="AP1118" s="11" t="str">
        <f>IF(AND(HR_Data[[#This Row],[OverTime]]="Yes",HR_Data[[#This Row],[JobSatisfaction]]&lt;=2,HR_Data[[#This Row],[YearsAtCompany]]&lt;=2),"High Risk","Normal")</f>
        <v>Normal</v>
      </c>
    </row>
    <row r="1119" spans="1:42" x14ac:dyDescent="0.25">
      <c r="A1119" s="6">
        <v>34</v>
      </c>
      <c r="B1119" s="4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s="11" t="str">
        <f>IF(HR_Data[[#This Row],[Age]]&lt;=25,"18-25",IF(HR_Data[[#This Row],[Age]]&lt;=35,"26-35",IF(HR_Data[[#This Row],[Age]]&lt;=45,"36-45",IF(HR_Data[[#This Row],[Age]]&lt;=55,"46-55","56+"))))</f>
        <v>26-35</v>
      </c>
      <c r="AK1119" s="11" t="str">
        <f>IF(HR_Data[[#This Row],[MonthlyIncome]]&lt;3000,"Low",IF(HR_Data[[#This Row],[MonthlyIncome]]&lt;6000,"Medium",IF(HR_Data[[#This Row],[MonthlyIncome]]&lt;10000,"High","Very High")))</f>
        <v>Medium</v>
      </c>
      <c r="AL111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19" t="str">
        <f>IF(HR_Data[[#This Row],[TotalWorkingYears]]&lt;=5,"Junior",IF(HR_Data[[#This Row],[TotalWorkingYears]]&lt;=15,"Mid-Level","Senior"))</f>
        <v>Mid-Level</v>
      </c>
      <c r="AN1119" s="11" t="str">
        <f>IF(HR_Data[[#This Row],[PerformanceRating]]=3,"Standard","Excellent")</f>
        <v>Standard</v>
      </c>
      <c r="AO1119" s="11" t="str">
        <f>IF(HR_Data[[#This Row],[JobSatisfaction]]&lt;=2,"Low","High")</f>
        <v>High</v>
      </c>
      <c r="AP1119" s="11" t="str">
        <f>IF(AND(HR_Data[[#This Row],[OverTime]]="Yes",HR_Data[[#This Row],[JobSatisfaction]]&lt;=2,HR_Data[[#This Row],[YearsAtCompany]]&lt;=2),"High Risk","Normal")</f>
        <v>Normal</v>
      </c>
    </row>
    <row r="1120" spans="1:42" x14ac:dyDescent="0.25">
      <c r="A1120" s="6">
        <v>26</v>
      </c>
      <c r="B1120" s="4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s="11" t="str">
        <f>IF(HR_Data[[#This Row],[Age]]&lt;=25,"18-25",IF(HR_Data[[#This Row],[Age]]&lt;=35,"26-35",IF(HR_Data[[#This Row],[Age]]&lt;=45,"36-45",IF(HR_Data[[#This Row],[Age]]&lt;=55,"46-55","56+"))))</f>
        <v>26-35</v>
      </c>
      <c r="AK1120" s="11" t="str">
        <f>IF(HR_Data[[#This Row],[MonthlyIncome]]&lt;3000,"Low",IF(HR_Data[[#This Row],[MonthlyIncome]]&lt;6000,"Medium",IF(HR_Data[[#This Row],[MonthlyIncome]]&lt;10000,"High","Very High")))</f>
        <v>Low</v>
      </c>
      <c r="AL112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20" t="str">
        <f>IF(HR_Data[[#This Row],[TotalWorkingYears]]&lt;=5,"Junior",IF(HR_Data[[#This Row],[TotalWorkingYears]]&lt;=15,"Mid-Level","Senior"))</f>
        <v>Junior</v>
      </c>
      <c r="AN1120" s="11" t="str">
        <f>IF(HR_Data[[#This Row],[PerformanceRating]]=3,"Standard","Excellent")</f>
        <v>Excellent</v>
      </c>
      <c r="AO1120" s="11" t="str">
        <f>IF(HR_Data[[#This Row],[JobSatisfaction]]&lt;=2,"Low","High")</f>
        <v>High</v>
      </c>
      <c r="AP1120" s="11" t="str">
        <f>IF(AND(HR_Data[[#This Row],[OverTime]]="Yes",HR_Data[[#This Row],[JobSatisfaction]]&lt;=2,HR_Data[[#This Row],[YearsAtCompany]]&lt;=2),"High Risk","Normal")</f>
        <v>Normal</v>
      </c>
    </row>
    <row r="1121" spans="1:42" x14ac:dyDescent="0.25">
      <c r="A1121" s="6">
        <v>38</v>
      </c>
      <c r="B1121" s="4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s="11" t="str">
        <f>IF(HR_Data[[#This Row],[Age]]&lt;=25,"18-25",IF(HR_Data[[#This Row],[Age]]&lt;=35,"26-35",IF(HR_Data[[#This Row],[Age]]&lt;=45,"36-45",IF(HR_Data[[#This Row],[Age]]&lt;=55,"46-55","56+"))))</f>
        <v>36-45</v>
      </c>
      <c r="AK1121" s="11" t="str">
        <f>IF(HR_Data[[#This Row],[MonthlyIncome]]&lt;3000,"Low",IF(HR_Data[[#This Row],[MonthlyIncome]]&lt;6000,"Medium",IF(HR_Data[[#This Row],[MonthlyIncome]]&lt;10000,"High","Very High")))</f>
        <v>High</v>
      </c>
      <c r="AL112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21" t="str">
        <f>IF(HR_Data[[#This Row],[TotalWorkingYears]]&lt;=5,"Junior",IF(HR_Data[[#This Row],[TotalWorkingYears]]&lt;=15,"Mid-Level","Senior"))</f>
        <v>Mid-Level</v>
      </c>
      <c r="AN1121" s="11" t="str">
        <f>IF(HR_Data[[#This Row],[PerformanceRating]]=3,"Standard","Excellent")</f>
        <v>Standard</v>
      </c>
      <c r="AO1121" s="11" t="str">
        <f>IF(HR_Data[[#This Row],[JobSatisfaction]]&lt;=2,"Low","High")</f>
        <v>Low</v>
      </c>
      <c r="AP1121" s="11" t="str">
        <f>IF(AND(HR_Data[[#This Row],[OverTime]]="Yes",HR_Data[[#This Row],[JobSatisfaction]]&lt;=2,HR_Data[[#This Row],[YearsAtCompany]]&lt;=2),"High Risk","Normal")</f>
        <v>Normal</v>
      </c>
    </row>
    <row r="1122" spans="1:42" x14ac:dyDescent="0.25">
      <c r="A1122" s="6">
        <v>38</v>
      </c>
      <c r="B1122" s="4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s="11" t="str">
        <f>IF(HR_Data[[#This Row],[Age]]&lt;=25,"18-25",IF(HR_Data[[#This Row],[Age]]&lt;=35,"26-35",IF(HR_Data[[#This Row],[Age]]&lt;=45,"36-45",IF(HR_Data[[#This Row],[Age]]&lt;=55,"46-55","56+"))))</f>
        <v>36-45</v>
      </c>
      <c r="AK1122" s="11" t="str">
        <f>IF(HR_Data[[#This Row],[MonthlyIncome]]&lt;3000,"Low",IF(HR_Data[[#This Row],[MonthlyIncome]]&lt;6000,"Medium",IF(HR_Data[[#This Row],[MonthlyIncome]]&lt;10000,"High","Very High")))</f>
        <v>Medium</v>
      </c>
      <c r="AL112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22" t="str">
        <f>IF(HR_Data[[#This Row],[TotalWorkingYears]]&lt;=5,"Junior",IF(HR_Data[[#This Row],[TotalWorkingYears]]&lt;=15,"Mid-Level","Senior"))</f>
        <v>Mid-Level</v>
      </c>
      <c r="AN1122" s="11" t="str">
        <f>IF(HR_Data[[#This Row],[PerformanceRating]]=3,"Standard","Excellent")</f>
        <v>Standard</v>
      </c>
      <c r="AO1122" s="11" t="str">
        <f>IF(HR_Data[[#This Row],[JobSatisfaction]]&lt;=2,"Low","High")</f>
        <v>Low</v>
      </c>
      <c r="AP1122" s="11" t="str">
        <f>IF(AND(HR_Data[[#This Row],[OverTime]]="Yes",HR_Data[[#This Row],[JobSatisfaction]]&lt;=2,HR_Data[[#This Row],[YearsAtCompany]]&lt;=2),"High Risk","Normal")</f>
        <v>Normal</v>
      </c>
    </row>
    <row r="1123" spans="1:42" x14ac:dyDescent="0.25">
      <c r="A1123" s="6">
        <v>36</v>
      </c>
      <c r="B1123" s="4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s="11" t="str">
        <f>IF(HR_Data[[#This Row],[Age]]&lt;=25,"18-25",IF(HR_Data[[#This Row],[Age]]&lt;=35,"26-35",IF(HR_Data[[#This Row],[Age]]&lt;=45,"36-45",IF(HR_Data[[#This Row],[Age]]&lt;=55,"46-55","56+"))))</f>
        <v>36-45</v>
      </c>
      <c r="AK1123" s="11" t="str">
        <f>IF(HR_Data[[#This Row],[MonthlyIncome]]&lt;3000,"Low",IF(HR_Data[[#This Row],[MonthlyIncome]]&lt;6000,"Medium",IF(HR_Data[[#This Row],[MonthlyIncome]]&lt;10000,"High","Very High")))</f>
        <v>High</v>
      </c>
      <c r="AL112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23" t="str">
        <f>IF(HR_Data[[#This Row],[TotalWorkingYears]]&lt;=5,"Junior",IF(HR_Data[[#This Row],[TotalWorkingYears]]&lt;=15,"Mid-Level","Senior"))</f>
        <v>Mid-Level</v>
      </c>
      <c r="AN1123" s="11" t="str">
        <f>IF(HR_Data[[#This Row],[PerformanceRating]]=3,"Standard","Excellent")</f>
        <v>Standard</v>
      </c>
      <c r="AO1123" s="11" t="str">
        <f>IF(HR_Data[[#This Row],[JobSatisfaction]]&lt;=2,"Low","High")</f>
        <v>High</v>
      </c>
      <c r="AP1123" s="11" t="str">
        <f>IF(AND(HR_Data[[#This Row],[OverTime]]="Yes",HR_Data[[#This Row],[JobSatisfaction]]&lt;=2,HR_Data[[#This Row],[YearsAtCompany]]&lt;=2),"High Risk","Normal")</f>
        <v>Normal</v>
      </c>
    </row>
    <row r="1124" spans="1:42" x14ac:dyDescent="0.25">
      <c r="A1124" s="6">
        <v>29</v>
      </c>
      <c r="B1124" s="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s="11" t="str">
        <f>IF(HR_Data[[#This Row],[Age]]&lt;=25,"18-25",IF(HR_Data[[#This Row],[Age]]&lt;=35,"26-35",IF(HR_Data[[#This Row],[Age]]&lt;=45,"36-45",IF(HR_Data[[#This Row],[Age]]&lt;=55,"46-55","56+"))))</f>
        <v>26-35</v>
      </c>
      <c r="AK1124" s="11" t="str">
        <f>IF(HR_Data[[#This Row],[MonthlyIncome]]&lt;3000,"Low",IF(HR_Data[[#This Row],[MonthlyIncome]]&lt;6000,"Medium",IF(HR_Data[[#This Row],[MonthlyIncome]]&lt;10000,"High","Very High")))</f>
        <v>Medium</v>
      </c>
      <c r="AL112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24" t="str">
        <f>IF(HR_Data[[#This Row],[TotalWorkingYears]]&lt;=5,"Junior",IF(HR_Data[[#This Row],[TotalWorkingYears]]&lt;=15,"Mid-Level","Senior"))</f>
        <v>Mid-Level</v>
      </c>
      <c r="AN1124" s="11" t="str">
        <f>IF(HR_Data[[#This Row],[PerformanceRating]]=3,"Standard","Excellent")</f>
        <v>Standard</v>
      </c>
      <c r="AO1124" s="11" t="str">
        <f>IF(HR_Data[[#This Row],[JobSatisfaction]]&lt;=2,"Low","High")</f>
        <v>Low</v>
      </c>
      <c r="AP1124" s="11" t="str">
        <f>IF(AND(HR_Data[[#This Row],[OverTime]]="Yes",HR_Data[[#This Row],[JobSatisfaction]]&lt;=2,HR_Data[[#This Row],[YearsAtCompany]]&lt;=2),"High Risk","Normal")</f>
        <v>Normal</v>
      </c>
    </row>
    <row r="1125" spans="1:42" x14ac:dyDescent="0.25">
      <c r="A1125" s="6">
        <v>35</v>
      </c>
      <c r="B1125" s="4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s="11" t="str">
        <f>IF(HR_Data[[#This Row],[Age]]&lt;=25,"18-25",IF(HR_Data[[#This Row],[Age]]&lt;=35,"26-35",IF(HR_Data[[#This Row],[Age]]&lt;=45,"36-45",IF(HR_Data[[#This Row],[Age]]&lt;=55,"46-55","56+"))))</f>
        <v>26-35</v>
      </c>
      <c r="AK1125" s="11" t="str">
        <f>IF(HR_Data[[#This Row],[MonthlyIncome]]&lt;3000,"Low",IF(HR_Data[[#This Row],[MonthlyIncome]]&lt;6000,"Medium",IF(HR_Data[[#This Row],[MonthlyIncome]]&lt;10000,"High","Very High")))</f>
        <v>High</v>
      </c>
      <c r="AL112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25" t="str">
        <f>IF(HR_Data[[#This Row],[TotalWorkingYears]]&lt;=5,"Junior",IF(HR_Data[[#This Row],[TotalWorkingYears]]&lt;=15,"Mid-Level","Senior"))</f>
        <v>Mid-Level</v>
      </c>
      <c r="AN1125" s="11" t="str">
        <f>IF(HR_Data[[#This Row],[PerformanceRating]]=3,"Standard","Excellent")</f>
        <v>Standard</v>
      </c>
      <c r="AO1125" s="11" t="str">
        <f>IF(HR_Data[[#This Row],[JobSatisfaction]]&lt;=2,"Low","High")</f>
        <v>High</v>
      </c>
      <c r="AP1125" s="11" t="str">
        <f>IF(AND(HR_Data[[#This Row],[OverTime]]="Yes",HR_Data[[#This Row],[JobSatisfaction]]&lt;=2,HR_Data[[#This Row],[YearsAtCompany]]&lt;=2),"High Risk","Normal")</f>
        <v>Normal</v>
      </c>
    </row>
    <row r="1126" spans="1:42" x14ac:dyDescent="0.25">
      <c r="A1126" s="6">
        <v>39</v>
      </c>
      <c r="B1126" s="4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s="11" t="str">
        <f>IF(HR_Data[[#This Row],[Age]]&lt;=25,"18-25",IF(HR_Data[[#This Row],[Age]]&lt;=35,"26-35",IF(HR_Data[[#This Row],[Age]]&lt;=45,"36-45",IF(HR_Data[[#This Row],[Age]]&lt;=55,"46-55","56+"))))</f>
        <v>36-45</v>
      </c>
      <c r="AK1126" s="11" t="str">
        <f>IF(HR_Data[[#This Row],[MonthlyIncome]]&lt;3000,"Low",IF(HR_Data[[#This Row],[MonthlyIncome]]&lt;6000,"Medium",IF(HR_Data[[#This Row],[MonthlyIncome]]&lt;10000,"High","Very High")))</f>
        <v>High</v>
      </c>
      <c r="AL112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26" t="str">
        <f>IF(HR_Data[[#This Row],[TotalWorkingYears]]&lt;=5,"Junior",IF(HR_Data[[#This Row],[TotalWorkingYears]]&lt;=15,"Mid-Level","Senior"))</f>
        <v>Mid-Level</v>
      </c>
      <c r="AN1126" s="11" t="str">
        <f>IF(HR_Data[[#This Row],[PerformanceRating]]=3,"Standard","Excellent")</f>
        <v>Standard</v>
      </c>
      <c r="AO1126" s="11" t="str">
        <f>IF(HR_Data[[#This Row],[JobSatisfaction]]&lt;=2,"Low","High")</f>
        <v>High</v>
      </c>
      <c r="AP1126" s="11" t="str">
        <f>IF(AND(HR_Data[[#This Row],[OverTime]]="Yes",HR_Data[[#This Row],[JobSatisfaction]]&lt;=2,HR_Data[[#This Row],[YearsAtCompany]]&lt;=2),"High Risk","Normal")</f>
        <v>Normal</v>
      </c>
    </row>
    <row r="1127" spans="1:42" x14ac:dyDescent="0.25">
      <c r="A1127" s="6">
        <v>29</v>
      </c>
      <c r="B1127" s="4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s="11" t="str">
        <f>IF(HR_Data[[#This Row],[Age]]&lt;=25,"18-25",IF(HR_Data[[#This Row],[Age]]&lt;=35,"26-35",IF(HR_Data[[#This Row],[Age]]&lt;=45,"36-45",IF(HR_Data[[#This Row],[Age]]&lt;=55,"46-55","56+"))))</f>
        <v>26-35</v>
      </c>
      <c r="AK1127" s="11" t="str">
        <f>IF(HR_Data[[#This Row],[MonthlyIncome]]&lt;3000,"Low",IF(HR_Data[[#This Row],[MonthlyIncome]]&lt;6000,"Medium",IF(HR_Data[[#This Row],[MonthlyIncome]]&lt;10000,"High","Very High")))</f>
        <v>High</v>
      </c>
      <c r="AL112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27" t="str">
        <f>IF(HR_Data[[#This Row],[TotalWorkingYears]]&lt;=5,"Junior",IF(HR_Data[[#This Row],[TotalWorkingYears]]&lt;=15,"Mid-Level","Senior"))</f>
        <v>Mid-Level</v>
      </c>
      <c r="AN1127" s="11" t="str">
        <f>IF(HR_Data[[#This Row],[PerformanceRating]]=3,"Standard","Excellent")</f>
        <v>Standard</v>
      </c>
      <c r="AO1127" s="11" t="str">
        <f>IF(HR_Data[[#This Row],[JobSatisfaction]]&lt;=2,"Low","High")</f>
        <v>High</v>
      </c>
      <c r="AP1127" s="11" t="str">
        <f>IF(AND(HR_Data[[#This Row],[OverTime]]="Yes",HR_Data[[#This Row],[JobSatisfaction]]&lt;=2,HR_Data[[#This Row],[YearsAtCompany]]&lt;=2),"High Risk","Normal")</f>
        <v>Normal</v>
      </c>
    </row>
    <row r="1128" spans="1:42" x14ac:dyDescent="0.25">
      <c r="A1128" s="6">
        <v>50</v>
      </c>
      <c r="B1128" s="4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s="11" t="str">
        <f>IF(HR_Data[[#This Row],[Age]]&lt;=25,"18-25",IF(HR_Data[[#This Row],[Age]]&lt;=35,"26-35",IF(HR_Data[[#This Row],[Age]]&lt;=45,"36-45",IF(HR_Data[[#This Row],[Age]]&lt;=55,"46-55","56+"))))</f>
        <v>46-55</v>
      </c>
      <c r="AK1128" s="11" t="str">
        <f>IF(HR_Data[[#This Row],[MonthlyIncome]]&lt;3000,"Low",IF(HR_Data[[#This Row],[MonthlyIncome]]&lt;6000,"Medium",IF(HR_Data[[#This Row],[MonthlyIncome]]&lt;10000,"High","Very High")))</f>
        <v>Very High</v>
      </c>
      <c r="AL112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28" t="str">
        <f>IF(HR_Data[[#This Row],[TotalWorkingYears]]&lt;=5,"Junior",IF(HR_Data[[#This Row],[TotalWorkingYears]]&lt;=15,"Mid-Level","Senior"))</f>
        <v>Senior</v>
      </c>
      <c r="AN1128" s="11" t="str">
        <f>IF(HR_Data[[#This Row],[PerformanceRating]]=3,"Standard","Excellent")</f>
        <v>Standard</v>
      </c>
      <c r="AO1128" s="11" t="str">
        <f>IF(HR_Data[[#This Row],[JobSatisfaction]]&lt;=2,"Low","High")</f>
        <v>High</v>
      </c>
      <c r="AP1128" s="11" t="str">
        <f>IF(AND(HR_Data[[#This Row],[OverTime]]="Yes",HR_Data[[#This Row],[JobSatisfaction]]&lt;=2,HR_Data[[#This Row],[YearsAtCompany]]&lt;=2),"High Risk","Normal")</f>
        <v>Normal</v>
      </c>
    </row>
    <row r="1129" spans="1:42" x14ac:dyDescent="0.25">
      <c r="A1129" s="6">
        <v>23</v>
      </c>
      <c r="B1129" s="4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s="11" t="str">
        <f>IF(HR_Data[[#This Row],[Age]]&lt;=25,"18-25",IF(HR_Data[[#This Row],[Age]]&lt;=35,"26-35",IF(HR_Data[[#This Row],[Age]]&lt;=45,"36-45",IF(HR_Data[[#This Row],[Age]]&lt;=55,"46-55","56+"))))</f>
        <v>18-25</v>
      </c>
      <c r="AK1129" s="11" t="str">
        <f>IF(HR_Data[[#This Row],[MonthlyIncome]]&lt;3000,"Low",IF(HR_Data[[#This Row],[MonthlyIncome]]&lt;6000,"Medium",IF(HR_Data[[#This Row],[MonthlyIncome]]&lt;10000,"High","Very High")))</f>
        <v>Low</v>
      </c>
      <c r="AL112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29" t="str">
        <f>IF(HR_Data[[#This Row],[TotalWorkingYears]]&lt;=5,"Junior",IF(HR_Data[[#This Row],[TotalWorkingYears]]&lt;=15,"Mid-Level","Senior"))</f>
        <v>Junior</v>
      </c>
      <c r="AN1129" s="11" t="str">
        <f>IF(HR_Data[[#This Row],[PerformanceRating]]=3,"Standard","Excellent")</f>
        <v>Standard</v>
      </c>
      <c r="AO1129" s="11" t="str">
        <f>IF(HR_Data[[#This Row],[JobSatisfaction]]&lt;=2,"Low","High")</f>
        <v>High</v>
      </c>
      <c r="AP1129" s="11" t="str">
        <f>IF(AND(HR_Data[[#This Row],[OverTime]]="Yes",HR_Data[[#This Row],[JobSatisfaction]]&lt;=2,HR_Data[[#This Row],[YearsAtCompany]]&lt;=2),"High Risk","Normal")</f>
        <v>Normal</v>
      </c>
    </row>
    <row r="1130" spans="1:42" x14ac:dyDescent="0.25">
      <c r="A1130" s="6">
        <v>36</v>
      </c>
      <c r="B1130" s="4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s="11" t="str">
        <f>IF(HR_Data[[#This Row],[Age]]&lt;=25,"18-25",IF(HR_Data[[#This Row],[Age]]&lt;=35,"26-35",IF(HR_Data[[#This Row],[Age]]&lt;=45,"36-45",IF(HR_Data[[#This Row],[Age]]&lt;=55,"46-55","56+"))))</f>
        <v>36-45</v>
      </c>
      <c r="AK1130" s="11" t="str">
        <f>IF(HR_Data[[#This Row],[MonthlyIncome]]&lt;3000,"Low",IF(HR_Data[[#This Row],[MonthlyIncome]]&lt;6000,"Medium",IF(HR_Data[[#This Row],[MonthlyIncome]]&lt;10000,"High","Very High")))</f>
        <v>Medium</v>
      </c>
      <c r="AL113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30" t="str">
        <f>IF(HR_Data[[#This Row],[TotalWorkingYears]]&lt;=5,"Junior",IF(HR_Data[[#This Row],[TotalWorkingYears]]&lt;=15,"Mid-Level","Senior"))</f>
        <v>Mid-Level</v>
      </c>
      <c r="AN1130" s="11" t="str">
        <f>IF(HR_Data[[#This Row],[PerformanceRating]]=3,"Standard","Excellent")</f>
        <v>Standard</v>
      </c>
      <c r="AO1130" s="11" t="str">
        <f>IF(HR_Data[[#This Row],[JobSatisfaction]]&lt;=2,"Low","High")</f>
        <v>Low</v>
      </c>
      <c r="AP1130" s="11" t="str">
        <f>IF(AND(HR_Data[[#This Row],[OverTime]]="Yes",HR_Data[[#This Row],[JobSatisfaction]]&lt;=2,HR_Data[[#This Row],[YearsAtCompany]]&lt;=2),"High Risk","Normal")</f>
        <v>Normal</v>
      </c>
    </row>
    <row r="1131" spans="1:42" x14ac:dyDescent="0.25">
      <c r="A1131" s="6">
        <v>42</v>
      </c>
      <c r="B1131" s="4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s="11" t="str">
        <f>IF(HR_Data[[#This Row],[Age]]&lt;=25,"18-25",IF(HR_Data[[#This Row],[Age]]&lt;=35,"26-35",IF(HR_Data[[#This Row],[Age]]&lt;=45,"36-45",IF(HR_Data[[#This Row],[Age]]&lt;=55,"46-55","56+"))))</f>
        <v>36-45</v>
      </c>
      <c r="AK1131" s="11" t="str">
        <f>IF(HR_Data[[#This Row],[MonthlyIncome]]&lt;3000,"Low",IF(HR_Data[[#This Row],[MonthlyIncome]]&lt;6000,"Medium",IF(HR_Data[[#This Row],[MonthlyIncome]]&lt;10000,"High","Very High")))</f>
        <v>Very High</v>
      </c>
      <c r="AL113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31" t="str">
        <f>IF(HR_Data[[#This Row],[TotalWorkingYears]]&lt;=5,"Junior",IF(HR_Data[[#This Row],[TotalWorkingYears]]&lt;=15,"Mid-Level","Senior"))</f>
        <v>Senior</v>
      </c>
      <c r="AN1131" s="11" t="str">
        <f>IF(HR_Data[[#This Row],[PerformanceRating]]=3,"Standard","Excellent")</f>
        <v>Excellent</v>
      </c>
      <c r="AO1131" s="11" t="str">
        <f>IF(HR_Data[[#This Row],[JobSatisfaction]]&lt;=2,"Low","High")</f>
        <v>High</v>
      </c>
      <c r="AP1131" s="11" t="str">
        <f>IF(AND(HR_Data[[#This Row],[OverTime]]="Yes",HR_Data[[#This Row],[JobSatisfaction]]&lt;=2,HR_Data[[#This Row],[YearsAtCompany]]&lt;=2),"High Risk","Normal")</f>
        <v>Normal</v>
      </c>
    </row>
    <row r="1132" spans="1:42" x14ac:dyDescent="0.25">
      <c r="A1132" s="6">
        <v>35</v>
      </c>
      <c r="B1132" s="4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s="11" t="str">
        <f>IF(HR_Data[[#This Row],[Age]]&lt;=25,"18-25",IF(HR_Data[[#This Row],[Age]]&lt;=35,"26-35",IF(HR_Data[[#This Row],[Age]]&lt;=45,"36-45",IF(HR_Data[[#This Row],[Age]]&lt;=55,"46-55","56+"))))</f>
        <v>26-35</v>
      </c>
      <c r="AK1132" s="11" t="str">
        <f>IF(HR_Data[[#This Row],[MonthlyIncome]]&lt;3000,"Low",IF(HR_Data[[#This Row],[MonthlyIncome]]&lt;6000,"Medium",IF(HR_Data[[#This Row],[MonthlyIncome]]&lt;10000,"High","Very High")))</f>
        <v>Medium</v>
      </c>
      <c r="AL113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32" t="str">
        <f>IF(HR_Data[[#This Row],[TotalWorkingYears]]&lt;=5,"Junior",IF(HR_Data[[#This Row],[TotalWorkingYears]]&lt;=15,"Mid-Level","Senior"))</f>
        <v>Mid-Level</v>
      </c>
      <c r="AN1132" s="11" t="str">
        <f>IF(HR_Data[[#This Row],[PerformanceRating]]=3,"Standard","Excellent")</f>
        <v>Standard</v>
      </c>
      <c r="AO1132" s="11" t="str">
        <f>IF(HR_Data[[#This Row],[JobSatisfaction]]&lt;=2,"Low","High")</f>
        <v>High</v>
      </c>
      <c r="AP1132" s="11" t="str">
        <f>IF(AND(HR_Data[[#This Row],[OverTime]]="Yes",HR_Data[[#This Row],[JobSatisfaction]]&lt;=2,HR_Data[[#This Row],[YearsAtCompany]]&lt;=2),"High Risk","Normal")</f>
        <v>Normal</v>
      </c>
    </row>
    <row r="1133" spans="1:42" x14ac:dyDescent="0.25">
      <c r="A1133" s="6">
        <v>34</v>
      </c>
      <c r="B1133" s="4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s="11" t="str">
        <f>IF(HR_Data[[#This Row],[Age]]&lt;=25,"18-25",IF(HR_Data[[#This Row],[Age]]&lt;=35,"26-35",IF(HR_Data[[#This Row],[Age]]&lt;=45,"36-45",IF(HR_Data[[#This Row],[Age]]&lt;=55,"46-55","56+"))))</f>
        <v>26-35</v>
      </c>
      <c r="AK1133" s="11" t="str">
        <f>IF(HR_Data[[#This Row],[MonthlyIncome]]&lt;3000,"Low",IF(HR_Data[[#This Row],[MonthlyIncome]]&lt;6000,"Medium",IF(HR_Data[[#This Row],[MonthlyIncome]]&lt;10000,"High","Very High")))</f>
        <v>Medium</v>
      </c>
      <c r="AL113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33" t="str">
        <f>IF(HR_Data[[#This Row],[TotalWorkingYears]]&lt;=5,"Junior",IF(HR_Data[[#This Row],[TotalWorkingYears]]&lt;=15,"Mid-Level","Senior"))</f>
        <v>Mid-Level</v>
      </c>
      <c r="AN1133" s="11" t="str">
        <f>IF(HR_Data[[#This Row],[PerformanceRating]]=3,"Standard","Excellent")</f>
        <v>Standard</v>
      </c>
      <c r="AO1133" s="11" t="str">
        <f>IF(HR_Data[[#This Row],[JobSatisfaction]]&lt;=2,"Low","High")</f>
        <v>High</v>
      </c>
      <c r="AP1133" s="11" t="str">
        <f>IF(AND(HR_Data[[#This Row],[OverTime]]="Yes",HR_Data[[#This Row],[JobSatisfaction]]&lt;=2,HR_Data[[#This Row],[YearsAtCompany]]&lt;=2),"High Risk","Normal")</f>
        <v>Normal</v>
      </c>
    </row>
    <row r="1134" spans="1:42" x14ac:dyDescent="0.25">
      <c r="A1134" s="6">
        <v>40</v>
      </c>
      <c r="B1134" s="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s="11" t="str">
        <f>IF(HR_Data[[#This Row],[Age]]&lt;=25,"18-25",IF(HR_Data[[#This Row],[Age]]&lt;=35,"26-35",IF(HR_Data[[#This Row],[Age]]&lt;=45,"36-45",IF(HR_Data[[#This Row],[Age]]&lt;=55,"46-55","56+"))))</f>
        <v>36-45</v>
      </c>
      <c r="AK1134" s="11" t="str">
        <f>IF(HR_Data[[#This Row],[MonthlyIncome]]&lt;3000,"Low",IF(HR_Data[[#This Row],[MonthlyIncome]]&lt;6000,"Medium",IF(HR_Data[[#This Row],[MonthlyIncome]]&lt;10000,"High","Very High")))</f>
        <v>Medium</v>
      </c>
      <c r="AL113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34" t="str">
        <f>IF(HR_Data[[#This Row],[TotalWorkingYears]]&lt;=5,"Junior",IF(HR_Data[[#This Row],[TotalWorkingYears]]&lt;=15,"Mid-Level","Senior"))</f>
        <v>Junior</v>
      </c>
      <c r="AN1134" s="11" t="str">
        <f>IF(HR_Data[[#This Row],[PerformanceRating]]=3,"Standard","Excellent")</f>
        <v>Standard</v>
      </c>
      <c r="AO1134" s="11" t="str">
        <f>IF(HR_Data[[#This Row],[JobSatisfaction]]&lt;=2,"Low","High")</f>
        <v>Low</v>
      </c>
      <c r="AP1134" s="11" t="str">
        <f>IF(AND(HR_Data[[#This Row],[OverTime]]="Yes",HR_Data[[#This Row],[JobSatisfaction]]&lt;=2,HR_Data[[#This Row],[YearsAtCompany]]&lt;=2),"High Risk","Normal")</f>
        <v>Normal</v>
      </c>
    </row>
    <row r="1135" spans="1:42" x14ac:dyDescent="0.25">
      <c r="A1135" s="6">
        <v>43</v>
      </c>
      <c r="B1135" s="4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s="11" t="str">
        <f>IF(HR_Data[[#This Row],[Age]]&lt;=25,"18-25",IF(HR_Data[[#This Row],[Age]]&lt;=35,"26-35",IF(HR_Data[[#This Row],[Age]]&lt;=45,"36-45",IF(HR_Data[[#This Row],[Age]]&lt;=55,"46-55","56+"))))</f>
        <v>36-45</v>
      </c>
      <c r="AK1135" s="11" t="str">
        <f>IF(HR_Data[[#This Row],[MonthlyIncome]]&lt;3000,"Low",IF(HR_Data[[#This Row],[MonthlyIncome]]&lt;6000,"Medium",IF(HR_Data[[#This Row],[MonthlyIncome]]&lt;10000,"High","Very High")))</f>
        <v>Medium</v>
      </c>
      <c r="AL113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35" t="str">
        <f>IF(HR_Data[[#This Row],[TotalWorkingYears]]&lt;=5,"Junior",IF(HR_Data[[#This Row],[TotalWorkingYears]]&lt;=15,"Mid-Level","Senior"))</f>
        <v>Mid-Level</v>
      </c>
      <c r="AN1135" s="11" t="str">
        <f>IF(HR_Data[[#This Row],[PerformanceRating]]=3,"Standard","Excellent")</f>
        <v>Standard</v>
      </c>
      <c r="AO1135" s="11" t="str">
        <f>IF(HR_Data[[#This Row],[JobSatisfaction]]&lt;=2,"Low","High")</f>
        <v>Low</v>
      </c>
      <c r="AP1135" s="11" t="str">
        <f>IF(AND(HR_Data[[#This Row],[OverTime]]="Yes",HR_Data[[#This Row],[JobSatisfaction]]&lt;=2,HR_Data[[#This Row],[YearsAtCompany]]&lt;=2),"High Risk","Normal")</f>
        <v>Normal</v>
      </c>
    </row>
    <row r="1136" spans="1:42" x14ac:dyDescent="0.25">
      <c r="A1136" s="6">
        <v>35</v>
      </c>
      <c r="B1136" s="4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s="11" t="str">
        <f>IF(HR_Data[[#This Row],[Age]]&lt;=25,"18-25",IF(HR_Data[[#This Row],[Age]]&lt;=35,"26-35",IF(HR_Data[[#This Row],[Age]]&lt;=45,"36-45",IF(HR_Data[[#This Row],[Age]]&lt;=55,"46-55","56+"))))</f>
        <v>26-35</v>
      </c>
      <c r="AK1136" s="11" t="str">
        <f>IF(HR_Data[[#This Row],[MonthlyIncome]]&lt;3000,"Low",IF(HR_Data[[#This Row],[MonthlyIncome]]&lt;6000,"Medium",IF(HR_Data[[#This Row],[MonthlyIncome]]&lt;10000,"High","Very High")))</f>
        <v>Low</v>
      </c>
      <c r="AL113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36" t="str">
        <f>IF(HR_Data[[#This Row],[TotalWorkingYears]]&lt;=5,"Junior",IF(HR_Data[[#This Row],[TotalWorkingYears]]&lt;=15,"Mid-Level","Senior"))</f>
        <v>Junior</v>
      </c>
      <c r="AN1136" s="11" t="str">
        <f>IF(HR_Data[[#This Row],[PerformanceRating]]=3,"Standard","Excellent")</f>
        <v>Standard</v>
      </c>
      <c r="AO1136" s="11" t="str">
        <f>IF(HR_Data[[#This Row],[JobSatisfaction]]&lt;=2,"Low","High")</f>
        <v>High</v>
      </c>
      <c r="AP1136" s="11" t="str">
        <f>IF(AND(HR_Data[[#This Row],[OverTime]]="Yes",HR_Data[[#This Row],[JobSatisfaction]]&lt;=2,HR_Data[[#This Row],[YearsAtCompany]]&lt;=2),"High Risk","Normal")</f>
        <v>Normal</v>
      </c>
    </row>
    <row r="1137" spans="1:42" x14ac:dyDescent="0.25">
      <c r="A1137" s="6">
        <v>46</v>
      </c>
      <c r="B1137" s="4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s="11" t="str">
        <f>IF(HR_Data[[#This Row],[Age]]&lt;=25,"18-25",IF(HR_Data[[#This Row],[Age]]&lt;=35,"26-35",IF(HR_Data[[#This Row],[Age]]&lt;=45,"36-45",IF(HR_Data[[#This Row],[Age]]&lt;=55,"46-55","56+"))))</f>
        <v>46-55</v>
      </c>
      <c r="AK1137" s="11" t="str">
        <f>IF(HR_Data[[#This Row],[MonthlyIncome]]&lt;3000,"Low",IF(HR_Data[[#This Row],[MonthlyIncome]]&lt;6000,"Medium",IF(HR_Data[[#This Row],[MonthlyIncome]]&lt;10000,"High","Very High")))</f>
        <v>Very High</v>
      </c>
      <c r="AL113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137" t="str">
        <f>IF(HR_Data[[#This Row],[TotalWorkingYears]]&lt;=5,"Junior",IF(HR_Data[[#This Row],[TotalWorkingYears]]&lt;=15,"Mid-Level","Senior"))</f>
        <v>Senior</v>
      </c>
      <c r="AN1137" s="11" t="str">
        <f>IF(HR_Data[[#This Row],[PerformanceRating]]=3,"Standard","Excellent")</f>
        <v>Standard</v>
      </c>
      <c r="AO1137" s="11" t="str">
        <f>IF(HR_Data[[#This Row],[JobSatisfaction]]&lt;=2,"Low","High")</f>
        <v>Low</v>
      </c>
      <c r="AP1137" s="11" t="str">
        <f>IF(AND(HR_Data[[#This Row],[OverTime]]="Yes",HR_Data[[#This Row],[JobSatisfaction]]&lt;=2,HR_Data[[#This Row],[YearsAtCompany]]&lt;=2),"High Risk","Normal")</f>
        <v>Normal</v>
      </c>
    </row>
    <row r="1138" spans="1:42" x14ac:dyDescent="0.25">
      <c r="A1138" s="6">
        <v>28</v>
      </c>
      <c r="B1138" s="4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s="11" t="str">
        <f>IF(HR_Data[[#This Row],[Age]]&lt;=25,"18-25",IF(HR_Data[[#This Row],[Age]]&lt;=35,"26-35",IF(HR_Data[[#This Row],[Age]]&lt;=45,"36-45",IF(HR_Data[[#This Row],[Age]]&lt;=55,"46-55","56+"))))</f>
        <v>26-35</v>
      </c>
      <c r="AK1138" s="11" t="str">
        <f>IF(HR_Data[[#This Row],[MonthlyIncome]]&lt;3000,"Low",IF(HR_Data[[#This Row],[MonthlyIncome]]&lt;6000,"Medium",IF(HR_Data[[#This Row],[MonthlyIncome]]&lt;10000,"High","Very High")))</f>
        <v>Low</v>
      </c>
      <c r="AL113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38" t="str">
        <f>IF(HR_Data[[#This Row],[TotalWorkingYears]]&lt;=5,"Junior",IF(HR_Data[[#This Row],[TotalWorkingYears]]&lt;=15,"Mid-Level","Senior"))</f>
        <v>Junior</v>
      </c>
      <c r="AN1138" s="11" t="str">
        <f>IF(HR_Data[[#This Row],[PerformanceRating]]=3,"Standard","Excellent")</f>
        <v>Standard</v>
      </c>
      <c r="AO1138" s="11" t="str">
        <f>IF(HR_Data[[#This Row],[JobSatisfaction]]&lt;=2,"Low","High")</f>
        <v>Low</v>
      </c>
      <c r="AP1138" s="11" t="str">
        <f>IF(AND(HR_Data[[#This Row],[OverTime]]="Yes",HR_Data[[#This Row],[JobSatisfaction]]&lt;=2,HR_Data[[#This Row],[YearsAtCompany]]&lt;=2),"High Risk","Normal")</f>
        <v>High Risk</v>
      </c>
    </row>
    <row r="1139" spans="1:42" x14ac:dyDescent="0.25">
      <c r="A1139" s="6">
        <v>22</v>
      </c>
      <c r="B1139" s="4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s="11" t="str">
        <f>IF(HR_Data[[#This Row],[Age]]&lt;=25,"18-25",IF(HR_Data[[#This Row],[Age]]&lt;=35,"26-35",IF(HR_Data[[#This Row],[Age]]&lt;=45,"36-45",IF(HR_Data[[#This Row],[Age]]&lt;=55,"46-55","56+"))))</f>
        <v>18-25</v>
      </c>
      <c r="AK1139" s="11" t="str">
        <f>IF(HR_Data[[#This Row],[MonthlyIncome]]&lt;3000,"Low",IF(HR_Data[[#This Row],[MonthlyIncome]]&lt;6000,"Medium",IF(HR_Data[[#This Row],[MonthlyIncome]]&lt;10000,"High","Very High")))</f>
        <v>Low</v>
      </c>
      <c r="AL113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39" t="str">
        <f>IF(HR_Data[[#This Row],[TotalWorkingYears]]&lt;=5,"Junior",IF(HR_Data[[#This Row],[TotalWorkingYears]]&lt;=15,"Mid-Level","Senior"))</f>
        <v>Junior</v>
      </c>
      <c r="AN1139" s="11" t="str">
        <f>IF(HR_Data[[#This Row],[PerformanceRating]]=3,"Standard","Excellent")</f>
        <v>Standard</v>
      </c>
      <c r="AO1139" s="11" t="str">
        <f>IF(HR_Data[[#This Row],[JobSatisfaction]]&lt;=2,"Low","High")</f>
        <v>High</v>
      </c>
      <c r="AP1139" s="11" t="str">
        <f>IF(AND(HR_Data[[#This Row],[OverTime]]="Yes",HR_Data[[#This Row],[JobSatisfaction]]&lt;=2,HR_Data[[#This Row],[YearsAtCompany]]&lt;=2),"High Risk","Normal")</f>
        <v>Normal</v>
      </c>
    </row>
    <row r="1140" spans="1:42" x14ac:dyDescent="0.25">
      <c r="A1140" s="6">
        <v>50</v>
      </c>
      <c r="B1140" s="4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s="11" t="str">
        <f>IF(HR_Data[[#This Row],[Age]]&lt;=25,"18-25",IF(HR_Data[[#This Row],[Age]]&lt;=35,"26-35",IF(HR_Data[[#This Row],[Age]]&lt;=45,"36-45",IF(HR_Data[[#This Row],[Age]]&lt;=55,"46-55","56+"))))</f>
        <v>46-55</v>
      </c>
      <c r="AK1140" s="11" t="str">
        <f>IF(HR_Data[[#This Row],[MonthlyIncome]]&lt;3000,"Low",IF(HR_Data[[#This Row],[MonthlyIncome]]&lt;6000,"Medium",IF(HR_Data[[#This Row],[MonthlyIncome]]&lt;10000,"High","Very High")))</f>
        <v>Very High</v>
      </c>
      <c r="AL114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140" t="str">
        <f>IF(HR_Data[[#This Row],[TotalWorkingYears]]&lt;=5,"Junior",IF(HR_Data[[#This Row],[TotalWorkingYears]]&lt;=15,"Mid-Level","Senior"))</f>
        <v>Senior</v>
      </c>
      <c r="AN1140" s="11" t="str">
        <f>IF(HR_Data[[#This Row],[PerformanceRating]]=3,"Standard","Excellent")</f>
        <v>Standard</v>
      </c>
      <c r="AO1140" s="11" t="str">
        <f>IF(HR_Data[[#This Row],[JobSatisfaction]]&lt;=2,"Low","High")</f>
        <v>High</v>
      </c>
      <c r="AP1140" s="11" t="str">
        <f>IF(AND(HR_Data[[#This Row],[OverTime]]="Yes",HR_Data[[#This Row],[JobSatisfaction]]&lt;=2,HR_Data[[#This Row],[YearsAtCompany]]&lt;=2),"High Risk","Normal")</f>
        <v>Normal</v>
      </c>
    </row>
    <row r="1141" spans="1:42" x14ac:dyDescent="0.25">
      <c r="A1141" s="6">
        <v>32</v>
      </c>
      <c r="B1141" s="4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s="11" t="str">
        <f>IF(HR_Data[[#This Row],[Age]]&lt;=25,"18-25",IF(HR_Data[[#This Row],[Age]]&lt;=35,"26-35",IF(HR_Data[[#This Row],[Age]]&lt;=45,"36-45",IF(HR_Data[[#This Row],[Age]]&lt;=55,"46-55","56+"))))</f>
        <v>26-35</v>
      </c>
      <c r="AK1141" s="11" t="str">
        <f>IF(HR_Data[[#This Row],[MonthlyIncome]]&lt;3000,"Low",IF(HR_Data[[#This Row],[MonthlyIncome]]&lt;6000,"Medium",IF(HR_Data[[#This Row],[MonthlyIncome]]&lt;10000,"High","Very High")))</f>
        <v>Medium</v>
      </c>
      <c r="AL114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41" t="str">
        <f>IF(HR_Data[[#This Row],[TotalWorkingYears]]&lt;=5,"Junior",IF(HR_Data[[#This Row],[TotalWorkingYears]]&lt;=15,"Mid-Level","Senior"))</f>
        <v>Mid-Level</v>
      </c>
      <c r="AN1141" s="11" t="str">
        <f>IF(HR_Data[[#This Row],[PerformanceRating]]=3,"Standard","Excellent")</f>
        <v>Standard</v>
      </c>
      <c r="AO1141" s="11" t="str">
        <f>IF(HR_Data[[#This Row],[JobSatisfaction]]&lt;=2,"Low","High")</f>
        <v>High</v>
      </c>
      <c r="AP1141" s="11" t="str">
        <f>IF(AND(HR_Data[[#This Row],[OverTime]]="Yes",HR_Data[[#This Row],[JobSatisfaction]]&lt;=2,HR_Data[[#This Row],[YearsAtCompany]]&lt;=2),"High Risk","Normal")</f>
        <v>Normal</v>
      </c>
    </row>
    <row r="1142" spans="1:42" x14ac:dyDescent="0.25">
      <c r="A1142" s="6">
        <v>44</v>
      </c>
      <c r="B1142" s="4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s="11" t="str">
        <f>IF(HR_Data[[#This Row],[Age]]&lt;=25,"18-25",IF(HR_Data[[#This Row],[Age]]&lt;=35,"26-35",IF(HR_Data[[#This Row],[Age]]&lt;=45,"36-45",IF(HR_Data[[#This Row],[Age]]&lt;=55,"46-55","56+"))))</f>
        <v>36-45</v>
      </c>
      <c r="AK1142" s="11" t="str">
        <f>IF(HR_Data[[#This Row],[MonthlyIncome]]&lt;3000,"Low",IF(HR_Data[[#This Row],[MonthlyIncome]]&lt;6000,"Medium",IF(HR_Data[[#This Row],[MonthlyIncome]]&lt;10000,"High","Very High")))</f>
        <v>Very High</v>
      </c>
      <c r="AL1142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142" t="str">
        <f>IF(HR_Data[[#This Row],[TotalWorkingYears]]&lt;=5,"Junior",IF(HR_Data[[#This Row],[TotalWorkingYears]]&lt;=15,"Mid-Level","Senior"))</f>
        <v>Senior</v>
      </c>
      <c r="AN1142" s="11" t="str">
        <f>IF(HR_Data[[#This Row],[PerformanceRating]]=3,"Standard","Excellent")</f>
        <v>Standard</v>
      </c>
      <c r="AO1142" s="11" t="str">
        <f>IF(HR_Data[[#This Row],[JobSatisfaction]]&lt;=2,"Low","High")</f>
        <v>High</v>
      </c>
      <c r="AP1142" s="11" t="str">
        <f>IF(AND(HR_Data[[#This Row],[OverTime]]="Yes",HR_Data[[#This Row],[JobSatisfaction]]&lt;=2,HR_Data[[#This Row],[YearsAtCompany]]&lt;=2),"High Risk","Normal")</f>
        <v>Normal</v>
      </c>
    </row>
    <row r="1143" spans="1:42" x14ac:dyDescent="0.25">
      <c r="A1143" s="6">
        <v>30</v>
      </c>
      <c r="B1143" s="4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s="11" t="str">
        <f>IF(HR_Data[[#This Row],[Age]]&lt;=25,"18-25",IF(HR_Data[[#This Row],[Age]]&lt;=35,"26-35",IF(HR_Data[[#This Row],[Age]]&lt;=45,"36-45",IF(HR_Data[[#This Row],[Age]]&lt;=55,"46-55","56+"))))</f>
        <v>26-35</v>
      </c>
      <c r="AK1143" s="11" t="str">
        <f>IF(HR_Data[[#This Row],[MonthlyIncome]]&lt;3000,"Low",IF(HR_Data[[#This Row],[MonthlyIncome]]&lt;6000,"Medium",IF(HR_Data[[#This Row],[MonthlyIncome]]&lt;10000,"High","Very High")))</f>
        <v>Low</v>
      </c>
      <c r="AL114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43" t="str">
        <f>IF(HR_Data[[#This Row],[TotalWorkingYears]]&lt;=5,"Junior",IF(HR_Data[[#This Row],[TotalWorkingYears]]&lt;=15,"Mid-Level","Senior"))</f>
        <v>Mid-Level</v>
      </c>
      <c r="AN1143" s="11" t="str">
        <f>IF(HR_Data[[#This Row],[PerformanceRating]]=3,"Standard","Excellent")</f>
        <v>Standard</v>
      </c>
      <c r="AO1143" s="11" t="str">
        <f>IF(HR_Data[[#This Row],[JobSatisfaction]]&lt;=2,"Low","High")</f>
        <v>Low</v>
      </c>
      <c r="AP1143" s="11" t="str">
        <f>IF(AND(HR_Data[[#This Row],[OverTime]]="Yes",HR_Data[[#This Row],[JobSatisfaction]]&lt;=2,HR_Data[[#This Row],[YearsAtCompany]]&lt;=2),"High Risk","Normal")</f>
        <v>Normal</v>
      </c>
    </row>
    <row r="1144" spans="1:42" x14ac:dyDescent="0.25">
      <c r="A1144" s="6">
        <v>45</v>
      </c>
      <c r="B1144" s="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s="11" t="str">
        <f>IF(HR_Data[[#This Row],[Age]]&lt;=25,"18-25",IF(HR_Data[[#This Row],[Age]]&lt;=35,"26-35",IF(HR_Data[[#This Row],[Age]]&lt;=45,"36-45",IF(HR_Data[[#This Row],[Age]]&lt;=55,"46-55","56+"))))</f>
        <v>36-45</v>
      </c>
      <c r="AK1144" s="11" t="str">
        <f>IF(HR_Data[[#This Row],[MonthlyIncome]]&lt;3000,"Low",IF(HR_Data[[#This Row],[MonthlyIncome]]&lt;6000,"Medium",IF(HR_Data[[#This Row],[MonthlyIncome]]&lt;10000,"High","Very High")))</f>
        <v>Medium</v>
      </c>
      <c r="AL114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44" t="str">
        <f>IF(HR_Data[[#This Row],[TotalWorkingYears]]&lt;=5,"Junior",IF(HR_Data[[#This Row],[TotalWorkingYears]]&lt;=15,"Mid-Level","Senior"))</f>
        <v>Mid-Level</v>
      </c>
      <c r="AN1144" s="11" t="str">
        <f>IF(HR_Data[[#This Row],[PerformanceRating]]=3,"Standard","Excellent")</f>
        <v>Standard</v>
      </c>
      <c r="AO1144" s="11" t="str">
        <f>IF(HR_Data[[#This Row],[JobSatisfaction]]&lt;=2,"Low","High")</f>
        <v>Low</v>
      </c>
      <c r="AP1144" s="11" t="str">
        <f>IF(AND(HR_Data[[#This Row],[OverTime]]="Yes",HR_Data[[#This Row],[JobSatisfaction]]&lt;=2,HR_Data[[#This Row],[YearsAtCompany]]&lt;=2),"High Risk","Normal")</f>
        <v>Normal</v>
      </c>
    </row>
    <row r="1145" spans="1:42" x14ac:dyDescent="0.25">
      <c r="A1145" s="6">
        <v>45</v>
      </c>
      <c r="B1145" s="4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s="11" t="str">
        <f>IF(HR_Data[[#This Row],[Age]]&lt;=25,"18-25",IF(HR_Data[[#This Row],[Age]]&lt;=35,"26-35",IF(HR_Data[[#This Row],[Age]]&lt;=45,"36-45",IF(HR_Data[[#This Row],[Age]]&lt;=55,"46-55","56+"))))</f>
        <v>36-45</v>
      </c>
      <c r="AK1145" s="11" t="str">
        <f>IF(HR_Data[[#This Row],[MonthlyIncome]]&lt;3000,"Low",IF(HR_Data[[#This Row],[MonthlyIncome]]&lt;6000,"Medium",IF(HR_Data[[#This Row],[MonthlyIncome]]&lt;10000,"High","Very High")))</f>
        <v>Medium</v>
      </c>
      <c r="AL114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45" t="str">
        <f>IF(HR_Data[[#This Row],[TotalWorkingYears]]&lt;=5,"Junior",IF(HR_Data[[#This Row],[TotalWorkingYears]]&lt;=15,"Mid-Level","Senior"))</f>
        <v>Mid-Level</v>
      </c>
      <c r="AN1145" s="11" t="str">
        <f>IF(HR_Data[[#This Row],[PerformanceRating]]=3,"Standard","Excellent")</f>
        <v>Standard</v>
      </c>
      <c r="AO1145" s="11" t="str">
        <f>IF(HR_Data[[#This Row],[JobSatisfaction]]&lt;=2,"Low","High")</f>
        <v>Low</v>
      </c>
      <c r="AP1145" s="11" t="str">
        <f>IF(AND(HR_Data[[#This Row],[OverTime]]="Yes",HR_Data[[#This Row],[JobSatisfaction]]&lt;=2,HR_Data[[#This Row],[YearsAtCompany]]&lt;=2),"High Risk","Normal")</f>
        <v>Normal</v>
      </c>
    </row>
    <row r="1146" spans="1:42" x14ac:dyDescent="0.25">
      <c r="A1146" s="6">
        <v>31</v>
      </c>
      <c r="B1146" s="4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s="11" t="str">
        <f>IF(HR_Data[[#This Row],[Age]]&lt;=25,"18-25",IF(HR_Data[[#This Row],[Age]]&lt;=35,"26-35",IF(HR_Data[[#This Row],[Age]]&lt;=45,"36-45",IF(HR_Data[[#This Row],[Age]]&lt;=55,"46-55","56+"))))</f>
        <v>26-35</v>
      </c>
      <c r="AK1146" s="11" t="str">
        <f>IF(HR_Data[[#This Row],[MonthlyIncome]]&lt;3000,"Low",IF(HR_Data[[#This Row],[MonthlyIncome]]&lt;6000,"Medium",IF(HR_Data[[#This Row],[MonthlyIncome]]&lt;10000,"High","Very High")))</f>
        <v>Medium</v>
      </c>
      <c r="AL114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46" t="str">
        <f>IF(HR_Data[[#This Row],[TotalWorkingYears]]&lt;=5,"Junior",IF(HR_Data[[#This Row],[TotalWorkingYears]]&lt;=15,"Mid-Level","Senior"))</f>
        <v>Mid-Level</v>
      </c>
      <c r="AN1146" s="11" t="str">
        <f>IF(HR_Data[[#This Row],[PerformanceRating]]=3,"Standard","Excellent")</f>
        <v>Standard</v>
      </c>
      <c r="AO1146" s="11" t="str">
        <f>IF(HR_Data[[#This Row],[JobSatisfaction]]&lt;=2,"Low","High")</f>
        <v>Low</v>
      </c>
      <c r="AP1146" s="11" t="str">
        <f>IF(AND(HR_Data[[#This Row],[OverTime]]="Yes",HR_Data[[#This Row],[JobSatisfaction]]&lt;=2,HR_Data[[#This Row],[YearsAtCompany]]&lt;=2),"High Risk","Normal")</f>
        <v>Normal</v>
      </c>
    </row>
    <row r="1147" spans="1:42" x14ac:dyDescent="0.25">
      <c r="A1147" s="6">
        <v>36</v>
      </c>
      <c r="B1147" s="4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s="11" t="str">
        <f>IF(HR_Data[[#This Row],[Age]]&lt;=25,"18-25",IF(HR_Data[[#This Row],[Age]]&lt;=35,"26-35",IF(HR_Data[[#This Row],[Age]]&lt;=45,"36-45",IF(HR_Data[[#This Row],[Age]]&lt;=55,"46-55","56+"))))</f>
        <v>36-45</v>
      </c>
      <c r="AK1147" s="11" t="str">
        <f>IF(HR_Data[[#This Row],[MonthlyIncome]]&lt;3000,"Low",IF(HR_Data[[#This Row],[MonthlyIncome]]&lt;6000,"Medium",IF(HR_Data[[#This Row],[MonthlyIncome]]&lt;10000,"High","Very High")))</f>
        <v>Medium</v>
      </c>
      <c r="AL114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47" t="str">
        <f>IF(HR_Data[[#This Row],[TotalWorkingYears]]&lt;=5,"Junior",IF(HR_Data[[#This Row],[TotalWorkingYears]]&lt;=15,"Mid-Level","Senior"))</f>
        <v>Mid-Level</v>
      </c>
      <c r="AN1147" s="11" t="str">
        <f>IF(HR_Data[[#This Row],[PerformanceRating]]=3,"Standard","Excellent")</f>
        <v>Standard</v>
      </c>
      <c r="AO1147" s="11" t="str">
        <f>IF(HR_Data[[#This Row],[JobSatisfaction]]&lt;=2,"Low","High")</f>
        <v>High</v>
      </c>
      <c r="AP1147" s="11" t="str">
        <f>IF(AND(HR_Data[[#This Row],[OverTime]]="Yes",HR_Data[[#This Row],[JobSatisfaction]]&lt;=2,HR_Data[[#This Row],[YearsAtCompany]]&lt;=2),"High Risk","Normal")</f>
        <v>Normal</v>
      </c>
    </row>
    <row r="1148" spans="1:42" x14ac:dyDescent="0.25">
      <c r="A1148" s="6">
        <v>34</v>
      </c>
      <c r="B1148" s="4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s="11" t="str">
        <f>IF(HR_Data[[#This Row],[Age]]&lt;=25,"18-25",IF(HR_Data[[#This Row],[Age]]&lt;=35,"26-35",IF(HR_Data[[#This Row],[Age]]&lt;=45,"36-45",IF(HR_Data[[#This Row],[Age]]&lt;=55,"46-55","56+"))))</f>
        <v>26-35</v>
      </c>
      <c r="AK1148" s="11" t="str">
        <f>IF(HR_Data[[#This Row],[MonthlyIncome]]&lt;3000,"Low",IF(HR_Data[[#This Row],[MonthlyIncome]]&lt;6000,"Medium",IF(HR_Data[[#This Row],[MonthlyIncome]]&lt;10000,"High","Very High")))</f>
        <v>Medium</v>
      </c>
      <c r="AL114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48" t="str">
        <f>IF(HR_Data[[#This Row],[TotalWorkingYears]]&lt;=5,"Junior",IF(HR_Data[[#This Row],[TotalWorkingYears]]&lt;=15,"Mid-Level","Senior"))</f>
        <v>Mid-Level</v>
      </c>
      <c r="AN1148" s="11" t="str">
        <f>IF(HR_Data[[#This Row],[PerformanceRating]]=3,"Standard","Excellent")</f>
        <v>Standard</v>
      </c>
      <c r="AO1148" s="11" t="str">
        <f>IF(HR_Data[[#This Row],[JobSatisfaction]]&lt;=2,"Low","High")</f>
        <v>High</v>
      </c>
      <c r="AP1148" s="11" t="str">
        <f>IF(AND(HR_Data[[#This Row],[OverTime]]="Yes",HR_Data[[#This Row],[JobSatisfaction]]&lt;=2,HR_Data[[#This Row],[YearsAtCompany]]&lt;=2),"High Risk","Normal")</f>
        <v>Normal</v>
      </c>
    </row>
    <row r="1149" spans="1:42" x14ac:dyDescent="0.25">
      <c r="A1149" s="6">
        <v>49</v>
      </c>
      <c r="B1149" s="4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s="11" t="str">
        <f>IF(HR_Data[[#This Row],[Age]]&lt;=25,"18-25",IF(HR_Data[[#This Row],[Age]]&lt;=35,"26-35",IF(HR_Data[[#This Row],[Age]]&lt;=45,"36-45",IF(HR_Data[[#This Row],[Age]]&lt;=55,"46-55","56+"))))</f>
        <v>46-55</v>
      </c>
      <c r="AK1149" s="11" t="str">
        <f>IF(HR_Data[[#This Row],[MonthlyIncome]]&lt;3000,"Low",IF(HR_Data[[#This Row],[MonthlyIncome]]&lt;6000,"Medium",IF(HR_Data[[#This Row],[MonthlyIncome]]&lt;10000,"High","Very High")))</f>
        <v>Medium</v>
      </c>
      <c r="AL114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49" t="str">
        <f>IF(HR_Data[[#This Row],[TotalWorkingYears]]&lt;=5,"Junior",IF(HR_Data[[#This Row],[TotalWorkingYears]]&lt;=15,"Mid-Level","Senior"))</f>
        <v>Mid-Level</v>
      </c>
      <c r="AN1149" s="11" t="str">
        <f>IF(HR_Data[[#This Row],[PerformanceRating]]=3,"Standard","Excellent")</f>
        <v>Standard</v>
      </c>
      <c r="AO1149" s="11" t="str">
        <f>IF(HR_Data[[#This Row],[JobSatisfaction]]&lt;=2,"Low","High")</f>
        <v>Low</v>
      </c>
      <c r="AP1149" s="11" t="str">
        <f>IF(AND(HR_Data[[#This Row],[OverTime]]="Yes",HR_Data[[#This Row],[JobSatisfaction]]&lt;=2,HR_Data[[#This Row],[YearsAtCompany]]&lt;=2),"High Risk","Normal")</f>
        <v>Normal</v>
      </c>
    </row>
    <row r="1150" spans="1:42" x14ac:dyDescent="0.25">
      <c r="A1150" s="6">
        <v>39</v>
      </c>
      <c r="B1150" s="4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s="11" t="str">
        <f>IF(HR_Data[[#This Row],[Age]]&lt;=25,"18-25",IF(HR_Data[[#This Row],[Age]]&lt;=35,"26-35",IF(HR_Data[[#This Row],[Age]]&lt;=45,"36-45",IF(HR_Data[[#This Row],[Age]]&lt;=55,"46-55","56+"))))</f>
        <v>36-45</v>
      </c>
      <c r="AK1150" s="11" t="str">
        <f>IF(HR_Data[[#This Row],[MonthlyIncome]]&lt;3000,"Low",IF(HR_Data[[#This Row],[MonthlyIncome]]&lt;6000,"Medium",IF(HR_Data[[#This Row],[MonthlyIncome]]&lt;10000,"High","Very High")))</f>
        <v>Medium</v>
      </c>
      <c r="AL115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50" t="str">
        <f>IF(HR_Data[[#This Row],[TotalWorkingYears]]&lt;=5,"Junior",IF(HR_Data[[#This Row],[TotalWorkingYears]]&lt;=15,"Mid-Level","Senior"))</f>
        <v>Mid-Level</v>
      </c>
      <c r="AN1150" s="11" t="str">
        <f>IF(HR_Data[[#This Row],[PerformanceRating]]=3,"Standard","Excellent")</f>
        <v>Standard</v>
      </c>
      <c r="AO1150" s="11" t="str">
        <f>IF(HR_Data[[#This Row],[JobSatisfaction]]&lt;=2,"Low","High")</f>
        <v>Low</v>
      </c>
      <c r="AP1150" s="11" t="str">
        <f>IF(AND(HR_Data[[#This Row],[OverTime]]="Yes",HR_Data[[#This Row],[JobSatisfaction]]&lt;=2,HR_Data[[#This Row],[YearsAtCompany]]&lt;=2),"High Risk","Normal")</f>
        <v>Normal</v>
      </c>
    </row>
    <row r="1151" spans="1:42" x14ac:dyDescent="0.25">
      <c r="A1151" s="6">
        <v>27</v>
      </c>
      <c r="B1151" s="4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s="11" t="str">
        <f>IF(HR_Data[[#This Row],[Age]]&lt;=25,"18-25",IF(HR_Data[[#This Row],[Age]]&lt;=35,"26-35",IF(HR_Data[[#This Row],[Age]]&lt;=45,"36-45",IF(HR_Data[[#This Row],[Age]]&lt;=55,"46-55","56+"))))</f>
        <v>26-35</v>
      </c>
      <c r="AK1151" s="11" t="str">
        <f>IF(HR_Data[[#This Row],[MonthlyIncome]]&lt;3000,"Low",IF(HR_Data[[#This Row],[MonthlyIncome]]&lt;6000,"Medium",IF(HR_Data[[#This Row],[MonthlyIncome]]&lt;10000,"High","Very High")))</f>
        <v>Medium</v>
      </c>
      <c r="AL115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51" t="str">
        <f>IF(HR_Data[[#This Row],[TotalWorkingYears]]&lt;=5,"Junior",IF(HR_Data[[#This Row],[TotalWorkingYears]]&lt;=15,"Mid-Level","Senior"))</f>
        <v>Mid-Level</v>
      </c>
      <c r="AN1151" s="11" t="str">
        <f>IF(HR_Data[[#This Row],[PerformanceRating]]=3,"Standard","Excellent")</f>
        <v>Standard</v>
      </c>
      <c r="AO1151" s="11" t="str">
        <f>IF(HR_Data[[#This Row],[JobSatisfaction]]&lt;=2,"Low","High")</f>
        <v>Low</v>
      </c>
      <c r="AP1151" s="11" t="str">
        <f>IF(AND(HR_Data[[#This Row],[OverTime]]="Yes",HR_Data[[#This Row],[JobSatisfaction]]&lt;=2,HR_Data[[#This Row],[YearsAtCompany]]&lt;=2),"High Risk","Normal")</f>
        <v>Normal</v>
      </c>
    </row>
    <row r="1152" spans="1:42" x14ac:dyDescent="0.25">
      <c r="A1152" s="6">
        <v>35</v>
      </c>
      <c r="B1152" s="4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s="11" t="str">
        <f>IF(HR_Data[[#This Row],[Age]]&lt;=25,"18-25",IF(HR_Data[[#This Row],[Age]]&lt;=35,"26-35",IF(HR_Data[[#This Row],[Age]]&lt;=45,"36-45",IF(HR_Data[[#This Row],[Age]]&lt;=55,"46-55","56+"))))</f>
        <v>26-35</v>
      </c>
      <c r="AK1152" s="11" t="str">
        <f>IF(HR_Data[[#This Row],[MonthlyIncome]]&lt;3000,"Low",IF(HR_Data[[#This Row],[MonthlyIncome]]&lt;6000,"Medium",IF(HR_Data[[#This Row],[MonthlyIncome]]&lt;10000,"High","Very High")))</f>
        <v>Medium</v>
      </c>
      <c r="AL1152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152" t="str">
        <f>IF(HR_Data[[#This Row],[TotalWorkingYears]]&lt;=5,"Junior",IF(HR_Data[[#This Row],[TotalWorkingYears]]&lt;=15,"Mid-Level","Senior"))</f>
        <v>Senior</v>
      </c>
      <c r="AN1152" s="11" t="str">
        <f>IF(HR_Data[[#This Row],[PerformanceRating]]=3,"Standard","Excellent")</f>
        <v>Standard</v>
      </c>
      <c r="AO1152" s="11" t="str">
        <f>IF(HR_Data[[#This Row],[JobSatisfaction]]&lt;=2,"Low","High")</f>
        <v>Low</v>
      </c>
      <c r="AP1152" s="11" t="str">
        <f>IF(AND(HR_Data[[#This Row],[OverTime]]="Yes",HR_Data[[#This Row],[JobSatisfaction]]&lt;=2,HR_Data[[#This Row],[YearsAtCompany]]&lt;=2),"High Risk","Normal")</f>
        <v>Normal</v>
      </c>
    </row>
    <row r="1153" spans="1:42" x14ac:dyDescent="0.25">
      <c r="A1153" s="6">
        <v>28</v>
      </c>
      <c r="B1153" s="4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s="11" t="str">
        <f>IF(HR_Data[[#This Row],[Age]]&lt;=25,"18-25",IF(HR_Data[[#This Row],[Age]]&lt;=35,"26-35",IF(HR_Data[[#This Row],[Age]]&lt;=45,"36-45",IF(HR_Data[[#This Row],[Age]]&lt;=55,"46-55","56+"))))</f>
        <v>26-35</v>
      </c>
      <c r="AK1153" s="11" t="str">
        <f>IF(HR_Data[[#This Row],[MonthlyIncome]]&lt;3000,"Low",IF(HR_Data[[#This Row],[MonthlyIncome]]&lt;6000,"Medium",IF(HR_Data[[#This Row],[MonthlyIncome]]&lt;10000,"High","Very High")))</f>
        <v>Medium</v>
      </c>
      <c r="AL115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53" t="str">
        <f>IF(HR_Data[[#This Row],[TotalWorkingYears]]&lt;=5,"Junior",IF(HR_Data[[#This Row],[TotalWorkingYears]]&lt;=15,"Mid-Level","Senior"))</f>
        <v>Mid-Level</v>
      </c>
      <c r="AN1153" s="11" t="str">
        <f>IF(HR_Data[[#This Row],[PerformanceRating]]=3,"Standard","Excellent")</f>
        <v>Excellent</v>
      </c>
      <c r="AO1153" s="11" t="str">
        <f>IF(HR_Data[[#This Row],[JobSatisfaction]]&lt;=2,"Low","High")</f>
        <v>Low</v>
      </c>
      <c r="AP1153" s="11" t="str">
        <f>IF(AND(HR_Data[[#This Row],[OverTime]]="Yes",HR_Data[[#This Row],[JobSatisfaction]]&lt;=2,HR_Data[[#This Row],[YearsAtCompany]]&lt;=2),"High Risk","Normal")</f>
        <v>Normal</v>
      </c>
    </row>
    <row r="1154" spans="1:42" x14ac:dyDescent="0.25">
      <c r="A1154" s="6">
        <v>21</v>
      </c>
      <c r="B1154" s="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s="11" t="str">
        <f>IF(HR_Data[[#This Row],[Age]]&lt;=25,"18-25",IF(HR_Data[[#This Row],[Age]]&lt;=35,"26-35",IF(HR_Data[[#This Row],[Age]]&lt;=45,"36-45",IF(HR_Data[[#This Row],[Age]]&lt;=55,"46-55","56+"))))</f>
        <v>18-25</v>
      </c>
      <c r="AK1154" s="11" t="str">
        <f>IF(HR_Data[[#This Row],[MonthlyIncome]]&lt;3000,"Low",IF(HR_Data[[#This Row],[MonthlyIncome]]&lt;6000,"Medium",IF(HR_Data[[#This Row],[MonthlyIncome]]&lt;10000,"High","Very High")))</f>
        <v>Medium</v>
      </c>
      <c r="AL115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54" t="str">
        <f>IF(HR_Data[[#This Row],[TotalWorkingYears]]&lt;=5,"Junior",IF(HR_Data[[#This Row],[TotalWorkingYears]]&lt;=15,"Mid-Level","Senior"))</f>
        <v>Junior</v>
      </c>
      <c r="AN1154" s="11" t="str">
        <f>IF(HR_Data[[#This Row],[PerformanceRating]]=3,"Standard","Excellent")</f>
        <v>Standard</v>
      </c>
      <c r="AO1154" s="11" t="str">
        <f>IF(HR_Data[[#This Row],[JobSatisfaction]]&lt;=2,"Low","High")</f>
        <v>High</v>
      </c>
      <c r="AP1154" s="11" t="str">
        <f>IF(AND(HR_Data[[#This Row],[OverTime]]="Yes",HR_Data[[#This Row],[JobSatisfaction]]&lt;=2,HR_Data[[#This Row],[YearsAtCompany]]&lt;=2),"High Risk","Normal")</f>
        <v>Normal</v>
      </c>
    </row>
    <row r="1155" spans="1:42" x14ac:dyDescent="0.25">
      <c r="A1155" s="6">
        <v>18</v>
      </c>
      <c r="B1155" s="4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s="11" t="str">
        <f>IF(HR_Data[[#This Row],[Age]]&lt;=25,"18-25",IF(HR_Data[[#This Row],[Age]]&lt;=35,"26-35",IF(HR_Data[[#This Row],[Age]]&lt;=45,"36-45",IF(HR_Data[[#This Row],[Age]]&lt;=55,"46-55","56+"))))</f>
        <v>18-25</v>
      </c>
      <c r="AK1155" s="11" t="str">
        <f>IF(HR_Data[[#This Row],[MonthlyIncome]]&lt;3000,"Low",IF(HR_Data[[#This Row],[MonthlyIncome]]&lt;6000,"Medium",IF(HR_Data[[#This Row],[MonthlyIncome]]&lt;10000,"High","Very High")))</f>
        <v>Low</v>
      </c>
      <c r="AL115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55" t="str">
        <f>IF(HR_Data[[#This Row],[TotalWorkingYears]]&lt;=5,"Junior",IF(HR_Data[[#This Row],[TotalWorkingYears]]&lt;=15,"Mid-Level","Senior"))</f>
        <v>Junior</v>
      </c>
      <c r="AN1155" s="11" t="str">
        <f>IF(HR_Data[[#This Row],[PerformanceRating]]=3,"Standard","Excellent")</f>
        <v>Standard</v>
      </c>
      <c r="AO1155" s="11" t="str">
        <f>IF(HR_Data[[#This Row],[JobSatisfaction]]&lt;=2,"Low","High")</f>
        <v>High</v>
      </c>
      <c r="AP1155" s="11" t="str">
        <f>IF(AND(HR_Data[[#This Row],[OverTime]]="Yes",HR_Data[[#This Row],[JobSatisfaction]]&lt;=2,HR_Data[[#This Row],[YearsAtCompany]]&lt;=2),"High Risk","Normal")</f>
        <v>Normal</v>
      </c>
    </row>
    <row r="1156" spans="1:42" x14ac:dyDescent="0.25">
      <c r="A1156" s="6">
        <v>47</v>
      </c>
      <c r="B1156" s="4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s="11" t="str">
        <f>IF(HR_Data[[#This Row],[Age]]&lt;=25,"18-25",IF(HR_Data[[#This Row],[Age]]&lt;=35,"26-35",IF(HR_Data[[#This Row],[Age]]&lt;=45,"36-45",IF(HR_Data[[#This Row],[Age]]&lt;=55,"46-55","56+"))))</f>
        <v>46-55</v>
      </c>
      <c r="AK1156" s="11" t="str">
        <f>IF(HR_Data[[#This Row],[MonthlyIncome]]&lt;3000,"Low",IF(HR_Data[[#This Row],[MonthlyIncome]]&lt;6000,"Medium",IF(HR_Data[[#This Row],[MonthlyIncome]]&lt;10000,"High","Very High")))</f>
        <v>Very High</v>
      </c>
      <c r="AL115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56" t="str">
        <f>IF(HR_Data[[#This Row],[TotalWorkingYears]]&lt;=5,"Junior",IF(HR_Data[[#This Row],[TotalWorkingYears]]&lt;=15,"Mid-Level","Senior"))</f>
        <v>Senior</v>
      </c>
      <c r="AN1156" s="11" t="str">
        <f>IF(HR_Data[[#This Row],[PerformanceRating]]=3,"Standard","Excellent")</f>
        <v>Standard</v>
      </c>
      <c r="AO1156" s="11" t="str">
        <f>IF(HR_Data[[#This Row],[JobSatisfaction]]&lt;=2,"Low","High")</f>
        <v>High</v>
      </c>
      <c r="AP1156" s="11" t="str">
        <f>IF(AND(HR_Data[[#This Row],[OverTime]]="Yes",HR_Data[[#This Row],[JobSatisfaction]]&lt;=2,HR_Data[[#This Row],[YearsAtCompany]]&lt;=2),"High Risk","Normal")</f>
        <v>Normal</v>
      </c>
    </row>
    <row r="1157" spans="1:42" x14ac:dyDescent="0.25">
      <c r="A1157" s="6">
        <v>39</v>
      </c>
      <c r="B1157" s="4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s="11" t="str">
        <f>IF(HR_Data[[#This Row],[Age]]&lt;=25,"18-25",IF(HR_Data[[#This Row],[Age]]&lt;=35,"26-35",IF(HR_Data[[#This Row],[Age]]&lt;=45,"36-45",IF(HR_Data[[#This Row],[Age]]&lt;=55,"46-55","56+"))))</f>
        <v>36-45</v>
      </c>
      <c r="AK1157" s="11" t="str">
        <f>IF(HR_Data[[#This Row],[MonthlyIncome]]&lt;3000,"Low",IF(HR_Data[[#This Row],[MonthlyIncome]]&lt;6000,"Medium",IF(HR_Data[[#This Row],[MonthlyIncome]]&lt;10000,"High","Very High")))</f>
        <v>Medium</v>
      </c>
      <c r="AL115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57" t="str">
        <f>IF(HR_Data[[#This Row],[TotalWorkingYears]]&lt;=5,"Junior",IF(HR_Data[[#This Row],[TotalWorkingYears]]&lt;=15,"Mid-Level","Senior"))</f>
        <v>Mid-Level</v>
      </c>
      <c r="AN1157" s="11" t="str">
        <f>IF(HR_Data[[#This Row],[PerformanceRating]]=3,"Standard","Excellent")</f>
        <v>Standard</v>
      </c>
      <c r="AO1157" s="11" t="str">
        <f>IF(HR_Data[[#This Row],[JobSatisfaction]]&lt;=2,"Low","High")</f>
        <v>High</v>
      </c>
      <c r="AP1157" s="11" t="str">
        <f>IF(AND(HR_Data[[#This Row],[OverTime]]="Yes",HR_Data[[#This Row],[JobSatisfaction]]&lt;=2,HR_Data[[#This Row],[YearsAtCompany]]&lt;=2),"High Risk","Normal")</f>
        <v>Normal</v>
      </c>
    </row>
    <row r="1158" spans="1:42" x14ac:dyDescent="0.25">
      <c r="A1158" s="6">
        <v>40</v>
      </c>
      <c r="B1158" s="4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s="11" t="str">
        <f>IF(HR_Data[[#This Row],[Age]]&lt;=25,"18-25",IF(HR_Data[[#This Row],[Age]]&lt;=35,"26-35",IF(HR_Data[[#This Row],[Age]]&lt;=45,"36-45",IF(HR_Data[[#This Row],[Age]]&lt;=55,"46-55","56+"))))</f>
        <v>36-45</v>
      </c>
      <c r="AK1158" s="11" t="str">
        <f>IF(HR_Data[[#This Row],[MonthlyIncome]]&lt;3000,"Low",IF(HR_Data[[#This Row],[MonthlyIncome]]&lt;6000,"Medium",IF(HR_Data[[#This Row],[MonthlyIncome]]&lt;10000,"High","Very High")))</f>
        <v>Very High</v>
      </c>
      <c r="AL1158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158" t="str">
        <f>IF(HR_Data[[#This Row],[TotalWorkingYears]]&lt;=5,"Junior",IF(HR_Data[[#This Row],[TotalWorkingYears]]&lt;=15,"Mid-Level","Senior"))</f>
        <v>Senior</v>
      </c>
      <c r="AN1158" s="11" t="str">
        <f>IF(HR_Data[[#This Row],[PerformanceRating]]=3,"Standard","Excellent")</f>
        <v>Standard</v>
      </c>
      <c r="AO1158" s="11" t="str">
        <f>IF(HR_Data[[#This Row],[JobSatisfaction]]&lt;=2,"Low","High")</f>
        <v>High</v>
      </c>
      <c r="AP1158" s="11" t="str">
        <f>IF(AND(HR_Data[[#This Row],[OverTime]]="Yes",HR_Data[[#This Row],[JobSatisfaction]]&lt;=2,HR_Data[[#This Row],[YearsAtCompany]]&lt;=2),"High Risk","Normal")</f>
        <v>Normal</v>
      </c>
    </row>
    <row r="1159" spans="1:42" x14ac:dyDescent="0.25">
      <c r="A1159" s="6">
        <v>35</v>
      </c>
      <c r="B1159" s="4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s="11" t="str">
        <f>IF(HR_Data[[#This Row],[Age]]&lt;=25,"18-25",IF(HR_Data[[#This Row],[Age]]&lt;=35,"26-35",IF(HR_Data[[#This Row],[Age]]&lt;=45,"36-45",IF(HR_Data[[#This Row],[Age]]&lt;=55,"46-55","56+"))))</f>
        <v>26-35</v>
      </c>
      <c r="AK1159" s="11" t="str">
        <f>IF(HR_Data[[#This Row],[MonthlyIncome]]&lt;3000,"Low",IF(HR_Data[[#This Row],[MonthlyIncome]]&lt;6000,"Medium",IF(HR_Data[[#This Row],[MonthlyIncome]]&lt;10000,"High","Very High")))</f>
        <v>Medium</v>
      </c>
      <c r="AL115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159" t="str">
        <f>IF(HR_Data[[#This Row],[TotalWorkingYears]]&lt;=5,"Junior",IF(HR_Data[[#This Row],[TotalWorkingYears]]&lt;=15,"Mid-Level","Senior"))</f>
        <v>Mid-Level</v>
      </c>
      <c r="AN1159" s="11" t="str">
        <f>IF(HR_Data[[#This Row],[PerformanceRating]]=3,"Standard","Excellent")</f>
        <v>Standard</v>
      </c>
      <c r="AO1159" s="11" t="str">
        <f>IF(HR_Data[[#This Row],[JobSatisfaction]]&lt;=2,"Low","High")</f>
        <v>High</v>
      </c>
      <c r="AP1159" s="11" t="str">
        <f>IF(AND(HR_Data[[#This Row],[OverTime]]="Yes",HR_Data[[#This Row],[JobSatisfaction]]&lt;=2,HR_Data[[#This Row],[YearsAtCompany]]&lt;=2),"High Risk","Normal")</f>
        <v>Normal</v>
      </c>
    </row>
    <row r="1160" spans="1:42" x14ac:dyDescent="0.25">
      <c r="A1160" s="6">
        <v>37</v>
      </c>
      <c r="B1160" s="4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s="11" t="str">
        <f>IF(HR_Data[[#This Row],[Age]]&lt;=25,"18-25",IF(HR_Data[[#This Row],[Age]]&lt;=35,"26-35",IF(HR_Data[[#This Row],[Age]]&lt;=45,"36-45",IF(HR_Data[[#This Row],[Age]]&lt;=55,"46-55","56+"))))</f>
        <v>36-45</v>
      </c>
      <c r="AK1160" s="11" t="str">
        <f>IF(HR_Data[[#This Row],[MonthlyIncome]]&lt;3000,"Low",IF(HR_Data[[#This Row],[MonthlyIncome]]&lt;6000,"Medium",IF(HR_Data[[#This Row],[MonthlyIncome]]&lt;10000,"High","Very High")))</f>
        <v>Medium</v>
      </c>
      <c r="AL116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60" t="str">
        <f>IF(HR_Data[[#This Row],[TotalWorkingYears]]&lt;=5,"Junior",IF(HR_Data[[#This Row],[TotalWorkingYears]]&lt;=15,"Mid-Level","Senior"))</f>
        <v>Mid-Level</v>
      </c>
      <c r="AN1160" s="11" t="str">
        <f>IF(HR_Data[[#This Row],[PerformanceRating]]=3,"Standard","Excellent")</f>
        <v>Standard</v>
      </c>
      <c r="AO1160" s="11" t="str">
        <f>IF(HR_Data[[#This Row],[JobSatisfaction]]&lt;=2,"Low","High")</f>
        <v>High</v>
      </c>
      <c r="AP1160" s="11" t="str">
        <f>IF(AND(HR_Data[[#This Row],[OverTime]]="Yes",HR_Data[[#This Row],[JobSatisfaction]]&lt;=2,HR_Data[[#This Row],[YearsAtCompany]]&lt;=2),"High Risk","Normal")</f>
        <v>Normal</v>
      </c>
    </row>
    <row r="1161" spans="1:42" x14ac:dyDescent="0.25">
      <c r="A1161" s="6">
        <v>39</v>
      </c>
      <c r="B1161" s="4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s="11" t="str">
        <f>IF(HR_Data[[#This Row],[Age]]&lt;=25,"18-25",IF(HR_Data[[#This Row],[Age]]&lt;=35,"26-35",IF(HR_Data[[#This Row],[Age]]&lt;=45,"36-45",IF(HR_Data[[#This Row],[Age]]&lt;=55,"46-55","56+"))))</f>
        <v>36-45</v>
      </c>
      <c r="AK1161" s="11" t="str">
        <f>IF(HR_Data[[#This Row],[MonthlyIncome]]&lt;3000,"Low",IF(HR_Data[[#This Row],[MonthlyIncome]]&lt;6000,"Medium",IF(HR_Data[[#This Row],[MonthlyIncome]]&lt;10000,"High","Very High")))</f>
        <v>Medium</v>
      </c>
      <c r="AL116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61" t="str">
        <f>IF(HR_Data[[#This Row],[TotalWorkingYears]]&lt;=5,"Junior",IF(HR_Data[[#This Row],[TotalWorkingYears]]&lt;=15,"Mid-Level","Senior"))</f>
        <v>Mid-Level</v>
      </c>
      <c r="AN1161" s="11" t="str">
        <f>IF(HR_Data[[#This Row],[PerformanceRating]]=3,"Standard","Excellent")</f>
        <v>Standard</v>
      </c>
      <c r="AO1161" s="11" t="str">
        <f>IF(HR_Data[[#This Row],[JobSatisfaction]]&lt;=2,"Low","High")</f>
        <v>High</v>
      </c>
      <c r="AP1161" s="11" t="str">
        <f>IF(AND(HR_Data[[#This Row],[OverTime]]="Yes",HR_Data[[#This Row],[JobSatisfaction]]&lt;=2,HR_Data[[#This Row],[YearsAtCompany]]&lt;=2),"High Risk","Normal")</f>
        <v>Normal</v>
      </c>
    </row>
    <row r="1162" spans="1:42" x14ac:dyDescent="0.25">
      <c r="A1162" s="6">
        <v>45</v>
      </c>
      <c r="B1162" s="4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s="11" t="str">
        <f>IF(HR_Data[[#This Row],[Age]]&lt;=25,"18-25",IF(HR_Data[[#This Row],[Age]]&lt;=35,"26-35",IF(HR_Data[[#This Row],[Age]]&lt;=45,"36-45",IF(HR_Data[[#This Row],[Age]]&lt;=55,"46-55","56+"))))</f>
        <v>36-45</v>
      </c>
      <c r="AK1162" s="11" t="str">
        <f>IF(HR_Data[[#This Row],[MonthlyIncome]]&lt;3000,"Low",IF(HR_Data[[#This Row],[MonthlyIncome]]&lt;6000,"Medium",IF(HR_Data[[#This Row],[MonthlyIncome]]&lt;10000,"High","Very High")))</f>
        <v>Medium</v>
      </c>
      <c r="AL116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62" t="str">
        <f>IF(HR_Data[[#This Row],[TotalWorkingYears]]&lt;=5,"Junior",IF(HR_Data[[#This Row],[TotalWorkingYears]]&lt;=15,"Mid-Level","Senior"))</f>
        <v>Mid-Level</v>
      </c>
      <c r="AN1162" s="11" t="str">
        <f>IF(HR_Data[[#This Row],[PerformanceRating]]=3,"Standard","Excellent")</f>
        <v>Standard</v>
      </c>
      <c r="AO1162" s="11" t="str">
        <f>IF(HR_Data[[#This Row],[JobSatisfaction]]&lt;=2,"Low","High")</f>
        <v>High</v>
      </c>
      <c r="AP1162" s="11" t="str">
        <f>IF(AND(HR_Data[[#This Row],[OverTime]]="Yes",HR_Data[[#This Row],[JobSatisfaction]]&lt;=2,HR_Data[[#This Row],[YearsAtCompany]]&lt;=2),"High Risk","Normal")</f>
        <v>Normal</v>
      </c>
    </row>
    <row r="1163" spans="1:42" x14ac:dyDescent="0.25">
      <c r="A1163" s="6">
        <v>38</v>
      </c>
      <c r="B1163" s="4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s="11" t="str">
        <f>IF(HR_Data[[#This Row],[Age]]&lt;=25,"18-25",IF(HR_Data[[#This Row],[Age]]&lt;=35,"26-35",IF(HR_Data[[#This Row],[Age]]&lt;=45,"36-45",IF(HR_Data[[#This Row],[Age]]&lt;=55,"46-55","56+"))))</f>
        <v>36-45</v>
      </c>
      <c r="AK1163" s="11" t="str">
        <f>IF(HR_Data[[#This Row],[MonthlyIncome]]&lt;3000,"Low",IF(HR_Data[[#This Row],[MonthlyIncome]]&lt;6000,"Medium",IF(HR_Data[[#This Row],[MonthlyIncome]]&lt;10000,"High","Very High")))</f>
        <v>High</v>
      </c>
      <c r="AL116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63" t="str">
        <f>IF(HR_Data[[#This Row],[TotalWorkingYears]]&lt;=5,"Junior",IF(HR_Data[[#This Row],[TotalWorkingYears]]&lt;=15,"Mid-Level","Senior"))</f>
        <v>Mid-Level</v>
      </c>
      <c r="AN1163" s="11" t="str">
        <f>IF(HR_Data[[#This Row],[PerformanceRating]]=3,"Standard","Excellent")</f>
        <v>Standard</v>
      </c>
      <c r="AO1163" s="11" t="str">
        <f>IF(HR_Data[[#This Row],[JobSatisfaction]]&lt;=2,"Low","High")</f>
        <v>High</v>
      </c>
      <c r="AP1163" s="11" t="str">
        <f>IF(AND(HR_Data[[#This Row],[OverTime]]="Yes",HR_Data[[#This Row],[JobSatisfaction]]&lt;=2,HR_Data[[#This Row],[YearsAtCompany]]&lt;=2),"High Risk","Normal")</f>
        <v>Normal</v>
      </c>
    </row>
    <row r="1164" spans="1:42" x14ac:dyDescent="0.25">
      <c r="A1164" s="6">
        <v>35</v>
      </c>
      <c r="B1164" s="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s="11" t="str">
        <f>IF(HR_Data[[#This Row],[Age]]&lt;=25,"18-25",IF(HR_Data[[#This Row],[Age]]&lt;=35,"26-35",IF(HR_Data[[#This Row],[Age]]&lt;=45,"36-45",IF(HR_Data[[#This Row],[Age]]&lt;=55,"46-55","56+"))))</f>
        <v>26-35</v>
      </c>
      <c r="AK1164" s="11" t="str">
        <f>IF(HR_Data[[#This Row],[MonthlyIncome]]&lt;3000,"Low",IF(HR_Data[[#This Row],[MonthlyIncome]]&lt;6000,"Medium",IF(HR_Data[[#This Row],[MonthlyIncome]]&lt;10000,"High","Very High")))</f>
        <v>Very High</v>
      </c>
      <c r="AL1164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164" t="str">
        <f>IF(HR_Data[[#This Row],[TotalWorkingYears]]&lt;=5,"Junior",IF(HR_Data[[#This Row],[TotalWorkingYears]]&lt;=15,"Mid-Level","Senior"))</f>
        <v>Mid-Level</v>
      </c>
      <c r="AN1164" s="11" t="str">
        <f>IF(HR_Data[[#This Row],[PerformanceRating]]=3,"Standard","Excellent")</f>
        <v>Standard</v>
      </c>
      <c r="AO1164" s="11" t="str">
        <f>IF(HR_Data[[#This Row],[JobSatisfaction]]&lt;=2,"Low","High")</f>
        <v>Low</v>
      </c>
      <c r="AP1164" s="11" t="str">
        <f>IF(AND(HR_Data[[#This Row],[OverTime]]="Yes",HR_Data[[#This Row],[JobSatisfaction]]&lt;=2,HR_Data[[#This Row],[YearsAtCompany]]&lt;=2),"High Risk","Normal")</f>
        <v>Normal</v>
      </c>
    </row>
    <row r="1165" spans="1:42" x14ac:dyDescent="0.25">
      <c r="A1165" s="6">
        <v>37</v>
      </c>
      <c r="B1165" s="4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s="11" t="str">
        <f>IF(HR_Data[[#This Row],[Age]]&lt;=25,"18-25",IF(HR_Data[[#This Row],[Age]]&lt;=35,"26-35",IF(HR_Data[[#This Row],[Age]]&lt;=45,"36-45",IF(HR_Data[[#This Row],[Age]]&lt;=55,"46-55","56+"))))</f>
        <v>36-45</v>
      </c>
      <c r="AK1165" s="11" t="str">
        <f>IF(HR_Data[[#This Row],[MonthlyIncome]]&lt;3000,"Low",IF(HR_Data[[#This Row],[MonthlyIncome]]&lt;6000,"Medium",IF(HR_Data[[#This Row],[MonthlyIncome]]&lt;10000,"High","Very High")))</f>
        <v>Medium</v>
      </c>
      <c r="AL116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65" t="str">
        <f>IF(HR_Data[[#This Row],[TotalWorkingYears]]&lt;=5,"Junior",IF(HR_Data[[#This Row],[TotalWorkingYears]]&lt;=15,"Mid-Level","Senior"))</f>
        <v>Mid-Level</v>
      </c>
      <c r="AN1165" s="11" t="str">
        <f>IF(HR_Data[[#This Row],[PerformanceRating]]=3,"Standard","Excellent")</f>
        <v>Standard</v>
      </c>
      <c r="AO1165" s="11" t="str">
        <f>IF(HR_Data[[#This Row],[JobSatisfaction]]&lt;=2,"Low","High")</f>
        <v>Low</v>
      </c>
      <c r="AP1165" s="11" t="str">
        <f>IF(AND(HR_Data[[#This Row],[OverTime]]="Yes",HR_Data[[#This Row],[JobSatisfaction]]&lt;=2,HR_Data[[#This Row],[YearsAtCompany]]&lt;=2),"High Risk","Normal")</f>
        <v>Normal</v>
      </c>
    </row>
    <row r="1166" spans="1:42" x14ac:dyDescent="0.25">
      <c r="A1166" s="6">
        <v>40</v>
      </c>
      <c r="B1166" s="4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s="11" t="str">
        <f>IF(HR_Data[[#This Row],[Age]]&lt;=25,"18-25",IF(HR_Data[[#This Row],[Age]]&lt;=35,"26-35",IF(HR_Data[[#This Row],[Age]]&lt;=45,"36-45",IF(HR_Data[[#This Row],[Age]]&lt;=55,"46-55","56+"))))</f>
        <v>36-45</v>
      </c>
      <c r="AK1166" s="11" t="str">
        <f>IF(HR_Data[[#This Row],[MonthlyIncome]]&lt;3000,"Low",IF(HR_Data[[#This Row],[MonthlyIncome]]&lt;6000,"Medium",IF(HR_Data[[#This Row],[MonthlyIncome]]&lt;10000,"High","Very High")))</f>
        <v>High</v>
      </c>
      <c r="AL116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66" t="str">
        <f>IF(HR_Data[[#This Row],[TotalWorkingYears]]&lt;=5,"Junior",IF(HR_Data[[#This Row],[TotalWorkingYears]]&lt;=15,"Mid-Level","Senior"))</f>
        <v>Senior</v>
      </c>
      <c r="AN1166" s="11" t="str">
        <f>IF(HR_Data[[#This Row],[PerformanceRating]]=3,"Standard","Excellent")</f>
        <v>Standard</v>
      </c>
      <c r="AO1166" s="11" t="str">
        <f>IF(HR_Data[[#This Row],[JobSatisfaction]]&lt;=2,"Low","High")</f>
        <v>High</v>
      </c>
      <c r="AP1166" s="11" t="str">
        <f>IF(AND(HR_Data[[#This Row],[OverTime]]="Yes",HR_Data[[#This Row],[JobSatisfaction]]&lt;=2,HR_Data[[#This Row],[YearsAtCompany]]&lt;=2),"High Risk","Normal")</f>
        <v>Normal</v>
      </c>
    </row>
    <row r="1167" spans="1:42" x14ac:dyDescent="0.25">
      <c r="A1167" s="6">
        <v>44</v>
      </c>
      <c r="B1167" s="4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s="11" t="str">
        <f>IF(HR_Data[[#This Row],[Age]]&lt;=25,"18-25",IF(HR_Data[[#This Row],[Age]]&lt;=35,"26-35",IF(HR_Data[[#This Row],[Age]]&lt;=45,"36-45",IF(HR_Data[[#This Row],[Age]]&lt;=55,"46-55","56+"))))</f>
        <v>36-45</v>
      </c>
      <c r="AK1167" s="11" t="str">
        <f>IF(HR_Data[[#This Row],[MonthlyIncome]]&lt;3000,"Low",IF(HR_Data[[#This Row],[MonthlyIncome]]&lt;6000,"Medium",IF(HR_Data[[#This Row],[MonthlyIncome]]&lt;10000,"High","Very High")))</f>
        <v>Medium</v>
      </c>
      <c r="AL116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67" t="str">
        <f>IF(HR_Data[[#This Row],[TotalWorkingYears]]&lt;=5,"Junior",IF(HR_Data[[#This Row],[TotalWorkingYears]]&lt;=15,"Mid-Level","Senior"))</f>
        <v>Mid-Level</v>
      </c>
      <c r="AN1167" s="11" t="str">
        <f>IF(HR_Data[[#This Row],[PerformanceRating]]=3,"Standard","Excellent")</f>
        <v>Standard</v>
      </c>
      <c r="AO1167" s="11" t="str">
        <f>IF(HR_Data[[#This Row],[JobSatisfaction]]&lt;=2,"Low","High")</f>
        <v>High</v>
      </c>
      <c r="AP1167" s="11" t="str">
        <f>IF(AND(HR_Data[[#This Row],[OverTime]]="Yes",HR_Data[[#This Row],[JobSatisfaction]]&lt;=2,HR_Data[[#This Row],[YearsAtCompany]]&lt;=2),"High Risk","Normal")</f>
        <v>Normal</v>
      </c>
    </row>
    <row r="1168" spans="1:42" x14ac:dyDescent="0.25">
      <c r="A1168" s="6">
        <v>48</v>
      </c>
      <c r="B1168" s="4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s="11" t="str">
        <f>IF(HR_Data[[#This Row],[Age]]&lt;=25,"18-25",IF(HR_Data[[#This Row],[Age]]&lt;=35,"26-35",IF(HR_Data[[#This Row],[Age]]&lt;=45,"36-45",IF(HR_Data[[#This Row],[Age]]&lt;=55,"46-55","56+"))))</f>
        <v>46-55</v>
      </c>
      <c r="AK1168" s="11" t="str">
        <f>IF(HR_Data[[#This Row],[MonthlyIncome]]&lt;3000,"Low",IF(HR_Data[[#This Row],[MonthlyIncome]]&lt;6000,"Medium",IF(HR_Data[[#This Row],[MonthlyIncome]]&lt;10000,"High","Very High")))</f>
        <v>Very High</v>
      </c>
      <c r="AL116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68" t="str">
        <f>IF(HR_Data[[#This Row],[TotalWorkingYears]]&lt;=5,"Junior",IF(HR_Data[[#This Row],[TotalWorkingYears]]&lt;=15,"Mid-Level","Senior"))</f>
        <v>Senior</v>
      </c>
      <c r="AN1168" s="11" t="str">
        <f>IF(HR_Data[[#This Row],[PerformanceRating]]=3,"Standard","Excellent")</f>
        <v>Excellent</v>
      </c>
      <c r="AO1168" s="11" t="str">
        <f>IF(HR_Data[[#This Row],[JobSatisfaction]]&lt;=2,"Low","High")</f>
        <v>High</v>
      </c>
      <c r="AP1168" s="11" t="str">
        <f>IF(AND(HR_Data[[#This Row],[OverTime]]="Yes",HR_Data[[#This Row],[JobSatisfaction]]&lt;=2,HR_Data[[#This Row],[YearsAtCompany]]&lt;=2),"High Risk","Normal")</f>
        <v>Normal</v>
      </c>
    </row>
    <row r="1169" spans="1:42" x14ac:dyDescent="0.25">
      <c r="A1169" s="6">
        <v>35</v>
      </c>
      <c r="B1169" s="4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s="11" t="str">
        <f>IF(HR_Data[[#This Row],[Age]]&lt;=25,"18-25",IF(HR_Data[[#This Row],[Age]]&lt;=35,"26-35",IF(HR_Data[[#This Row],[Age]]&lt;=45,"36-45",IF(HR_Data[[#This Row],[Age]]&lt;=55,"46-55","56+"))))</f>
        <v>26-35</v>
      </c>
      <c r="AK1169" s="11" t="str">
        <f>IF(HR_Data[[#This Row],[MonthlyIncome]]&lt;3000,"Low",IF(HR_Data[[#This Row],[MonthlyIncome]]&lt;6000,"Medium",IF(HR_Data[[#This Row],[MonthlyIncome]]&lt;10000,"High","Very High")))</f>
        <v>Medium</v>
      </c>
      <c r="AL116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69" t="str">
        <f>IF(HR_Data[[#This Row],[TotalWorkingYears]]&lt;=5,"Junior",IF(HR_Data[[#This Row],[TotalWorkingYears]]&lt;=15,"Mid-Level","Senior"))</f>
        <v>Mid-Level</v>
      </c>
      <c r="AN1169" s="11" t="str">
        <f>IF(HR_Data[[#This Row],[PerformanceRating]]=3,"Standard","Excellent")</f>
        <v>Standard</v>
      </c>
      <c r="AO1169" s="11" t="str">
        <f>IF(HR_Data[[#This Row],[JobSatisfaction]]&lt;=2,"Low","High")</f>
        <v>High</v>
      </c>
      <c r="AP1169" s="11" t="str">
        <f>IF(AND(HR_Data[[#This Row],[OverTime]]="Yes",HR_Data[[#This Row],[JobSatisfaction]]&lt;=2,HR_Data[[#This Row],[YearsAtCompany]]&lt;=2),"High Risk","Normal")</f>
        <v>Normal</v>
      </c>
    </row>
    <row r="1170" spans="1:42" x14ac:dyDescent="0.25">
      <c r="A1170" s="6">
        <v>24</v>
      </c>
      <c r="B1170" s="4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s="11" t="str">
        <f>IF(HR_Data[[#This Row],[Age]]&lt;=25,"18-25",IF(HR_Data[[#This Row],[Age]]&lt;=35,"26-35",IF(HR_Data[[#This Row],[Age]]&lt;=45,"36-45",IF(HR_Data[[#This Row],[Age]]&lt;=55,"46-55","56+"))))</f>
        <v>18-25</v>
      </c>
      <c r="AK1170" s="11" t="str">
        <f>IF(HR_Data[[#This Row],[MonthlyIncome]]&lt;3000,"Low",IF(HR_Data[[#This Row],[MonthlyIncome]]&lt;6000,"Medium",IF(HR_Data[[#This Row],[MonthlyIncome]]&lt;10000,"High","Very High")))</f>
        <v>Medium</v>
      </c>
      <c r="AL117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70" t="str">
        <f>IF(HR_Data[[#This Row],[TotalWorkingYears]]&lt;=5,"Junior",IF(HR_Data[[#This Row],[TotalWorkingYears]]&lt;=15,"Mid-Level","Senior"))</f>
        <v>Mid-Level</v>
      </c>
      <c r="AN1170" s="11" t="str">
        <f>IF(HR_Data[[#This Row],[PerformanceRating]]=3,"Standard","Excellent")</f>
        <v>Standard</v>
      </c>
      <c r="AO1170" s="11" t="str">
        <f>IF(HR_Data[[#This Row],[JobSatisfaction]]&lt;=2,"Low","High")</f>
        <v>High</v>
      </c>
      <c r="AP1170" s="11" t="str">
        <f>IF(AND(HR_Data[[#This Row],[OverTime]]="Yes",HR_Data[[#This Row],[JobSatisfaction]]&lt;=2,HR_Data[[#This Row],[YearsAtCompany]]&lt;=2),"High Risk","Normal")</f>
        <v>Normal</v>
      </c>
    </row>
    <row r="1171" spans="1:42" x14ac:dyDescent="0.25">
      <c r="A1171" s="6">
        <v>27</v>
      </c>
      <c r="B1171" s="4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s="11" t="str">
        <f>IF(HR_Data[[#This Row],[Age]]&lt;=25,"18-25",IF(HR_Data[[#This Row],[Age]]&lt;=35,"26-35",IF(HR_Data[[#This Row],[Age]]&lt;=45,"36-45",IF(HR_Data[[#This Row],[Age]]&lt;=55,"46-55","56+"))))</f>
        <v>26-35</v>
      </c>
      <c r="AK1171" s="11" t="str">
        <f>IF(HR_Data[[#This Row],[MonthlyIncome]]&lt;3000,"Low",IF(HR_Data[[#This Row],[MonthlyIncome]]&lt;6000,"Medium",IF(HR_Data[[#This Row],[MonthlyIncome]]&lt;10000,"High","Very High")))</f>
        <v>Medium</v>
      </c>
      <c r="AL117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71" t="str">
        <f>IF(HR_Data[[#This Row],[TotalWorkingYears]]&lt;=5,"Junior",IF(HR_Data[[#This Row],[TotalWorkingYears]]&lt;=15,"Mid-Level","Senior"))</f>
        <v>Junior</v>
      </c>
      <c r="AN1171" s="11" t="str">
        <f>IF(HR_Data[[#This Row],[PerformanceRating]]=3,"Standard","Excellent")</f>
        <v>Standard</v>
      </c>
      <c r="AO1171" s="11" t="str">
        <f>IF(HR_Data[[#This Row],[JobSatisfaction]]&lt;=2,"Low","High")</f>
        <v>High</v>
      </c>
      <c r="AP1171" s="11" t="str">
        <f>IF(AND(HR_Data[[#This Row],[OverTime]]="Yes",HR_Data[[#This Row],[JobSatisfaction]]&lt;=2,HR_Data[[#This Row],[YearsAtCompany]]&lt;=2),"High Risk","Normal")</f>
        <v>Normal</v>
      </c>
    </row>
    <row r="1172" spans="1:42" x14ac:dyDescent="0.25">
      <c r="A1172" s="6">
        <v>27</v>
      </c>
      <c r="B1172" s="4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s="11" t="str">
        <f>IF(HR_Data[[#This Row],[Age]]&lt;=25,"18-25",IF(HR_Data[[#This Row],[Age]]&lt;=35,"26-35",IF(HR_Data[[#This Row],[Age]]&lt;=45,"36-45",IF(HR_Data[[#This Row],[Age]]&lt;=55,"46-55","56+"))))</f>
        <v>26-35</v>
      </c>
      <c r="AK1172" s="11" t="str">
        <f>IF(HR_Data[[#This Row],[MonthlyIncome]]&lt;3000,"Low",IF(HR_Data[[#This Row],[MonthlyIncome]]&lt;6000,"Medium",IF(HR_Data[[#This Row],[MonthlyIncome]]&lt;10000,"High","Very High")))</f>
        <v>Low</v>
      </c>
      <c r="AL117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72" t="str">
        <f>IF(HR_Data[[#This Row],[TotalWorkingYears]]&lt;=5,"Junior",IF(HR_Data[[#This Row],[TotalWorkingYears]]&lt;=15,"Mid-Level","Senior"))</f>
        <v>Mid-Level</v>
      </c>
      <c r="AN1172" s="11" t="str">
        <f>IF(HR_Data[[#This Row],[PerformanceRating]]=3,"Standard","Excellent")</f>
        <v>Standard</v>
      </c>
      <c r="AO1172" s="11" t="str">
        <f>IF(HR_Data[[#This Row],[JobSatisfaction]]&lt;=2,"Low","High")</f>
        <v>High</v>
      </c>
      <c r="AP1172" s="11" t="str">
        <f>IF(AND(HR_Data[[#This Row],[OverTime]]="Yes",HR_Data[[#This Row],[JobSatisfaction]]&lt;=2,HR_Data[[#This Row],[YearsAtCompany]]&lt;=2),"High Risk","Normal")</f>
        <v>Normal</v>
      </c>
    </row>
    <row r="1173" spans="1:42" x14ac:dyDescent="0.25">
      <c r="A1173" s="6">
        <v>40</v>
      </c>
      <c r="B1173" s="4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s="11" t="str">
        <f>IF(HR_Data[[#This Row],[Age]]&lt;=25,"18-25",IF(HR_Data[[#This Row],[Age]]&lt;=35,"26-35",IF(HR_Data[[#This Row],[Age]]&lt;=45,"36-45",IF(HR_Data[[#This Row],[Age]]&lt;=55,"46-55","56+"))))</f>
        <v>36-45</v>
      </c>
      <c r="AK1173" s="11" t="str">
        <f>IF(HR_Data[[#This Row],[MonthlyIncome]]&lt;3000,"Low",IF(HR_Data[[#This Row],[MonthlyIncome]]&lt;6000,"Medium",IF(HR_Data[[#This Row],[MonthlyIncome]]&lt;10000,"High","Very High")))</f>
        <v>Low</v>
      </c>
      <c r="AL117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73" t="str">
        <f>IF(HR_Data[[#This Row],[TotalWorkingYears]]&lt;=5,"Junior",IF(HR_Data[[#This Row],[TotalWorkingYears]]&lt;=15,"Mid-Level","Senior"))</f>
        <v>Mid-Level</v>
      </c>
      <c r="AN1173" s="11" t="str">
        <f>IF(HR_Data[[#This Row],[PerformanceRating]]=3,"Standard","Excellent")</f>
        <v>Standard</v>
      </c>
      <c r="AO1173" s="11" t="str">
        <f>IF(HR_Data[[#This Row],[JobSatisfaction]]&lt;=2,"Low","High")</f>
        <v>Low</v>
      </c>
      <c r="AP1173" s="11" t="str">
        <f>IF(AND(HR_Data[[#This Row],[OverTime]]="Yes",HR_Data[[#This Row],[JobSatisfaction]]&lt;=2,HR_Data[[#This Row],[YearsAtCompany]]&lt;=2),"High Risk","Normal")</f>
        <v>Normal</v>
      </c>
    </row>
    <row r="1174" spans="1:42" x14ac:dyDescent="0.25">
      <c r="A1174" s="6">
        <v>29</v>
      </c>
      <c r="B1174" s="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s="11" t="str">
        <f>IF(HR_Data[[#This Row],[Age]]&lt;=25,"18-25",IF(HR_Data[[#This Row],[Age]]&lt;=35,"26-35",IF(HR_Data[[#This Row],[Age]]&lt;=45,"36-45",IF(HR_Data[[#This Row],[Age]]&lt;=55,"46-55","56+"))))</f>
        <v>26-35</v>
      </c>
      <c r="AK1174" s="11" t="str">
        <f>IF(HR_Data[[#This Row],[MonthlyIncome]]&lt;3000,"Low",IF(HR_Data[[#This Row],[MonthlyIncome]]&lt;6000,"Medium",IF(HR_Data[[#This Row],[MonthlyIncome]]&lt;10000,"High","Very High")))</f>
        <v>Medium</v>
      </c>
      <c r="AL117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74" t="str">
        <f>IF(HR_Data[[#This Row],[TotalWorkingYears]]&lt;=5,"Junior",IF(HR_Data[[#This Row],[TotalWorkingYears]]&lt;=15,"Mid-Level","Senior"))</f>
        <v>Mid-Level</v>
      </c>
      <c r="AN1174" s="11" t="str">
        <f>IF(HR_Data[[#This Row],[PerformanceRating]]=3,"Standard","Excellent")</f>
        <v>Standard</v>
      </c>
      <c r="AO1174" s="11" t="str">
        <f>IF(HR_Data[[#This Row],[JobSatisfaction]]&lt;=2,"Low","High")</f>
        <v>High</v>
      </c>
      <c r="AP1174" s="11" t="str">
        <f>IF(AND(HR_Data[[#This Row],[OverTime]]="Yes",HR_Data[[#This Row],[JobSatisfaction]]&lt;=2,HR_Data[[#This Row],[YearsAtCompany]]&lt;=2),"High Risk","Normal")</f>
        <v>Normal</v>
      </c>
    </row>
    <row r="1175" spans="1:42" x14ac:dyDescent="0.25">
      <c r="A1175" s="6">
        <v>36</v>
      </c>
      <c r="B1175" s="4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s="11" t="str">
        <f>IF(HR_Data[[#This Row],[Age]]&lt;=25,"18-25",IF(HR_Data[[#This Row],[Age]]&lt;=35,"26-35",IF(HR_Data[[#This Row],[Age]]&lt;=45,"36-45",IF(HR_Data[[#This Row],[Age]]&lt;=55,"46-55","56+"))))</f>
        <v>36-45</v>
      </c>
      <c r="AK1175" s="11" t="str">
        <f>IF(HR_Data[[#This Row],[MonthlyIncome]]&lt;3000,"Low",IF(HR_Data[[#This Row],[MonthlyIncome]]&lt;6000,"Medium",IF(HR_Data[[#This Row],[MonthlyIncome]]&lt;10000,"High","Very High")))</f>
        <v>High</v>
      </c>
      <c r="AL117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75" t="str">
        <f>IF(HR_Data[[#This Row],[TotalWorkingYears]]&lt;=5,"Junior",IF(HR_Data[[#This Row],[TotalWorkingYears]]&lt;=15,"Mid-Level","Senior"))</f>
        <v>Mid-Level</v>
      </c>
      <c r="AN1175" s="11" t="str">
        <f>IF(HR_Data[[#This Row],[PerformanceRating]]=3,"Standard","Excellent")</f>
        <v>Standard</v>
      </c>
      <c r="AO1175" s="11" t="str">
        <f>IF(HR_Data[[#This Row],[JobSatisfaction]]&lt;=2,"Low","High")</f>
        <v>Low</v>
      </c>
      <c r="AP1175" s="11" t="str">
        <f>IF(AND(HR_Data[[#This Row],[OverTime]]="Yes",HR_Data[[#This Row],[JobSatisfaction]]&lt;=2,HR_Data[[#This Row],[YearsAtCompany]]&lt;=2),"High Risk","Normal")</f>
        <v>Normal</v>
      </c>
    </row>
    <row r="1176" spans="1:42" x14ac:dyDescent="0.25">
      <c r="A1176" s="6">
        <v>25</v>
      </c>
      <c r="B1176" s="4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s="11" t="str">
        <f>IF(HR_Data[[#This Row],[Age]]&lt;=25,"18-25",IF(HR_Data[[#This Row],[Age]]&lt;=35,"26-35",IF(HR_Data[[#This Row],[Age]]&lt;=45,"36-45",IF(HR_Data[[#This Row],[Age]]&lt;=55,"46-55","56+"))))</f>
        <v>18-25</v>
      </c>
      <c r="AK1176" s="11" t="str">
        <f>IF(HR_Data[[#This Row],[MonthlyIncome]]&lt;3000,"Low",IF(HR_Data[[#This Row],[MonthlyIncome]]&lt;6000,"Medium",IF(HR_Data[[#This Row],[MonthlyIncome]]&lt;10000,"High","Very High")))</f>
        <v>Medium</v>
      </c>
      <c r="AL117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76" t="str">
        <f>IF(HR_Data[[#This Row],[TotalWorkingYears]]&lt;=5,"Junior",IF(HR_Data[[#This Row],[TotalWorkingYears]]&lt;=15,"Mid-Level","Senior"))</f>
        <v>Mid-Level</v>
      </c>
      <c r="AN1176" s="11" t="str">
        <f>IF(HR_Data[[#This Row],[PerformanceRating]]=3,"Standard","Excellent")</f>
        <v>Standard</v>
      </c>
      <c r="AO1176" s="11" t="str">
        <f>IF(HR_Data[[#This Row],[JobSatisfaction]]&lt;=2,"Low","High")</f>
        <v>High</v>
      </c>
      <c r="AP1176" s="11" t="str">
        <f>IF(AND(HR_Data[[#This Row],[OverTime]]="Yes",HR_Data[[#This Row],[JobSatisfaction]]&lt;=2,HR_Data[[#This Row],[YearsAtCompany]]&lt;=2),"High Risk","Normal")</f>
        <v>Normal</v>
      </c>
    </row>
    <row r="1177" spans="1:42" x14ac:dyDescent="0.25">
      <c r="A1177" s="6">
        <v>39</v>
      </c>
      <c r="B1177" s="4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s="11" t="str">
        <f>IF(HR_Data[[#This Row],[Age]]&lt;=25,"18-25",IF(HR_Data[[#This Row],[Age]]&lt;=35,"26-35",IF(HR_Data[[#This Row],[Age]]&lt;=45,"36-45",IF(HR_Data[[#This Row],[Age]]&lt;=55,"46-55","56+"))))</f>
        <v>36-45</v>
      </c>
      <c r="AK1177" s="11" t="str">
        <f>IF(HR_Data[[#This Row],[MonthlyIncome]]&lt;3000,"Low",IF(HR_Data[[#This Row],[MonthlyIncome]]&lt;6000,"Medium",IF(HR_Data[[#This Row],[MonthlyIncome]]&lt;10000,"High","Very High")))</f>
        <v>Medium</v>
      </c>
      <c r="AL117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77" t="str">
        <f>IF(HR_Data[[#This Row],[TotalWorkingYears]]&lt;=5,"Junior",IF(HR_Data[[#This Row],[TotalWorkingYears]]&lt;=15,"Mid-Level","Senior"))</f>
        <v>Mid-Level</v>
      </c>
      <c r="AN1177" s="11" t="str">
        <f>IF(HR_Data[[#This Row],[PerformanceRating]]=3,"Standard","Excellent")</f>
        <v>Excellent</v>
      </c>
      <c r="AO1177" s="11" t="str">
        <f>IF(HR_Data[[#This Row],[JobSatisfaction]]&lt;=2,"Low","High")</f>
        <v>Low</v>
      </c>
      <c r="AP1177" s="11" t="str">
        <f>IF(AND(HR_Data[[#This Row],[OverTime]]="Yes",HR_Data[[#This Row],[JobSatisfaction]]&lt;=2,HR_Data[[#This Row],[YearsAtCompany]]&lt;=2),"High Risk","Normal")</f>
        <v>Normal</v>
      </c>
    </row>
    <row r="1178" spans="1:42" x14ac:dyDescent="0.25">
      <c r="A1178" s="6">
        <v>49</v>
      </c>
      <c r="B1178" s="4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s="11" t="str">
        <f>IF(HR_Data[[#This Row],[Age]]&lt;=25,"18-25",IF(HR_Data[[#This Row],[Age]]&lt;=35,"26-35",IF(HR_Data[[#This Row],[Age]]&lt;=45,"36-45",IF(HR_Data[[#This Row],[Age]]&lt;=55,"46-55","56+"))))</f>
        <v>46-55</v>
      </c>
      <c r="AK1178" s="11" t="str">
        <f>IF(HR_Data[[#This Row],[MonthlyIncome]]&lt;3000,"Low",IF(HR_Data[[#This Row],[MonthlyIncome]]&lt;6000,"Medium",IF(HR_Data[[#This Row],[MonthlyIncome]]&lt;10000,"High","Very High")))</f>
        <v>Very High</v>
      </c>
      <c r="AL117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78" t="str">
        <f>IF(HR_Data[[#This Row],[TotalWorkingYears]]&lt;=5,"Junior",IF(HR_Data[[#This Row],[TotalWorkingYears]]&lt;=15,"Mid-Level","Senior"))</f>
        <v>Senior</v>
      </c>
      <c r="AN1178" s="11" t="str">
        <f>IF(HR_Data[[#This Row],[PerformanceRating]]=3,"Standard","Excellent")</f>
        <v>Standard</v>
      </c>
      <c r="AO1178" s="11" t="str">
        <f>IF(HR_Data[[#This Row],[JobSatisfaction]]&lt;=2,"Low","High")</f>
        <v>Low</v>
      </c>
      <c r="AP1178" s="11" t="str">
        <f>IF(AND(HR_Data[[#This Row],[OverTime]]="Yes",HR_Data[[#This Row],[JobSatisfaction]]&lt;=2,HR_Data[[#This Row],[YearsAtCompany]]&lt;=2),"High Risk","Normal")</f>
        <v>Normal</v>
      </c>
    </row>
    <row r="1179" spans="1:42" x14ac:dyDescent="0.25">
      <c r="A1179" s="6">
        <v>50</v>
      </c>
      <c r="B1179" s="4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s="11" t="str">
        <f>IF(HR_Data[[#This Row],[Age]]&lt;=25,"18-25",IF(HR_Data[[#This Row],[Age]]&lt;=35,"26-35",IF(HR_Data[[#This Row],[Age]]&lt;=45,"36-45",IF(HR_Data[[#This Row],[Age]]&lt;=55,"46-55","56+"))))</f>
        <v>46-55</v>
      </c>
      <c r="AK1179" s="11" t="str">
        <f>IF(HR_Data[[#This Row],[MonthlyIncome]]&lt;3000,"Low",IF(HR_Data[[#This Row],[MonthlyIncome]]&lt;6000,"Medium",IF(HR_Data[[#This Row],[MonthlyIncome]]&lt;10000,"High","Very High")))</f>
        <v>Very High</v>
      </c>
      <c r="AL117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179" t="str">
        <f>IF(HR_Data[[#This Row],[TotalWorkingYears]]&lt;=5,"Junior",IF(HR_Data[[#This Row],[TotalWorkingYears]]&lt;=15,"Mid-Level","Senior"))</f>
        <v>Senior</v>
      </c>
      <c r="AN1179" s="11" t="str">
        <f>IF(HR_Data[[#This Row],[PerformanceRating]]=3,"Standard","Excellent")</f>
        <v>Standard</v>
      </c>
      <c r="AO1179" s="11" t="str">
        <f>IF(HR_Data[[#This Row],[JobSatisfaction]]&lt;=2,"Low","High")</f>
        <v>Low</v>
      </c>
      <c r="AP1179" s="11" t="str">
        <f>IF(AND(HR_Data[[#This Row],[OverTime]]="Yes",HR_Data[[#This Row],[JobSatisfaction]]&lt;=2,HR_Data[[#This Row],[YearsAtCompany]]&lt;=2),"High Risk","Normal")</f>
        <v>Normal</v>
      </c>
    </row>
    <row r="1180" spans="1:42" x14ac:dyDescent="0.25">
      <c r="A1180" s="6">
        <v>20</v>
      </c>
      <c r="B1180" s="4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s="11" t="str">
        <f>IF(HR_Data[[#This Row],[Age]]&lt;=25,"18-25",IF(HR_Data[[#This Row],[Age]]&lt;=35,"26-35",IF(HR_Data[[#This Row],[Age]]&lt;=45,"36-45",IF(HR_Data[[#This Row],[Age]]&lt;=55,"46-55","56+"))))</f>
        <v>18-25</v>
      </c>
      <c r="AK1180" s="11" t="str">
        <f>IF(HR_Data[[#This Row],[MonthlyIncome]]&lt;3000,"Low",IF(HR_Data[[#This Row],[MonthlyIncome]]&lt;6000,"Medium",IF(HR_Data[[#This Row],[MonthlyIncome]]&lt;10000,"High","Very High")))</f>
        <v>Low</v>
      </c>
      <c r="AL118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80" t="str">
        <f>IF(HR_Data[[#This Row],[TotalWorkingYears]]&lt;=5,"Junior",IF(HR_Data[[#This Row],[TotalWorkingYears]]&lt;=15,"Mid-Level","Senior"))</f>
        <v>Junior</v>
      </c>
      <c r="AN1180" s="11" t="str">
        <f>IF(HR_Data[[#This Row],[PerformanceRating]]=3,"Standard","Excellent")</f>
        <v>Standard</v>
      </c>
      <c r="AO1180" s="11" t="str">
        <f>IF(HR_Data[[#This Row],[JobSatisfaction]]&lt;=2,"Low","High")</f>
        <v>High</v>
      </c>
      <c r="AP1180" s="11" t="str">
        <f>IF(AND(HR_Data[[#This Row],[OverTime]]="Yes",HR_Data[[#This Row],[JobSatisfaction]]&lt;=2,HR_Data[[#This Row],[YearsAtCompany]]&lt;=2),"High Risk","Normal")</f>
        <v>Normal</v>
      </c>
    </row>
    <row r="1181" spans="1:42" x14ac:dyDescent="0.25">
      <c r="A1181" s="6">
        <v>34</v>
      </c>
      <c r="B1181" s="4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s="11" t="str">
        <f>IF(HR_Data[[#This Row],[Age]]&lt;=25,"18-25",IF(HR_Data[[#This Row],[Age]]&lt;=35,"26-35",IF(HR_Data[[#This Row],[Age]]&lt;=45,"36-45",IF(HR_Data[[#This Row],[Age]]&lt;=55,"46-55","56+"))))</f>
        <v>26-35</v>
      </c>
      <c r="AK1181" s="11" t="str">
        <f>IF(HR_Data[[#This Row],[MonthlyIncome]]&lt;3000,"Low",IF(HR_Data[[#This Row],[MonthlyIncome]]&lt;6000,"Medium",IF(HR_Data[[#This Row],[MonthlyIncome]]&lt;10000,"High","Very High")))</f>
        <v>Medium</v>
      </c>
      <c r="AL1181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181" t="str">
        <f>IF(HR_Data[[#This Row],[TotalWorkingYears]]&lt;=5,"Junior",IF(HR_Data[[#This Row],[TotalWorkingYears]]&lt;=15,"Mid-Level","Senior"))</f>
        <v>Mid-Level</v>
      </c>
      <c r="AN1181" s="11" t="str">
        <f>IF(HR_Data[[#This Row],[PerformanceRating]]=3,"Standard","Excellent")</f>
        <v>Standard</v>
      </c>
      <c r="AO1181" s="11" t="str">
        <f>IF(HR_Data[[#This Row],[JobSatisfaction]]&lt;=2,"Low","High")</f>
        <v>Low</v>
      </c>
      <c r="AP1181" s="11" t="str">
        <f>IF(AND(HR_Data[[#This Row],[OverTime]]="Yes",HR_Data[[#This Row],[JobSatisfaction]]&lt;=2,HR_Data[[#This Row],[YearsAtCompany]]&lt;=2),"High Risk","Normal")</f>
        <v>Normal</v>
      </c>
    </row>
    <row r="1182" spans="1:42" x14ac:dyDescent="0.25">
      <c r="A1182" s="6">
        <v>36</v>
      </c>
      <c r="B1182" s="4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s="11" t="str">
        <f>IF(HR_Data[[#This Row],[Age]]&lt;=25,"18-25",IF(HR_Data[[#This Row],[Age]]&lt;=35,"26-35",IF(HR_Data[[#This Row],[Age]]&lt;=45,"36-45",IF(HR_Data[[#This Row],[Age]]&lt;=55,"46-55","56+"))))</f>
        <v>36-45</v>
      </c>
      <c r="AK1182" s="11" t="str">
        <f>IF(HR_Data[[#This Row],[MonthlyIncome]]&lt;3000,"Low",IF(HR_Data[[#This Row],[MonthlyIncome]]&lt;6000,"Medium",IF(HR_Data[[#This Row],[MonthlyIncome]]&lt;10000,"High","Very High")))</f>
        <v>Low</v>
      </c>
      <c r="AL118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82" t="str">
        <f>IF(HR_Data[[#This Row],[TotalWorkingYears]]&lt;=5,"Junior",IF(HR_Data[[#This Row],[TotalWorkingYears]]&lt;=15,"Mid-Level","Senior"))</f>
        <v>Mid-Level</v>
      </c>
      <c r="AN1182" s="11" t="str">
        <f>IF(HR_Data[[#This Row],[PerformanceRating]]=3,"Standard","Excellent")</f>
        <v>Standard</v>
      </c>
      <c r="AO1182" s="11" t="str">
        <f>IF(HR_Data[[#This Row],[JobSatisfaction]]&lt;=2,"Low","High")</f>
        <v>Low</v>
      </c>
      <c r="AP1182" s="11" t="str">
        <f>IF(AND(HR_Data[[#This Row],[OverTime]]="Yes",HR_Data[[#This Row],[JobSatisfaction]]&lt;=2,HR_Data[[#This Row],[YearsAtCompany]]&lt;=2),"High Risk","Normal")</f>
        <v>Normal</v>
      </c>
    </row>
    <row r="1183" spans="1:42" x14ac:dyDescent="0.25">
      <c r="A1183" s="6">
        <v>49</v>
      </c>
      <c r="B1183" s="4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s="11" t="str">
        <f>IF(HR_Data[[#This Row],[Age]]&lt;=25,"18-25",IF(HR_Data[[#This Row],[Age]]&lt;=35,"26-35",IF(HR_Data[[#This Row],[Age]]&lt;=45,"36-45",IF(HR_Data[[#This Row],[Age]]&lt;=55,"46-55","56+"))))</f>
        <v>46-55</v>
      </c>
      <c r="AK1183" s="11" t="str">
        <f>IF(HR_Data[[#This Row],[MonthlyIncome]]&lt;3000,"Low",IF(HR_Data[[#This Row],[MonthlyIncome]]&lt;6000,"Medium",IF(HR_Data[[#This Row],[MonthlyIncome]]&lt;10000,"High","Very High")))</f>
        <v>Very High</v>
      </c>
      <c r="AL1183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183" t="str">
        <f>IF(HR_Data[[#This Row],[TotalWorkingYears]]&lt;=5,"Junior",IF(HR_Data[[#This Row],[TotalWorkingYears]]&lt;=15,"Mid-Level","Senior"))</f>
        <v>Senior</v>
      </c>
      <c r="AN1183" s="11" t="str">
        <f>IF(HR_Data[[#This Row],[PerformanceRating]]=3,"Standard","Excellent")</f>
        <v>Standard</v>
      </c>
      <c r="AO1183" s="11" t="str">
        <f>IF(HR_Data[[#This Row],[JobSatisfaction]]&lt;=2,"Low","High")</f>
        <v>High</v>
      </c>
      <c r="AP1183" s="11" t="str">
        <f>IF(AND(HR_Data[[#This Row],[OverTime]]="Yes",HR_Data[[#This Row],[JobSatisfaction]]&lt;=2,HR_Data[[#This Row],[YearsAtCompany]]&lt;=2),"High Risk","Normal")</f>
        <v>Normal</v>
      </c>
    </row>
    <row r="1184" spans="1:42" x14ac:dyDescent="0.25">
      <c r="A1184" s="6">
        <v>36</v>
      </c>
      <c r="B1184" s="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s="11" t="str">
        <f>IF(HR_Data[[#This Row],[Age]]&lt;=25,"18-25",IF(HR_Data[[#This Row],[Age]]&lt;=35,"26-35",IF(HR_Data[[#This Row],[Age]]&lt;=45,"36-45",IF(HR_Data[[#This Row],[Age]]&lt;=55,"46-55","56+"))))</f>
        <v>36-45</v>
      </c>
      <c r="AK1184" s="11" t="str">
        <f>IF(HR_Data[[#This Row],[MonthlyIncome]]&lt;3000,"Low",IF(HR_Data[[#This Row],[MonthlyIncome]]&lt;6000,"Medium",IF(HR_Data[[#This Row],[MonthlyIncome]]&lt;10000,"High","Very High")))</f>
        <v>Medium</v>
      </c>
      <c r="AL118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84" t="str">
        <f>IF(HR_Data[[#This Row],[TotalWorkingYears]]&lt;=5,"Junior",IF(HR_Data[[#This Row],[TotalWorkingYears]]&lt;=15,"Mid-Level","Senior"))</f>
        <v>Junior</v>
      </c>
      <c r="AN1184" s="11" t="str">
        <f>IF(HR_Data[[#This Row],[PerformanceRating]]=3,"Standard","Excellent")</f>
        <v>Standard</v>
      </c>
      <c r="AO1184" s="11" t="str">
        <f>IF(HR_Data[[#This Row],[JobSatisfaction]]&lt;=2,"Low","High")</f>
        <v>High</v>
      </c>
      <c r="AP1184" s="11" t="str">
        <f>IF(AND(HR_Data[[#This Row],[OverTime]]="Yes",HR_Data[[#This Row],[JobSatisfaction]]&lt;=2,HR_Data[[#This Row],[YearsAtCompany]]&lt;=2),"High Risk","Normal")</f>
        <v>Normal</v>
      </c>
    </row>
    <row r="1185" spans="1:42" x14ac:dyDescent="0.25">
      <c r="A1185" s="6">
        <v>36</v>
      </c>
      <c r="B1185" s="4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s="11" t="str">
        <f>IF(HR_Data[[#This Row],[Age]]&lt;=25,"18-25",IF(HR_Data[[#This Row],[Age]]&lt;=35,"26-35",IF(HR_Data[[#This Row],[Age]]&lt;=45,"36-45",IF(HR_Data[[#This Row],[Age]]&lt;=55,"46-55","56+"))))</f>
        <v>36-45</v>
      </c>
      <c r="AK1185" s="11" t="str">
        <f>IF(HR_Data[[#This Row],[MonthlyIncome]]&lt;3000,"Low",IF(HR_Data[[#This Row],[MonthlyIncome]]&lt;6000,"Medium",IF(HR_Data[[#This Row],[MonthlyIncome]]&lt;10000,"High","Very High")))</f>
        <v>High</v>
      </c>
      <c r="AL118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85" t="str">
        <f>IF(HR_Data[[#This Row],[TotalWorkingYears]]&lt;=5,"Junior",IF(HR_Data[[#This Row],[TotalWorkingYears]]&lt;=15,"Mid-Level","Senior"))</f>
        <v>Mid-Level</v>
      </c>
      <c r="AN1185" s="11" t="str">
        <f>IF(HR_Data[[#This Row],[PerformanceRating]]=3,"Standard","Excellent")</f>
        <v>Excellent</v>
      </c>
      <c r="AO1185" s="11" t="str">
        <f>IF(HR_Data[[#This Row],[JobSatisfaction]]&lt;=2,"Low","High")</f>
        <v>Low</v>
      </c>
      <c r="AP1185" s="11" t="str">
        <f>IF(AND(HR_Data[[#This Row],[OverTime]]="Yes",HR_Data[[#This Row],[JobSatisfaction]]&lt;=2,HR_Data[[#This Row],[YearsAtCompany]]&lt;=2),"High Risk","Normal")</f>
        <v>Normal</v>
      </c>
    </row>
    <row r="1186" spans="1:42" x14ac:dyDescent="0.25">
      <c r="A1186" s="6">
        <v>54</v>
      </c>
      <c r="B1186" s="4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s="11" t="str">
        <f>IF(HR_Data[[#This Row],[Age]]&lt;=25,"18-25",IF(HR_Data[[#This Row],[Age]]&lt;=35,"26-35",IF(HR_Data[[#This Row],[Age]]&lt;=45,"36-45",IF(HR_Data[[#This Row],[Age]]&lt;=55,"46-55","56+"))))</f>
        <v>46-55</v>
      </c>
      <c r="AK1186" s="11" t="str">
        <f>IF(HR_Data[[#This Row],[MonthlyIncome]]&lt;3000,"Low",IF(HR_Data[[#This Row],[MonthlyIncome]]&lt;6000,"Medium",IF(HR_Data[[#This Row],[MonthlyIncome]]&lt;10000,"High","Very High")))</f>
        <v>Very High</v>
      </c>
      <c r="AL118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86" t="str">
        <f>IF(HR_Data[[#This Row],[TotalWorkingYears]]&lt;=5,"Junior",IF(HR_Data[[#This Row],[TotalWorkingYears]]&lt;=15,"Mid-Level","Senior"))</f>
        <v>Senior</v>
      </c>
      <c r="AN1186" s="11" t="str">
        <f>IF(HR_Data[[#This Row],[PerformanceRating]]=3,"Standard","Excellent")</f>
        <v>Excellent</v>
      </c>
      <c r="AO1186" s="11" t="str">
        <f>IF(HR_Data[[#This Row],[JobSatisfaction]]&lt;=2,"Low","High")</f>
        <v>High</v>
      </c>
      <c r="AP1186" s="11" t="str">
        <f>IF(AND(HR_Data[[#This Row],[OverTime]]="Yes",HR_Data[[#This Row],[JobSatisfaction]]&lt;=2,HR_Data[[#This Row],[YearsAtCompany]]&lt;=2),"High Risk","Normal")</f>
        <v>Normal</v>
      </c>
    </row>
    <row r="1187" spans="1:42" x14ac:dyDescent="0.25">
      <c r="A1187" s="6">
        <v>43</v>
      </c>
      <c r="B1187" s="4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s="11" t="str">
        <f>IF(HR_Data[[#This Row],[Age]]&lt;=25,"18-25",IF(HR_Data[[#This Row],[Age]]&lt;=35,"26-35",IF(HR_Data[[#This Row],[Age]]&lt;=45,"36-45",IF(HR_Data[[#This Row],[Age]]&lt;=55,"46-55","56+"))))</f>
        <v>36-45</v>
      </c>
      <c r="AK1187" s="11" t="str">
        <f>IF(HR_Data[[#This Row],[MonthlyIncome]]&lt;3000,"Low",IF(HR_Data[[#This Row],[MonthlyIncome]]&lt;6000,"Medium",IF(HR_Data[[#This Row],[MonthlyIncome]]&lt;10000,"High","Very High")))</f>
        <v>Very High</v>
      </c>
      <c r="AL1187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187" t="str">
        <f>IF(HR_Data[[#This Row],[TotalWorkingYears]]&lt;=5,"Junior",IF(HR_Data[[#This Row],[TotalWorkingYears]]&lt;=15,"Mid-Level","Senior"))</f>
        <v>Mid-Level</v>
      </c>
      <c r="AN1187" s="11" t="str">
        <f>IF(HR_Data[[#This Row],[PerformanceRating]]=3,"Standard","Excellent")</f>
        <v>Excellent</v>
      </c>
      <c r="AO1187" s="11" t="str">
        <f>IF(HR_Data[[#This Row],[JobSatisfaction]]&lt;=2,"Low","High")</f>
        <v>High</v>
      </c>
      <c r="AP1187" s="11" t="str">
        <f>IF(AND(HR_Data[[#This Row],[OverTime]]="Yes",HR_Data[[#This Row],[JobSatisfaction]]&lt;=2,HR_Data[[#This Row],[YearsAtCompany]]&lt;=2),"High Risk","Normal")</f>
        <v>Normal</v>
      </c>
    </row>
    <row r="1188" spans="1:42" x14ac:dyDescent="0.25">
      <c r="A1188" s="6">
        <v>35</v>
      </c>
      <c r="B1188" s="4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s="11" t="str">
        <f>IF(HR_Data[[#This Row],[Age]]&lt;=25,"18-25",IF(HR_Data[[#This Row],[Age]]&lt;=35,"26-35",IF(HR_Data[[#This Row],[Age]]&lt;=45,"36-45",IF(HR_Data[[#This Row],[Age]]&lt;=55,"46-55","56+"))))</f>
        <v>26-35</v>
      </c>
      <c r="AK1188" s="11" t="str">
        <f>IF(HR_Data[[#This Row],[MonthlyIncome]]&lt;3000,"Low",IF(HR_Data[[#This Row],[MonthlyIncome]]&lt;6000,"Medium",IF(HR_Data[[#This Row],[MonthlyIncome]]&lt;10000,"High","Very High")))</f>
        <v>Medium</v>
      </c>
      <c r="AL118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188" t="str">
        <f>IF(HR_Data[[#This Row],[TotalWorkingYears]]&lt;=5,"Junior",IF(HR_Data[[#This Row],[TotalWorkingYears]]&lt;=15,"Mid-Level","Senior"))</f>
        <v>Mid-Level</v>
      </c>
      <c r="AN1188" s="11" t="str">
        <f>IF(HR_Data[[#This Row],[PerformanceRating]]=3,"Standard","Excellent")</f>
        <v>Excellent</v>
      </c>
      <c r="AO1188" s="11" t="str">
        <f>IF(HR_Data[[#This Row],[JobSatisfaction]]&lt;=2,"Low","High")</f>
        <v>High</v>
      </c>
      <c r="AP1188" s="11" t="str">
        <f>IF(AND(HR_Data[[#This Row],[OverTime]]="Yes",HR_Data[[#This Row],[JobSatisfaction]]&lt;=2,HR_Data[[#This Row],[YearsAtCompany]]&lt;=2),"High Risk","Normal")</f>
        <v>Normal</v>
      </c>
    </row>
    <row r="1189" spans="1:42" x14ac:dyDescent="0.25">
      <c r="A1189" s="6">
        <v>38</v>
      </c>
      <c r="B1189" s="4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s="11" t="str">
        <f>IF(HR_Data[[#This Row],[Age]]&lt;=25,"18-25",IF(HR_Data[[#This Row],[Age]]&lt;=35,"26-35",IF(HR_Data[[#This Row],[Age]]&lt;=45,"36-45",IF(HR_Data[[#This Row],[Age]]&lt;=55,"46-55","56+"))))</f>
        <v>36-45</v>
      </c>
      <c r="AK1189" s="11" t="str">
        <f>IF(HR_Data[[#This Row],[MonthlyIncome]]&lt;3000,"Low",IF(HR_Data[[#This Row],[MonthlyIncome]]&lt;6000,"Medium",IF(HR_Data[[#This Row],[MonthlyIncome]]&lt;10000,"High","Very High")))</f>
        <v>Medium</v>
      </c>
      <c r="AL118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189" t="str">
        <f>IF(HR_Data[[#This Row],[TotalWorkingYears]]&lt;=5,"Junior",IF(HR_Data[[#This Row],[TotalWorkingYears]]&lt;=15,"Mid-Level","Senior"))</f>
        <v>Senior</v>
      </c>
      <c r="AN1189" s="11" t="str">
        <f>IF(HR_Data[[#This Row],[PerformanceRating]]=3,"Standard","Excellent")</f>
        <v>Standard</v>
      </c>
      <c r="AO1189" s="11" t="str">
        <f>IF(HR_Data[[#This Row],[JobSatisfaction]]&lt;=2,"Low","High")</f>
        <v>High</v>
      </c>
      <c r="AP1189" s="11" t="str">
        <f>IF(AND(HR_Data[[#This Row],[OverTime]]="Yes",HR_Data[[#This Row],[JobSatisfaction]]&lt;=2,HR_Data[[#This Row],[YearsAtCompany]]&lt;=2),"High Risk","Normal")</f>
        <v>Normal</v>
      </c>
    </row>
    <row r="1190" spans="1:42" x14ac:dyDescent="0.25">
      <c r="A1190" s="6">
        <v>29</v>
      </c>
      <c r="B1190" s="4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s="11" t="str">
        <f>IF(HR_Data[[#This Row],[Age]]&lt;=25,"18-25",IF(HR_Data[[#This Row],[Age]]&lt;=35,"26-35",IF(HR_Data[[#This Row],[Age]]&lt;=45,"36-45",IF(HR_Data[[#This Row],[Age]]&lt;=55,"46-55","56+"))))</f>
        <v>26-35</v>
      </c>
      <c r="AK1190" s="11" t="str">
        <f>IF(HR_Data[[#This Row],[MonthlyIncome]]&lt;3000,"Low",IF(HR_Data[[#This Row],[MonthlyIncome]]&lt;6000,"Medium",IF(HR_Data[[#This Row],[MonthlyIncome]]&lt;10000,"High","Very High")))</f>
        <v>Medium</v>
      </c>
      <c r="AL119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90" t="str">
        <f>IF(HR_Data[[#This Row],[TotalWorkingYears]]&lt;=5,"Junior",IF(HR_Data[[#This Row],[TotalWorkingYears]]&lt;=15,"Mid-Level","Senior"))</f>
        <v>Mid-Level</v>
      </c>
      <c r="AN1190" s="11" t="str">
        <f>IF(HR_Data[[#This Row],[PerformanceRating]]=3,"Standard","Excellent")</f>
        <v>Standard</v>
      </c>
      <c r="AO1190" s="11" t="str">
        <f>IF(HR_Data[[#This Row],[JobSatisfaction]]&lt;=2,"Low","High")</f>
        <v>Low</v>
      </c>
      <c r="AP1190" s="11" t="str">
        <f>IF(AND(HR_Data[[#This Row],[OverTime]]="Yes",HR_Data[[#This Row],[JobSatisfaction]]&lt;=2,HR_Data[[#This Row],[YearsAtCompany]]&lt;=2),"High Risk","Normal")</f>
        <v>Normal</v>
      </c>
    </row>
    <row r="1191" spans="1:42" x14ac:dyDescent="0.25">
      <c r="A1191" s="6">
        <v>33</v>
      </c>
      <c r="B1191" s="4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s="11" t="str">
        <f>IF(HR_Data[[#This Row],[Age]]&lt;=25,"18-25",IF(HR_Data[[#This Row],[Age]]&lt;=35,"26-35",IF(HR_Data[[#This Row],[Age]]&lt;=45,"36-45",IF(HR_Data[[#This Row],[Age]]&lt;=55,"46-55","56+"))))</f>
        <v>26-35</v>
      </c>
      <c r="AK1191" s="11" t="str">
        <f>IF(HR_Data[[#This Row],[MonthlyIncome]]&lt;3000,"Low",IF(HR_Data[[#This Row],[MonthlyIncome]]&lt;6000,"Medium",IF(HR_Data[[#This Row],[MonthlyIncome]]&lt;10000,"High","Very High")))</f>
        <v>Medium</v>
      </c>
      <c r="AL119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91" t="str">
        <f>IF(HR_Data[[#This Row],[TotalWorkingYears]]&lt;=5,"Junior",IF(HR_Data[[#This Row],[TotalWorkingYears]]&lt;=15,"Mid-Level","Senior"))</f>
        <v>Mid-Level</v>
      </c>
      <c r="AN1191" s="11" t="str">
        <f>IF(HR_Data[[#This Row],[PerformanceRating]]=3,"Standard","Excellent")</f>
        <v>Standard</v>
      </c>
      <c r="AO1191" s="11" t="str">
        <f>IF(HR_Data[[#This Row],[JobSatisfaction]]&lt;=2,"Low","High")</f>
        <v>High</v>
      </c>
      <c r="AP1191" s="11" t="str">
        <f>IF(AND(HR_Data[[#This Row],[OverTime]]="Yes",HR_Data[[#This Row],[JobSatisfaction]]&lt;=2,HR_Data[[#This Row],[YearsAtCompany]]&lt;=2),"High Risk","Normal")</f>
        <v>Normal</v>
      </c>
    </row>
    <row r="1192" spans="1:42" x14ac:dyDescent="0.25">
      <c r="A1192" s="6">
        <v>32</v>
      </c>
      <c r="B1192" s="4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s="11" t="str">
        <f>IF(HR_Data[[#This Row],[Age]]&lt;=25,"18-25",IF(HR_Data[[#This Row],[Age]]&lt;=35,"26-35",IF(HR_Data[[#This Row],[Age]]&lt;=45,"36-45",IF(HR_Data[[#This Row],[Age]]&lt;=55,"46-55","56+"))))</f>
        <v>26-35</v>
      </c>
      <c r="AK1192" s="11" t="str">
        <f>IF(HR_Data[[#This Row],[MonthlyIncome]]&lt;3000,"Low",IF(HR_Data[[#This Row],[MonthlyIncome]]&lt;6000,"Medium",IF(HR_Data[[#This Row],[MonthlyIncome]]&lt;10000,"High","Very High")))</f>
        <v>Medium</v>
      </c>
      <c r="AL119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92" t="str">
        <f>IF(HR_Data[[#This Row],[TotalWorkingYears]]&lt;=5,"Junior",IF(HR_Data[[#This Row],[TotalWorkingYears]]&lt;=15,"Mid-Level","Senior"))</f>
        <v>Mid-Level</v>
      </c>
      <c r="AN1192" s="11" t="str">
        <f>IF(HR_Data[[#This Row],[PerformanceRating]]=3,"Standard","Excellent")</f>
        <v>Standard</v>
      </c>
      <c r="AO1192" s="11" t="str">
        <f>IF(HR_Data[[#This Row],[JobSatisfaction]]&lt;=2,"Low","High")</f>
        <v>Low</v>
      </c>
      <c r="AP1192" s="11" t="str">
        <f>IF(AND(HR_Data[[#This Row],[OverTime]]="Yes",HR_Data[[#This Row],[JobSatisfaction]]&lt;=2,HR_Data[[#This Row],[YearsAtCompany]]&lt;=2),"High Risk","Normal")</f>
        <v>Normal</v>
      </c>
    </row>
    <row r="1193" spans="1:42" x14ac:dyDescent="0.25">
      <c r="A1193" s="6">
        <v>31</v>
      </c>
      <c r="B1193" s="4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s="11" t="str">
        <f>IF(HR_Data[[#This Row],[Age]]&lt;=25,"18-25",IF(HR_Data[[#This Row],[Age]]&lt;=35,"26-35",IF(HR_Data[[#This Row],[Age]]&lt;=45,"36-45",IF(HR_Data[[#This Row],[Age]]&lt;=55,"46-55","56+"))))</f>
        <v>26-35</v>
      </c>
      <c r="AK1193" s="11" t="str">
        <f>IF(HR_Data[[#This Row],[MonthlyIncome]]&lt;3000,"Low",IF(HR_Data[[#This Row],[MonthlyIncome]]&lt;6000,"Medium",IF(HR_Data[[#This Row],[MonthlyIncome]]&lt;10000,"High","Very High")))</f>
        <v>Medium</v>
      </c>
      <c r="AL119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93" t="str">
        <f>IF(HR_Data[[#This Row],[TotalWorkingYears]]&lt;=5,"Junior",IF(HR_Data[[#This Row],[TotalWorkingYears]]&lt;=15,"Mid-Level","Senior"))</f>
        <v>Mid-Level</v>
      </c>
      <c r="AN1193" s="11" t="str">
        <f>IF(HR_Data[[#This Row],[PerformanceRating]]=3,"Standard","Excellent")</f>
        <v>Standard</v>
      </c>
      <c r="AO1193" s="11" t="str">
        <f>IF(HR_Data[[#This Row],[JobSatisfaction]]&lt;=2,"Low","High")</f>
        <v>High</v>
      </c>
      <c r="AP1193" s="11" t="str">
        <f>IF(AND(HR_Data[[#This Row],[OverTime]]="Yes",HR_Data[[#This Row],[JobSatisfaction]]&lt;=2,HR_Data[[#This Row],[YearsAtCompany]]&lt;=2),"High Risk","Normal")</f>
        <v>Normal</v>
      </c>
    </row>
    <row r="1194" spans="1:42" x14ac:dyDescent="0.25">
      <c r="A1194" s="6">
        <v>49</v>
      </c>
      <c r="B1194" s="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s="11" t="str">
        <f>IF(HR_Data[[#This Row],[Age]]&lt;=25,"18-25",IF(HR_Data[[#This Row],[Age]]&lt;=35,"26-35",IF(HR_Data[[#This Row],[Age]]&lt;=45,"36-45",IF(HR_Data[[#This Row],[Age]]&lt;=55,"46-55","56+"))))</f>
        <v>46-55</v>
      </c>
      <c r="AK1194" s="11" t="str">
        <f>IF(HR_Data[[#This Row],[MonthlyIncome]]&lt;3000,"Low",IF(HR_Data[[#This Row],[MonthlyIncome]]&lt;6000,"Medium",IF(HR_Data[[#This Row],[MonthlyIncome]]&lt;10000,"High","Very High")))</f>
        <v>Low</v>
      </c>
      <c r="AL119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94" t="str">
        <f>IF(HR_Data[[#This Row],[TotalWorkingYears]]&lt;=5,"Junior",IF(HR_Data[[#This Row],[TotalWorkingYears]]&lt;=15,"Mid-Level","Senior"))</f>
        <v>Senior</v>
      </c>
      <c r="AN1194" s="11" t="str">
        <f>IF(HR_Data[[#This Row],[PerformanceRating]]=3,"Standard","Excellent")</f>
        <v>Standard</v>
      </c>
      <c r="AO1194" s="11" t="str">
        <f>IF(HR_Data[[#This Row],[JobSatisfaction]]&lt;=2,"Low","High")</f>
        <v>Low</v>
      </c>
      <c r="AP1194" s="11" t="str">
        <f>IF(AND(HR_Data[[#This Row],[OverTime]]="Yes",HR_Data[[#This Row],[JobSatisfaction]]&lt;=2,HR_Data[[#This Row],[YearsAtCompany]]&lt;=2),"High Risk","Normal")</f>
        <v>High Risk</v>
      </c>
    </row>
    <row r="1195" spans="1:42" x14ac:dyDescent="0.25">
      <c r="A1195" s="6">
        <v>38</v>
      </c>
      <c r="B1195" s="4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s="11" t="str">
        <f>IF(HR_Data[[#This Row],[Age]]&lt;=25,"18-25",IF(HR_Data[[#This Row],[Age]]&lt;=35,"26-35",IF(HR_Data[[#This Row],[Age]]&lt;=45,"36-45",IF(HR_Data[[#This Row],[Age]]&lt;=55,"46-55","56+"))))</f>
        <v>36-45</v>
      </c>
      <c r="AK1195" s="11" t="str">
        <f>IF(HR_Data[[#This Row],[MonthlyIncome]]&lt;3000,"Low",IF(HR_Data[[#This Row],[MonthlyIncome]]&lt;6000,"Medium",IF(HR_Data[[#This Row],[MonthlyIncome]]&lt;10000,"High","Very High")))</f>
        <v>Low</v>
      </c>
      <c r="AL119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95" t="str">
        <f>IF(HR_Data[[#This Row],[TotalWorkingYears]]&lt;=5,"Junior",IF(HR_Data[[#This Row],[TotalWorkingYears]]&lt;=15,"Mid-Level","Senior"))</f>
        <v>Junior</v>
      </c>
      <c r="AN1195" s="11" t="str">
        <f>IF(HR_Data[[#This Row],[PerformanceRating]]=3,"Standard","Excellent")</f>
        <v>Excellent</v>
      </c>
      <c r="AO1195" s="11" t="str">
        <f>IF(HR_Data[[#This Row],[JobSatisfaction]]&lt;=2,"Low","High")</f>
        <v>Low</v>
      </c>
      <c r="AP1195" s="11" t="str">
        <f>IF(AND(HR_Data[[#This Row],[OverTime]]="Yes",HR_Data[[#This Row],[JobSatisfaction]]&lt;=2,HR_Data[[#This Row],[YearsAtCompany]]&lt;=2),"High Risk","Normal")</f>
        <v>Normal</v>
      </c>
    </row>
    <row r="1196" spans="1:42" x14ac:dyDescent="0.25">
      <c r="A1196" s="6">
        <v>47</v>
      </c>
      <c r="B1196" s="4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s="11" t="str">
        <f>IF(HR_Data[[#This Row],[Age]]&lt;=25,"18-25",IF(HR_Data[[#This Row],[Age]]&lt;=35,"26-35",IF(HR_Data[[#This Row],[Age]]&lt;=45,"36-45",IF(HR_Data[[#This Row],[Age]]&lt;=55,"46-55","56+"))))</f>
        <v>46-55</v>
      </c>
      <c r="AK1196" s="11" t="str">
        <f>IF(HR_Data[[#This Row],[MonthlyIncome]]&lt;3000,"Low",IF(HR_Data[[#This Row],[MonthlyIncome]]&lt;6000,"Medium",IF(HR_Data[[#This Row],[MonthlyIncome]]&lt;10000,"High","Very High")))</f>
        <v>Very High</v>
      </c>
      <c r="AL119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196" t="str">
        <f>IF(HR_Data[[#This Row],[TotalWorkingYears]]&lt;=5,"Junior",IF(HR_Data[[#This Row],[TotalWorkingYears]]&lt;=15,"Mid-Level","Senior"))</f>
        <v>Senior</v>
      </c>
      <c r="AN1196" s="11" t="str">
        <f>IF(HR_Data[[#This Row],[PerformanceRating]]=3,"Standard","Excellent")</f>
        <v>Standard</v>
      </c>
      <c r="AO1196" s="11" t="str">
        <f>IF(HR_Data[[#This Row],[JobSatisfaction]]&lt;=2,"Low","High")</f>
        <v>Low</v>
      </c>
      <c r="AP1196" s="11" t="str">
        <f>IF(AND(HR_Data[[#This Row],[OverTime]]="Yes",HR_Data[[#This Row],[JobSatisfaction]]&lt;=2,HR_Data[[#This Row],[YearsAtCompany]]&lt;=2),"High Risk","Normal")</f>
        <v>Normal</v>
      </c>
    </row>
    <row r="1197" spans="1:42" x14ac:dyDescent="0.25">
      <c r="A1197" s="6">
        <v>49</v>
      </c>
      <c r="B1197" s="4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s="11" t="str">
        <f>IF(HR_Data[[#This Row],[Age]]&lt;=25,"18-25",IF(HR_Data[[#This Row],[Age]]&lt;=35,"26-35",IF(HR_Data[[#This Row],[Age]]&lt;=45,"36-45",IF(HR_Data[[#This Row],[Age]]&lt;=55,"46-55","56+"))))</f>
        <v>46-55</v>
      </c>
      <c r="AK1197" s="11" t="str">
        <f>IF(HR_Data[[#This Row],[MonthlyIncome]]&lt;3000,"Low",IF(HR_Data[[#This Row],[MonthlyIncome]]&lt;6000,"Medium",IF(HR_Data[[#This Row],[MonthlyIncome]]&lt;10000,"High","Very High")))</f>
        <v>Very High</v>
      </c>
      <c r="AL119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197" t="str">
        <f>IF(HR_Data[[#This Row],[TotalWorkingYears]]&lt;=5,"Junior",IF(HR_Data[[#This Row],[TotalWorkingYears]]&lt;=15,"Mid-Level","Senior"))</f>
        <v>Senior</v>
      </c>
      <c r="AN1197" s="11" t="str">
        <f>IF(HR_Data[[#This Row],[PerformanceRating]]=3,"Standard","Excellent")</f>
        <v>Standard</v>
      </c>
      <c r="AO1197" s="11" t="str">
        <f>IF(HR_Data[[#This Row],[JobSatisfaction]]&lt;=2,"Low","High")</f>
        <v>High</v>
      </c>
      <c r="AP1197" s="11" t="str">
        <f>IF(AND(HR_Data[[#This Row],[OverTime]]="Yes",HR_Data[[#This Row],[JobSatisfaction]]&lt;=2,HR_Data[[#This Row],[YearsAtCompany]]&lt;=2),"High Risk","Normal")</f>
        <v>Normal</v>
      </c>
    </row>
    <row r="1198" spans="1:42" x14ac:dyDescent="0.25">
      <c r="A1198" s="6">
        <v>41</v>
      </c>
      <c r="B1198" s="4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s="11" t="str">
        <f>IF(HR_Data[[#This Row],[Age]]&lt;=25,"18-25",IF(HR_Data[[#This Row],[Age]]&lt;=35,"26-35",IF(HR_Data[[#This Row],[Age]]&lt;=45,"36-45",IF(HR_Data[[#This Row],[Age]]&lt;=55,"46-55","56+"))))</f>
        <v>36-45</v>
      </c>
      <c r="AK1198" s="11" t="str">
        <f>IF(HR_Data[[#This Row],[MonthlyIncome]]&lt;3000,"Low",IF(HR_Data[[#This Row],[MonthlyIncome]]&lt;6000,"Medium",IF(HR_Data[[#This Row],[MonthlyIncome]]&lt;10000,"High","Very High")))</f>
        <v>High</v>
      </c>
      <c r="AL119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98" t="str">
        <f>IF(HR_Data[[#This Row],[TotalWorkingYears]]&lt;=5,"Junior",IF(HR_Data[[#This Row],[TotalWorkingYears]]&lt;=15,"Mid-Level","Senior"))</f>
        <v>Senior</v>
      </c>
      <c r="AN1198" s="11" t="str">
        <f>IF(HR_Data[[#This Row],[PerformanceRating]]=3,"Standard","Excellent")</f>
        <v>Standard</v>
      </c>
      <c r="AO1198" s="11" t="str">
        <f>IF(HR_Data[[#This Row],[JobSatisfaction]]&lt;=2,"Low","High")</f>
        <v>High</v>
      </c>
      <c r="AP1198" s="11" t="str">
        <f>IF(AND(HR_Data[[#This Row],[OverTime]]="Yes",HR_Data[[#This Row],[JobSatisfaction]]&lt;=2,HR_Data[[#This Row],[YearsAtCompany]]&lt;=2),"High Risk","Normal")</f>
        <v>Normal</v>
      </c>
    </row>
    <row r="1199" spans="1:42" x14ac:dyDescent="0.25">
      <c r="A1199" s="6">
        <v>20</v>
      </c>
      <c r="B1199" s="4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s="11" t="str">
        <f>IF(HR_Data[[#This Row],[Age]]&lt;=25,"18-25",IF(HR_Data[[#This Row],[Age]]&lt;=35,"26-35",IF(HR_Data[[#This Row],[Age]]&lt;=45,"36-45",IF(HR_Data[[#This Row],[Age]]&lt;=55,"46-55","56+"))))</f>
        <v>18-25</v>
      </c>
      <c r="AK1199" s="11" t="str">
        <f>IF(HR_Data[[#This Row],[MonthlyIncome]]&lt;3000,"Low",IF(HR_Data[[#This Row],[MonthlyIncome]]&lt;6000,"Medium",IF(HR_Data[[#This Row],[MonthlyIncome]]&lt;10000,"High","Very High")))</f>
        <v>Low</v>
      </c>
      <c r="AL119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199" t="str">
        <f>IF(HR_Data[[#This Row],[TotalWorkingYears]]&lt;=5,"Junior",IF(HR_Data[[#This Row],[TotalWorkingYears]]&lt;=15,"Mid-Level","Senior"))</f>
        <v>Junior</v>
      </c>
      <c r="AN1199" s="11" t="str">
        <f>IF(HR_Data[[#This Row],[PerformanceRating]]=3,"Standard","Excellent")</f>
        <v>Standard</v>
      </c>
      <c r="AO1199" s="11" t="str">
        <f>IF(HR_Data[[#This Row],[JobSatisfaction]]&lt;=2,"Low","High")</f>
        <v>Low</v>
      </c>
      <c r="AP1199" s="11" t="str">
        <f>IF(AND(HR_Data[[#This Row],[OverTime]]="Yes",HR_Data[[#This Row],[JobSatisfaction]]&lt;=2,HR_Data[[#This Row],[YearsAtCompany]]&lt;=2),"High Risk","Normal")</f>
        <v>Normal</v>
      </c>
    </row>
    <row r="1200" spans="1:42" x14ac:dyDescent="0.25">
      <c r="A1200" s="6">
        <v>33</v>
      </c>
      <c r="B1200" s="4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s="11" t="str">
        <f>IF(HR_Data[[#This Row],[Age]]&lt;=25,"18-25",IF(HR_Data[[#This Row],[Age]]&lt;=35,"26-35",IF(HR_Data[[#This Row],[Age]]&lt;=45,"36-45",IF(HR_Data[[#This Row],[Age]]&lt;=55,"46-55","56+"))))</f>
        <v>26-35</v>
      </c>
      <c r="AK1200" s="11" t="str">
        <f>IF(HR_Data[[#This Row],[MonthlyIncome]]&lt;3000,"Low",IF(HR_Data[[#This Row],[MonthlyIncome]]&lt;6000,"Medium",IF(HR_Data[[#This Row],[MonthlyIncome]]&lt;10000,"High","Very High")))</f>
        <v>Medium</v>
      </c>
      <c r="AL120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00" t="str">
        <f>IF(HR_Data[[#This Row],[TotalWorkingYears]]&lt;=5,"Junior",IF(HR_Data[[#This Row],[TotalWorkingYears]]&lt;=15,"Mid-Level","Senior"))</f>
        <v>Mid-Level</v>
      </c>
      <c r="AN1200" s="11" t="str">
        <f>IF(HR_Data[[#This Row],[PerformanceRating]]=3,"Standard","Excellent")</f>
        <v>Excellent</v>
      </c>
      <c r="AO1200" s="11" t="str">
        <f>IF(HR_Data[[#This Row],[JobSatisfaction]]&lt;=2,"Low","High")</f>
        <v>High</v>
      </c>
      <c r="AP1200" s="11" t="str">
        <f>IF(AND(HR_Data[[#This Row],[OverTime]]="Yes",HR_Data[[#This Row],[JobSatisfaction]]&lt;=2,HR_Data[[#This Row],[YearsAtCompany]]&lt;=2),"High Risk","Normal")</f>
        <v>Normal</v>
      </c>
    </row>
    <row r="1201" spans="1:42" x14ac:dyDescent="0.25">
      <c r="A1201" s="6">
        <v>36</v>
      </c>
      <c r="B1201" s="4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s="11" t="str">
        <f>IF(HR_Data[[#This Row],[Age]]&lt;=25,"18-25",IF(HR_Data[[#This Row],[Age]]&lt;=35,"26-35",IF(HR_Data[[#This Row],[Age]]&lt;=45,"36-45",IF(HR_Data[[#This Row],[Age]]&lt;=55,"46-55","56+"))))</f>
        <v>36-45</v>
      </c>
      <c r="AK1201" s="11" t="str">
        <f>IF(HR_Data[[#This Row],[MonthlyIncome]]&lt;3000,"Low",IF(HR_Data[[#This Row],[MonthlyIncome]]&lt;6000,"Medium",IF(HR_Data[[#This Row],[MonthlyIncome]]&lt;10000,"High","Very High")))</f>
        <v>Medium</v>
      </c>
      <c r="AL120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01" t="str">
        <f>IF(HR_Data[[#This Row],[TotalWorkingYears]]&lt;=5,"Junior",IF(HR_Data[[#This Row],[TotalWorkingYears]]&lt;=15,"Mid-Level","Senior"))</f>
        <v>Mid-Level</v>
      </c>
      <c r="AN1201" s="11" t="str">
        <f>IF(HR_Data[[#This Row],[PerformanceRating]]=3,"Standard","Excellent")</f>
        <v>Standard</v>
      </c>
      <c r="AO1201" s="11" t="str">
        <f>IF(HR_Data[[#This Row],[JobSatisfaction]]&lt;=2,"Low","High")</f>
        <v>High</v>
      </c>
      <c r="AP1201" s="11" t="str">
        <f>IF(AND(HR_Data[[#This Row],[OverTime]]="Yes",HR_Data[[#This Row],[JobSatisfaction]]&lt;=2,HR_Data[[#This Row],[YearsAtCompany]]&lt;=2),"High Risk","Normal")</f>
        <v>Normal</v>
      </c>
    </row>
    <row r="1202" spans="1:42" x14ac:dyDescent="0.25">
      <c r="A1202" s="6">
        <v>44</v>
      </c>
      <c r="B1202" s="4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s="11" t="str">
        <f>IF(HR_Data[[#This Row],[Age]]&lt;=25,"18-25",IF(HR_Data[[#This Row],[Age]]&lt;=35,"26-35",IF(HR_Data[[#This Row],[Age]]&lt;=45,"36-45",IF(HR_Data[[#This Row],[Age]]&lt;=55,"46-55","56+"))))</f>
        <v>36-45</v>
      </c>
      <c r="AK1202" s="11" t="str">
        <f>IF(HR_Data[[#This Row],[MonthlyIncome]]&lt;3000,"Low",IF(HR_Data[[#This Row],[MonthlyIncome]]&lt;6000,"Medium",IF(HR_Data[[#This Row],[MonthlyIncome]]&lt;10000,"High","Very High")))</f>
        <v>Medium</v>
      </c>
      <c r="AL120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02" t="str">
        <f>IF(HR_Data[[#This Row],[TotalWorkingYears]]&lt;=5,"Junior",IF(HR_Data[[#This Row],[TotalWorkingYears]]&lt;=15,"Mid-Level","Senior"))</f>
        <v>Mid-Level</v>
      </c>
      <c r="AN1202" s="11" t="str">
        <f>IF(HR_Data[[#This Row],[PerformanceRating]]=3,"Standard","Excellent")</f>
        <v>Standard</v>
      </c>
      <c r="AO1202" s="11" t="str">
        <f>IF(HR_Data[[#This Row],[JobSatisfaction]]&lt;=2,"Low","High")</f>
        <v>High</v>
      </c>
      <c r="AP1202" s="11" t="str">
        <f>IF(AND(HR_Data[[#This Row],[OverTime]]="Yes",HR_Data[[#This Row],[JobSatisfaction]]&lt;=2,HR_Data[[#This Row],[YearsAtCompany]]&lt;=2),"High Risk","Normal")</f>
        <v>Normal</v>
      </c>
    </row>
    <row r="1203" spans="1:42" x14ac:dyDescent="0.25">
      <c r="A1203" s="6">
        <v>23</v>
      </c>
      <c r="B1203" s="4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s="11" t="str">
        <f>IF(HR_Data[[#This Row],[Age]]&lt;=25,"18-25",IF(HR_Data[[#This Row],[Age]]&lt;=35,"26-35",IF(HR_Data[[#This Row],[Age]]&lt;=45,"36-45",IF(HR_Data[[#This Row],[Age]]&lt;=55,"46-55","56+"))))</f>
        <v>18-25</v>
      </c>
      <c r="AK1203" s="11" t="str">
        <f>IF(HR_Data[[#This Row],[MonthlyIncome]]&lt;3000,"Low",IF(HR_Data[[#This Row],[MonthlyIncome]]&lt;6000,"Medium",IF(HR_Data[[#This Row],[MonthlyIncome]]&lt;10000,"High","Very High")))</f>
        <v>Medium</v>
      </c>
      <c r="AL120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03" t="str">
        <f>IF(HR_Data[[#This Row],[TotalWorkingYears]]&lt;=5,"Junior",IF(HR_Data[[#This Row],[TotalWorkingYears]]&lt;=15,"Mid-Level","Senior"))</f>
        <v>Junior</v>
      </c>
      <c r="AN1203" s="11" t="str">
        <f>IF(HR_Data[[#This Row],[PerformanceRating]]=3,"Standard","Excellent")</f>
        <v>Standard</v>
      </c>
      <c r="AO1203" s="11" t="str">
        <f>IF(HR_Data[[#This Row],[JobSatisfaction]]&lt;=2,"Low","High")</f>
        <v>High</v>
      </c>
      <c r="AP1203" s="11" t="str">
        <f>IF(AND(HR_Data[[#This Row],[OverTime]]="Yes",HR_Data[[#This Row],[JobSatisfaction]]&lt;=2,HR_Data[[#This Row],[YearsAtCompany]]&lt;=2),"High Risk","Normal")</f>
        <v>Normal</v>
      </c>
    </row>
    <row r="1204" spans="1:42" x14ac:dyDescent="0.25">
      <c r="A1204" s="6">
        <v>38</v>
      </c>
      <c r="B1204" s="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s="11" t="str">
        <f>IF(HR_Data[[#This Row],[Age]]&lt;=25,"18-25",IF(HR_Data[[#This Row],[Age]]&lt;=35,"26-35",IF(HR_Data[[#This Row],[Age]]&lt;=45,"36-45",IF(HR_Data[[#This Row],[Age]]&lt;=55,"46-55","56+"))))</f>
        <v>36-45</v>
      </c>
      <c r="AK1204" s="11" t="str">
        <f>IF(HR_Data[[#This Row],[MonthlyIncome]]&lt;3000,"Low",IF(HR_Data[[#This Row],[MonthlyIncome]]&lt;6000,"Medium",IF(HR_Data[[#This Row],[MonthlyIncome]]&lt;10000,"High","Very High")))</f>
        <v>Medium</v>
      </c>
      <c r="AL120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04" t="str">
        <f>IF(HR_Data[[#This Row],[TotalWorkingYears]]&lt;=5,"Junior",IF(HR_Data[[#This Row],[TotalWorkingYears]]&lt;=15,"Mid-Level","Senior"))</f>
        <v>Mid-Level</v>
      </c>
      <c r="AN1204" s="11" t="str">
        <f>IF(HR_Data[[#This Row],[PerformanceRating]]=3,"Standard","Excellent")</f>
        <v>Standard</v>
      </c>
      <c r="AO1204" s="11" t="str">
        <f>IF(HR_Data[[#This Row],[JobSatisfaction]]&lt;=2,"Low","High")</f>
        <v>High</v>
      </c>
      <c r="AP1204" s="11" t="str">
        <f>IF(AND(HR_Data[[#This Row],[OverTime]]="Yes",HR_Data[[#This Row],[JobSatisfaction]]&lt;=2,HR_Data[[#This Row],[YearsAtCompany]]&lt;=2),"High Risk","Normal")</f>
        <v>Normal</v>
      </c>
    </row>
    <row r="1205" spans="1:42" x14ac:dyDescent="0.25">
      <c r="A1205" s="6">
        <v>53</v>
      </c>
      <c r="B1205" s="4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s="11" t="str">
        <f>IF(HR_Data[[#This Row],[Age]]&lt;=25,"18-25",IF(HR_Data[[#This Row],[Age]]&lt;=35,"26-35",IF(HR_Data[[#This Row],[Age]]&lt;=45,"36-45",IF(HR_Data[[#This Row],[Age]]&lt;=55,"46-55","56+"))))</f>
        <v>46-55</v>
      </c>
      <c r="AK1205" s="11" t="str">
        <f>IF(HR_Data[[#This Row],[MonthlyIncome]]&lt;3000,"Low",IF(HR_Data[[#This Row],[MonthlyIncome]]&lt;6000,"Medium",IF(HR_Data[[#This Row],[MonthlyIncome]]&lt;10000,"High","Very High")))</f>
        <v>High</v>
      </c>
      <c r="AL120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05" t="str">
        <f>IF(HR_Data[[#This Row],[TotalWorkingYears]]&lt;=5,"Junior",IF(HR_Data[[#This Row],[TotalWorkingYears]]&lt;=15,"Mid-Level","Senior"))</f>
        <v>Mid-Level</v>
      </c>
      <c r="AN1205" s="11" t="str">
        <f>IF(HR_Data[[#This Row],[PerformanceRating]]=3,"Standard","Excellent")</f>
        <v>Standard</v>
      </c>
      <c r="AO1205" s="11" t="str">
        <f>IF(HR_Data[[#This Row],[JobSatisfaction]]&lt;=2,"Low","High")</f>
        <v>High</v>
      </c>
      <c r="AP1205" s="11" t="str">
        <f>IF(AND(HR_Data[[#This Row],[OverTime]]="Yes",HR_Data[[#This Row],[JobSatisfaction]]&lt;=2,HR_Data[[#This Row],[YearsAtCompany]]&lt;=2),"High Risk","Normal")</f>
        <v>Normal</v>
      </c>
    </row>
    <row r="1206" spans="1:42" x14ac:dyDescent="0.25">
      <c r="A1206" s="6">
        <v>48</v>
      </c>
      <c r="B1206" s="4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s="11" t="str">
        <f>IF(HR_Data[[#This Row],[Age]]&lt;=25,"18-25",IF(HR_Data[[#This Row],[Age]]&lt;=35,"26-35",IF(HR_Data[[#This Row],[Age]]&lt;=45,"36-45",IF(HR_Data[[#This Row],[Age]]&lt;=55,"46-55","56+"))))</f>
        <v>46-55</v>
      </c>
      <c r="AK1206" s="11" t="str">
        <f>IF(HR_Data[[#This Row],[MonthlyIncome]]&lt;3000,"Low",IF(HR_Data[[#This Row],[MonthlyIncome]]&lt;6000,"Medium",IF(HR_Data[[#This Row],[MonthlyIncome]]&lt;10000,"High","Very High")))</f>
        <v>Low</v>
      </c>
      <c r="AL120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06" t="str">
        <f>IF(HR_Data[[#This Row],[TotalWorkingYears]]&lt;=5,"Junior",IF(HR_Data[[#This Row],[TotalWorkingYears]]&lt;=15,"Mid-Level","Senior"))</f>
        <v>Senior</v>
      </c>
      <c r="AN1206" s="11" t="str">
        <f>IF(HR_Data[[#This Row],[PerformanceRating]]=3,"Standard","Excellent")</f>
        <v>Standard</v>
      </c>
      <c r="AO1206" s="11" t="str">
        <f>IF(HR_Data[[#This Row],[JobSatisfaction]]&lt;=2,"Low","High")</f>
        <v>High</v>
      </c>
      <c r="AP1206" s="11" t="str">
        <f>IF(AND(HR_Data[[#This Row],[OverTime]]="Yes",HR_Data[[#This Row],[JobSatisfaction]]&lt;=2,HR_Data[[#This Row],[YearsAtCompany]]&lt;=2),"High Risk","Normal")</f>
        <v>Normal</v>
      </c>
    </row>
    <row r="1207" spans="1:42" x14ac:dyDescent="0.25">
      <c r="A1207" s="6">
        <v>32</v>
      </c>
      <c r="B1207" s="4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s="11" t="str">
        <f>IF(HR_Data[[#This Row],[Age]]&lt;=25,"18-25",IF(HR_Data[[#This Row],[Age]]&lt;=35,"26-35",IF(HR_Data[[#This Row],[Age]]&lt;=45,"36-45",IF(HR_Data[[#This Row],[Age]]&lt;=55,"46-55","56+"))))</f>
        <v>26-35</v>
      </c>
      <c r="AK1207" s="11" t="str">
        <f>IF(HR_Data[[#This Row],[MonthlyIncome]]&lt;3000,"Low",IF(HR_Data[[#This Row],[MonthlyIncome]]&lt;6000,"Medium",IF(HR_Data[[#This Row],[MonthlyIncome]]&lt;10000,"High","Very High")))</f>
        <v>Low</v>
      </c>
      <c r="AL120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07" t="str">
        <f>IF(HR_Data[[#This Row],[TotalWorkingYears]]&lt;=5,"Junior",IF(HR_Data[[#This Row],[TotalWorkingYears]]&lt;=15,"Mid-Level","Senior"))</f>
        <v>Junior</v>
      </c>
      <c r="AN1207" s="11" t="str">
        <f>IF(HR_Data[[#This Row],[PerformanceRating]]=3,"Standard","Excellent")</f>
        <v>Standard</v>
      </c>
      <c r="AO1207" s="11" t="str">
        <f>IF(HR_Data[[#This Row],[JobSatisfaction]]&lt;=2,"Low","High")</f>
        <v>Low</v>
      </c>
      <c r="AP1207" s="11" t="str">
        <f>IF(AND(HR_Data[[#This Row],[OverTime]]="Yes",HR_Data[[#This Row],[JobSatisfaction]]&lt;=2,HR_Data[[#This Row],[YearsAtCompany]]&lt;=2),"High Risk","Normal")</f>
        <v>Normal</v>
      </c>
    </row>
    <row r="1208" spans="1:42" x14ac:dyDescent="0.25">
      <c r="A1208" s="6">
        <v>26</v>
      </c>
      <c r="B1208" s="4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s="11" t="str">
        <f>IF(HR_Data[[#This Row],[Age]]&lt;=25,"18-25",IF(HR_Data[[#This Row],[Age]]&lt;=35,"26-35",IF(HR_Data[[#This Row],[Age]]&lt;=45,"36-45",IF(HR_Data[[#This Row],[Age]]&lt;=55,"46-55","56+"))))</f>
        <v>26-35</v>
      </c>
      <c r="AK1208" s="11" t="str">
        <f>IF(HR_Data[[#This Row],[MonthlyIncome]]&lt;3000,"Low",IF(HR_Data[[#This Row],[MonthlyIncome]]&lt;6000,"Medium",IF(HR_Data[[#This Row],[MonthlyIncome]]&lt;10000,"High","Very High")))</f>
        <v>Low</v>
      </c>
      <c r="AL120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08" t="str">
        <f>IF(HR_Data[[#This Row],[TotalWorkingYears]]&lt;=5,"Junior",IF(HR_Data[[#This Row],[TotalWorkingYears]]&lt;=15,"Mid-Level","Senior"))</f>
        <v>Mid-Level</v>
      </c>
      <c r="AN1208" s="11" t="str">
        <f>IF(HR_Data[[#This Row],[PerformanceRating]]=3,"Standard","Excellent")</f>
        <v>Excellent</v>
      </c>
      <c r="AO1208" s="11" t="str">
        <f>IF(HR_Data[[#This Row],[JobSatisfaction]]&lt;=2,"Low","High")</f>
        <v>High</v>
      </c>
      <c r="AP1208" s="11" t="str">
        <f>IF(AND(HR_Data[[#This Row],[OverTime]]="Yes",HR_Data[[#This Row],[JobSatisfaction]]&lt;=2,HR_Data[[#This Row],[YearsAtCompany]]&lt;=2),"High Risk","Normal")</f>
        <v>Normal</v>
      </c>
    </row>
    <row r="1209" spans="1:42" x14ac:dyDescent="0.25">
      <c r="A1209" s="6">
        <v>55</v>
      </c>
      <c r="B1209" s="4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s="11" t="str">
        <f>IF(HR_Data[[#This Row],[Age]]&lt;=25,"18-25",IF(HR_Data[[#This Row],[Age]]&lt;=35,"26-35",IF(HR_Data[[#This Row],[Age]]&lt;=45,"36-45",IF(HR_Data[[#This Row],[Age]]&lt;=55,"46-55","56+"))))</f>
        <v>46-55</v>
      </c>
      <c r="AK1209" s="11" t="str">
        <f>IF(HR_Data[[#This Row],[MonthlyIncome]]&lt;3000,"Low",IF(HR_Data[[#This Row],[MonthlyIncome]]&lt;6000,"Medium",IF(HR_Data[[#This Row],[MonthlyIncome]]&lt;10000,"High","Very High")))</f>
        <v>Medium</v>
      </c>
      <c r="AL120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09" t="str">
        <f>IF(HR_Data[[#This Row],[TotalWorkingYears]]&lt;=5,"Junior",IF(HR_Data[[#This Row],[TotalWorkingYears]]&lt;=15,"Mid-Level","Senior"))</f>
        <v>Mid-Level</v>
      </c>
      <c r="AN1209" s="11" t="str">
        <f>IF(HR_Data[[#This Row],[PerformanceRating]]=3,"Standard","Excellent")</f>
        <v>Standard</v>
      </c>
      <c r="AO1209" s="11" t="str">
        <f>IF(HR_Data[[#This Row],[JobSatisfaction]]&lt;=2,"Low","High")</f>
        <v>Low</v>
      </c>
      <c r="AP1209" s="11" t="str">
        <f>IF(AND(HR_Data[[#This Row],[OverTime]]="Yes",HR_Data[[#This Row],[JobSatisfaction]]&lt;=2,HR_Data[[#This Row],[YearsAtCompany]]&lt;=2),"High Risk","Normal")</f>
        <v>Normal</v>
      </c>
    </row>
    <row r="1210" spans="1:42" x14ac:dyDescent="0.25">
      <c r="A1210" s="6">
        <v>34</v>
      </c>
      <c r="B1210" s="4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s="11" t="str">
        <f>IF(HR_Data[[#This Row],[Age]]&lt;=25,"18-25",IF(HR_Data[[#This Row],[Age]]&lt;=35,"26-35",IF(HR_Data[[#This Row],[Age]]&lt;=45,"36-45",IF(HR_Data[[#This Row],[Age]]&lt;=55,"46-55","56+"))))</f>
        <v>26-35</v>
      </c>
      <c r="AK1210" s="11" t="str">
        <f>IF(HR_Data[[#This Row],[MonthlyIncome]]&lt;3000,"Low",IF(HR_Data[[#This Row],[MonthlyIncome]]&lt;6000,"Medium",IF(HR_Data[[#This Row],[MonthlyIncome]]&lt;10000,"High","Very High")))</f>
        <v>Medium</v>
      </c>
      <c r="AL121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210" t="str">
        <f>IF(HR_Data[[#This Row],[TotalWorkingYears]]&lt;=5,"Junior",IF(HR_Data[[#This Row],[TotalWorkingYears]]&lt;=15,"Mid-Level","Senior"))</f>
        <v>Mid-Level</v>
      </c>
      <c r="AN1210" s="11" t="str">
        <f>IF(HR_Data[[#This Row],[PerformanceRating]]=3,"Standard","Excellent")</f>
        <v>Standard</v>
      </c>
      <c r="AO1210" s="11" t="str">
        <f>IF(HR_Data[[#This Row],[JobSatisfaction]]&lt;=2,"Low","High")</f>
        <v>High</v>
      </c>
      <c r="AP1210" s="11" t="str">
        <f>IF(AND(HR_Data[[#This Row],[OverTime]]="Yes",HR_Data[[#This Row],[JobSatisfaction]]&lt;=2,HR_Data[[#This Row],[YearsAtCompany]]&lt;=2),"High Risk","Normal")</f>
        <v>Normal</v>
      </c>
    </row>
    <row r="1211" spans="1:42" x14ac:dyDescent="0.25">
      <c r="A1211" s="6">
        <v>60</v>
      </c>
      <c r="B1211" s="4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s="11" t="str">
        <f>IF(HR_Data[[#This Row],[Age]]&lt;=25,"18-25",IF(HR_Data[[#This Row],[Age]]&lt;=35,"26-35",IF(HR_Data[[#This Row],[Age]]&lt;=45,"36-45",IF(HR_Data[[#This Row],[Age]]&lt;=55,"46-55","56+"))))</f>
        <v>56+</v>
      </c>
      <c r="AK1211" s="11" t="str">
        <f>IF(HR_Data[[#This Row],[MonthlyIncome]]&lt;3000,"Low",IF(HR_Data[[#This Row],[MonthlyIncome]]&lt;6000,"Medium",IF(HR_Data[[#This Row],[MonthlyIncome]]&lt;10000,"High","Very High")))</f>
        <v>Very High</v>
      </c>
      <c r="AL121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11" t="str">
        <f>IF(HR_Data[[#This Row],[TotalWorkingYears]]&lt;=5,"Junior",IF(HR_Data[[#This Row],[TotalWorkingYears]]&lt;=15,"Mid-Level","Senior"))</f>
        <v>Senior</v>
      </c>
      <c r="AN1211" s="11" t="str">
        <f>IF(HR_Data[[#This Row],[PerformanceRating]]=3,"Standard","Excellent")</f>
        <v>Excellent</v>
      </c>
      <c r="AO1211" s="11" t="str">
        <f>IF(HR_Data[[#This Row],[JobSatisfaction]]&lt;=2,"Low","High")</f>
        <v>High</v>
      </c>
      <c r="AP1211" s="11" t="str">
        <f>IF(AND(HR_Data[[#This Row],[OverTime]]="Yes",HR_Data[[#This Row],[JobSatisfaction]]&lt;=2,HR_Data[[#This Row],[YearsAtCompany]]&lt;=2),"High Risk","Normal")</f>
        <v>Normal</v>
      </c>
    </row>
    <row r="1212" spans="1:42" x14ac:dyDescent="0.25">
      <c r="A1212" s="6">
        <v>33</v>
      </c>
      <c r="B1212" s="4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s="11" t="str">
        <f>IF(HR_Data[[#This Row],[Age]]&lt;=25,"18-25",IF(HR_Data[[#This Row],[Age]]&lt;=35,"26-35",IF(HR_Data[[#This Row],[Age]]&lt;=45,"36-45",IF(HR_Data[[#This Row],[Age]]&lt;=55,"46-55","56+"))))</f>
        <v>26-35</v>
      </c>
      <c r="AK1212" s="11" t="str">
        <f>IF(HR_Data[[#This Row],[MonthlyIncome]]&lt;3000,"Low",IF(HR_Data[[#This Row],[MonthlyIncome]]&lt;6000,"Medium",IF(HR_Data[[#This Row],[MonthlyIncome]]&lt;10000,"High","Very High")))</f>
        <v>Low</v>
      </c>
      <c r="AL121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212" t="str">
        <f>IF(HR_Data[[#This Row],[TotalWorkingYears]]&lt;=5,"Junior",IF(HR_Data[[#This Row],[TotalWorkingYears]]&lt;=15,"Mid-Level","Senior"))</f>
        <v>Mid-Level</v>
      </c>
      <c r="AN1212" s="11" t="str">
        <f>IF(HR_Data[[#This Row],[PerformanceRating]]=3,"Standard","Excellent")</f>
        <v>Standard</v>
      </c>
      <c r="AO1212" s="11" t="str">
        <f>IF(HR_Data[[#This Row],[JobSatisfaction]]&lt;=2,"Low","High")</f>
        <v>Low</v>
      </c>
      <c r="AP1212" s="11" t="str">
        <f>IF(AND(HR_Data[[#This Row],[OverTime]]="Yes",HR_Data[[#This Row],[JobSatisfaction]]&lt;=2,HR_Data[[#This Row],[YearsAtCompany]]&lt;=2),"High Risk","Normal")</f>
        <v>Normal</v>
      </c>
    </row>
    <row r="1213" spans="1:42" x14ac:dyDescent="0.25">
      <c r="A1213" s="6">
        <v>37</v>
      </c>
      <c r="B1213" s="4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s="11" t="str">
        <f>IF(HR_Data[[#This Row],[Age]]&lt;=25,"18-25",IF(HR_Data[[#This Row],[Age]]&lt;=35,"26-35",IF(HR_Data[[#This Row],[Age]]&lt;=45,"36-45",IF(HR_Data[[#This Row],[Age]]&lt;=55,"46-55","56+"))))</f>
        <v>36-45</v>
      </c>
      <c r="AK1213" s="11" t="str">
        <f>IF(HR_Data[[#This Row],[MonthlyIncome]]&lt;3000,"Low",IF(HR_Data[[#This Row],[MonthlyIncome]]&lt;6000,"Medium",IF(HR_Data[[#This Row],[MonthlyIncome]]&lt;10000,"High","Very High")))</f>
        <v>High</v>
      </c>
      <c r="AL121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13" t="str">
        <f>IF(HR_Data[[#This Row],[TotalWorkingYears]]&lt;=5,"Junior",IF(HR_Data[[#This Row],[TotalWorkingYears]]&lt;=15,"Mid-Level","Senior"))</f>
        <v>Mid-Level</v>
      </c>
      <c r="AN1213" s="11" t="str">
        <f>IF(HR_Data[[#This Row],[PerformanceRating]]=3,"Standard","Excellent")</f>
        <v>Standard</v>
      </c>
      <c r="AO1213" s="11" t="str">
        <f>IF(HR_Data[[#This Row],[JobSatisfaction]]&lt;=2,"Low","High")</f>
        <v>High</v>
      </c>
      <c r="AP1213" s="11" t="str">
        <f>IF(AND(HR_Data[[#This Row],[OverTime]]="Yes",HR_Data[[#This Row],[JobSatisfaction]]&lt;=2,HR_Data[[#This Row],[YearsAtCompany]]&lt;=2),"High Risk","Normal")</f>
        <v>Normal</v>
      </c>
    </row>
    <row r="1214" spans="1:42" x14ac:dyDescent="0.25">
      <c r="A1214" s="6">
        <v>34</v>
      </c>
      <c r="B1214" s="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s="11" t="str">
        <f>IF(HR_Data[[#This Row],[Age]]&lt;=25,"18-25",IF(HR_Data[[#This Row],[Age]]&lt;=35,"26-35",IF(HR_Data[[#This Row],[Age]]&lt;=45,"36-45",IF(HR_Data[[#This Row],[Age]]&lt;=55,"46-55","56+"))))</f>
        <v>26-35</v>
      </c>
      <c r="AK1214" s="11" t="str">
        <f>IF(HR_Data[[#This Row],[MonthlyIncome]]&lt;3000,"Low",IF(HR_Data[[#This Row],[MonthlyIncome]]&lt;6000,"Medium",IF(HR_Data[[#This Row],[MonthlyIncome]]&lt;10000,"High","Very High")))</f>
        <v>Low</v>
      </c>
      <c r="AL121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14" t="str">
        <f>IF(HR_Data[[#This Row],[TotalWorkingYears]]&lt;=5,"Junior",IF(HR_Data[[#This Row],[TotalWorkingYears]]&lt;=15,"Mid-Level","Senior"))</f>
        <v>Mid-Level</v>
      </c>
      <c r="AN1214" s="11" t="str">
        <f>IF(HR_Data[[#This Row],[PerformanceRating]]=3,"Standard","Excellent")</f>
        <v>Standard</v>
      </c>
      <c r="AO1214" s="11" t="str">
        <f>IF(HR_Data[[#This Row],[JobSatisfaction]]&lt;=2,"Low","High")</f>
        <v>High</v>
      </c>
      <c r="AP1214" s="11" t="str">
        <f>IF(AND(HR_Data[[#This Row],[OverTime]]="Yes",HR_Data[[#This Row],[JobSatisfaction]]&lt;=2,HR_Data[[#This Row],[YearsAtCompany]]&lt;=2),"High Risk","Normal")</f>
        <v>Normal</v>
      </c>
    </row>
    <row r="1215" spans="1:42" x14ac:dyDescent="0.25">
      <c r="A1215" s="6">
        <v>23</v>
      </c>
      <c r="B1215" s="4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s="11" t="str">
        <f>IF(HR_Data[[#This Row],[Age]]&lt;=25,"18-25",IF(HR_Data[[#This Row],[Age]]&lt;=35,"26-35",IF(HR_Data[[#This Row],[Age]]&lt;=45,"36-45",IF(HR_Data[[#This Row],[Age]]&lt;=55,"46-55","56+"))))</f>
        <v>18-25</v>
      </c>
      <c r="AK1215" s="11" t="str">
        <f>IF(HR_Data[[#This Row],[MonthlyIncome]]&lt;3000,"Low",IF(HR_Data[[#This Row],[MonthlyIncome]]&lt;6000,"Medium",IF(HR_Data[[#This Row],[MonthlyIncome]]&lt;10000,"High","Very High")))</f>
        <v>Low</v>
      </c>
      <c r="AL121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15" t="str">
        <f>IF(HR_Data[[#This Row],[TotalWorkingYears]]&lt;=5,"Junior",IF(HR_Data[[#This Row],[TotalWorkingYears]]&lt;=15,"Mid-Level","Senior"))</f>
        <v>Junior</v>
      </c>
      <c r="AN1215" s="11" t="str">
        <f>IF(HR_Data[[#This Row],[PerformanceRating]]=3,"Standard","Excellent")</f>
        <v>Excellent</v>
      </c>
      <c r="AO1215" s="11" t="str">
        <f>IF(HR_Data[[#This Row],[JobSatisfaction]]&lt;=2,"Low","High")</f>
        <v>High</v>
      </c>
      <c r="AP1215" s="11" t="str">
        <f>IF(AND(HR_Data[[#This Row],[OverTime]]="Yes",HR_Data[[#This Row],[JobSatisfaction]]&lt;=2,HR_Data[[#This Row],[YearsAtCompany]]&lt;=2),"High Risk","Normal")</f>
        <v>Normal</v>
      </c>
    </row>
    <row r="1216" spans="1:42" x14ac:dyDescent="0.25">
      <c r="A1216" s="6">
        <v>44</v>
      </c>
      <c r="B1216" s="4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s="11" t="str">
        <f>IF(HR_Data[[#This Row],[Age]]&lt;=25,"18-25",IF(HR_Data[[#This Row],[Age]]&lt;=35,"26-35",IF(HR_Data[[#This Row],[Age]]&lt;=45,"36-45",IF(HR_Data[[#This Row],[Age]]&lt;=55,"46-55","56+"))))</f>
        <v>36-45</v>
      </c>
      <c r="AK1216" s="11" t="str">
        <f>IF(HR_Data[[#This Row],[MonthlyIncome]]&lt;3000,"Low",IF(HR_Data[[#This Row],[MonthlyIncome]]&lt;6000,"Medium",IF(HR_Data[[#This Row],[MonthlyIncome]]&lt;10000,"High","Very High")))</f>
        <v>High</v>
      </c>
      <c r="AL121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16" t="str">
        <f>IF(HR_Data[[#This Row],[TotalWorkingYears]]&lt;=5,"Junior",IF(HR_Data[[#This Row],[TotalWorkingYears]]&lt;=15,"Mid-Level","Senior"))</f>
        <v>Mid-Level</v>
      </c>
      <c r="AN1216" s="11" t="str">
        <f>IF(HR_Data[[#This Row],[PerformanceRating]]=3,"Standard","Excellent")</f>
        <v>Standard</v>
      </c>
      <c r="AO1216" s="11" t="str">
        <f>IF(HR_Data[[#This Row],[JobSatisfaction]]&lt;=2,"Low","High")</f>
        <v>High</v>
      </c>
      <c r="AP1216" s="11" t="str">
        <f>IF(AND(HR_Data[[#This Row],[OverTime]]="Yes",HR_Data[[#This Row],[JobSatisfaction]]&lt;=2,HR_Data[[#This Row],[YearsAtCompany]]&lt;=2),"High Risk","Normal")</f>
        <v>Normal</v>
      </c>
    </row>
    <row r="1217" spans="1:42" x14ac:dyDescent="0.25">
      <c r="A1217" s="6">
        <v>35</v>
      </c>
      <c r="B1217" s="4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s="11" t="str">
        <f>IF(HR_Data[[#This Row],[Age]]&lt;=25,"18-25",IF(HR_Data[[#This Row],[Age]]&lt;=35,"26-35",IF(HR_Data[[#This Row],[Age]]&lt;=45,"36-45",IF(HR_Data[[#This Row],[Age]]&lt;=55,"46-55","56+"))))</f>
        <v>26-35</v>
      </c>
      <c r="AK1217" s="11" t="str">
        <f>IF(HR_Data[[#This Row],[MonthlyIncome]]&lt;3000,"Low",IF(HR_Data[[#This Row],[MonthlyIncome]]&lt;6000,"Medium",IF(HR_Data[[#This Row],[MonthlyIncome]]&lt;10000,"High","Very High")))</f>
        <v>Medium</v>
      </c>
      <c r="AL121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17" t="str">
        <f>IF(HR_Data[[#This Row],[TotalWorkingYears]]&lt;=5,"Junior",IF(HR_Data[[#This Row],[TotalWorkingYears]]&lt;=15,"Mid-Level","Senior"))</f>
        <v>Mid-Level</v>
      </c>
      <c r="AN1217" s="11" t="str">
        <f>IF(HR_Data[[#This Row],[PerformanceRating]]=3,"Standard","Excellent")</f>
        <v>Standard</v>
      </c>
      <c r="AO1217" s="11" t="str">
        <f>IF(HR_Data[[#This Row],[JobSatisfaction]]&lt;=2,"Low","High")</f>
        <v>High</v>
      </c>
      <c r="AP1217" s="11" t="str">
        <f>IF(AND(HR_Data[[#This Row],[OverTime]]="Yes",HR_Data[[#This Row],[JobSatisfaction]]&lt;=2,HR_Data[[#This Row],[YearsAtCompany]]&lt;=2),"High Risk","Normal")</f>
        <v>Normal</v>
      </c>
    </row>
    <row r="1218" spans="1:42" x14ac:dyDescent="0.25">
      <c r="A1218" s="6">
        <v>43</v>
      </c>
      <c r="B1218" s="4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s="11" t="str">
        <f>IF(HR_Data[[#This Row],[Age]]&lt;=25,"18-25",IF(HR_Data[[#This Row],[Age]]&lt;=35,"26-35",IF(HR_Data[[#This Row],[Age]]&lt;=45,"36-45",IF(HR_Data[[#This Row],[Age]]&lt;=55,"46-55","56+"))))</f>
        <v>36-45</v>
      </c>
      <c r="AK1218" s="11" t="str">
        <f>IF(HR_Data[[#This Row],[MonthlyIncome]]&lt;3000,"Low",IF(HR_Data[[#This Row],[MonthlyIncome]]&lt;6000,"Medium",IF(HR_Data[[#This Row],[MonthlyIncome]]&lt;10000,"High","Very High")))</f>
        <v>High</v>
      </c>
      <c r="AL121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18" t="str">
        <f>IF(HR_Data[[#This Row],[TotalWorkingYears]]&lt;=5,"Junior",IF(HR_Data[[#This Row],[TotalWorkingYears]]&lt;=15,"Mid-Level","Senior"))</f>
        <v>Mid-Level</v>
      </c>
      <c r="AN1218" s="11" t="str">
        <f>IF(HR_Data[[#This Row],[PerformanceRating]]=3,"Standard","Excellent")</f>
        <v>Standard</v>
      </c>
      <c r="AO1218" s="11" t="str">
        <f>IF(HR_Data[[#This Row],[JobSatisfaction]]&lt;=2,"Low","High")</f>
        <v>High</v>
      </c>
      <c r="AP1218" s="11" t="str">
        <f>IF(AND(HR_Data[[#This Row],[OverTime]]="Yes",HR_Data[[#This Row],[JobSatisfaction]]&lt;=2,HR_Data[[#This Row],[YearsAtCompany]]&lt;=2),"High Risk","Normal")</f>
        <v>Normal</v>
      </c>
    </row>
    <row r="1219" spans="1:42" x14ac:dyDescent="0.25">
      <c r="A1219" s="6">
        <v>24</v>
      </c>
      <c r="B1219" s="4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s="11" t="str">
        <f>IF(HR_Data[[#This Row],[Age]]&lt;=25,"18-25",IF(HR_Data[[#This Row],[Age]]&lt;=35,"26-35",IF(HR_Data[[#This Row],[Age]]&lt;=45,"36-45",IF(HR_Data[[#This Row],[Age]]&lt;=55,"46-55","56+"))))</f>
        <v>18-25</v>
      </c>
      <c r="AK1219" s="11" t="str">
        <f>IF(HR_Data[[#This Row],[MonthlyIncome]]&lt;3000,"Low",IF(HR_Data[[#This Row],[MonthlyIncome]]&lt;6000,"Medium",IF(HR_Data[[#This Row],[MonthlyIncome]]&lt;10000,"High","Very High")))</f>
        <v>Medium</v>
      </c>
      <c r="AL121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19" t="str">
        <f>IF(HR_Data[[#This Row],[TotalWorkingYears]]&lt;=5,"Junior",IF(HR_Data[[#This Row],[TotalWorkingYears]]&lt;=15,"Mid-Level","Senior"))</f>
        <v>Junior</v>
      </c>
      <c r="AN1219" s="11" t="str">
        <f>IF(HR_Data[[#This Row],[PerformanceRating]]=3,"Standard","Excellent")</f>
        <v>Standard</v>
      </c>
      <c r="AO1219" s="11" t="str">
        <f>IF(HR_Data[[#This Row],[JobSatisfaction]]&lt;=2,"Low","High")</f>
        <v>High</v>
      </c>
      <c r="AP1219" s="11" t="str">
        <f>IF(AND(HR_Data[[#This Row],[OverTime]]="Yes",HR_Data[[#This Row],[JobSatisfaction]]&lt;=2,HR_Data[[#This Row],[YearsAtCompany]]&lt;=2),"High Risk","Normal")</f>
        <v>Normal</v>
      </c>
    </row>
    <row r="1220" spans="1:42" x14ac:dyDescent="0.25">
      <c r="A1220" s="6">
        <v>41</v>
      </c>
      <c r="B1220" s="4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s="11" t="str">
        <f>IF(HR_Data[[#This Row],[Age]]&lt;=25,"18-25",IF(HR_Data[[#This Row],[Age]]&lt;=35,"26-35",IF(HR_Data[[#This Row],[Age]]&lt;=45,"36-45",IF(HR_Data[[#This Row],[Age]]&lt;=55,"46-55","56+"))))</f>
        <v>36-45</v>
      </c>
      <c r="AK1220" s="11" t="str">
        <f>IF(HR_Data[[#This Row],[MonthlyIncome]]&lt;3000,"Low",IF(HR_Data[[#This Row],[MonthlyIncome]]&lt;6000,"Medium",IF(HR_Data[[#This Row],[MonthlyIncome]]&lt;10000,"High","Very High")))</f>
        <v>High</v>
      </c>
      <c r="AL122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20" t="str">
        <f>IF(HR_Data[[#This Row],[TotalWorkingYears]]&lt;=5,"Junior",IF(HR_Data[[#This Row],[TotalWorkingYears]]&lt;=15,"Mid-Level","Senior"))</f>
        <v>Mid-Level</v>
      </c>
      <c r="AN1220" s="11" t="str">
        <f>IF(HR_Data[[#This Row],[PerformanceRating]]=3,"Standard","Excellent")</f>
        <v>Standard</v>
      </c>
      <c r="AO1220" s="11" t="str">
        <f>IF(HR_Data[[#This Row],[JobSatisfaction]]&lt;=2,"Low","High")</f>
        <v>High</v>
      </c>
      <c r="AP1220" s="11" t="str">
        <f>IF(AND(HR_Data[[#This Row],[OverTime]]="Yes",HR_Data[[#This Row],[JobSatisfaction]]&lt;=2,HR_Data[[#This Row],[YearsAtCompany]]&lt;=2),"High Risk","Normal")</f>
        <v>Normal</v>
      </c>
    </row>
    <row r="1221" spans="1:42" x14ac:dyDescent="0.25">
      <c r="A1221" s="6">
        <v>29</v>
      </c>
      <c r="B1221" s="4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s="11" t="str">
        <f>IF(HR_Data[[#This Row],[Age]]&lt;=25,"18-25",IF(HR_Data[[#This Row],[Age]]&lt;=35,"26-35",IF(HR_Data[[#This Row],[Age]]&lt;=45,"36-45",IF(HR_Data[[#This Row],[Age]]&lt;=55,"46-55","56+"))))</f>
        <v>26-35</v>
      </c>
      <c r="AK1221" s="11" t="str">
        <f>IF(HR_Data[[#This Row],[MonthlyIncome]]&lt;3000,"Low",IF(HR_Data[[#This Row],[MonthlyIncome]]&lt;6000,"Medium",IF(HR_Data[[#This Row],[MonthlyIncome]]&lt;10000,"High","Very High")))</f>
        <v>Low</v>
      </c>
      <c r="AL122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21" t="str">
        <f>IF(HR_Data[[#This Row],[TotalWorkingYears]]&lt;=5,"Junior",IF(HR_Data[[#This Row],[TotalWorkingYears]]&lt;=15,"Mid-Level","Senior"))</f>
        <v>Mid-Level</v>
      </c>
      <c r="AN1221" s="11" t="str">
        <f>IF(HR_Data[[#This Row],[PerformanceRating]]=3,"Standard","Excellent")</f>
        <v>Standard</v>
      </c>
      <c r="AO1221" s="11" t="str">
        <f>IF(HR_Data[[#This Row],[JobSatisfaction]]&lt;=2,"Low","High")</f>
        <v>High</v>
      </c>
      <c r="AP1221" s="11" t="str">
        <f>IF(AND(HR_Data[[#This Row],[OverTime]]="Yes",HR_Data[[#This Row],[JobSatisfaction]]&lt;=2,HR_Data[[#This Row],[YearsAtCompany]]&lt;=2),"High Risk","Normal")</f>
        <v>Normal</v>
      </c>
    </row>
    <row r="1222" spans="1:42" x14ac:dyDescent="0.25">
      <c r="A1222" s="6">
        <v>36</v>
      </c>
      <c r="B1222" s="4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s="11" t="str">
        <f>IF(HR_Data[[#This Row],[Age]]&lt;=25,"18-25",IF(HR_Data[[#This Row],[Age]]&lt;=35,"26-35",IF(HR_Data[[#This Row],[Age]]&lt;=45,"36-45",IF(HR_Data[[#This Row],[Age]]&lt;=55,"46-55","56+"))))</f>
        <v>36-45</v>
      </c>
      <c r="AK1222" s="11" t="str">
        <f>IF(HR_Data[[#This Row],[MonthlyIncome]]&lt;3000,"Low",IF(HR_Data[[#This Row],[MonthlyIncome]]&lt;6000,"Medium",IF(HR_Data[[#This Row],[MonthlyIncome]]&lt;10000,"High","Very High")))</f>
        <v>Medium</v>
      </c>
      <c r="AL122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222" t="str">
        <f>IF(HR_Data[[#This Row],[TotalWorkingYears]]&lt;=5,"Junior",IF(HR_Data[[#This Row],[TotalWorkingYears]]&lt;=15,"Mid-Level","Senior"))</f>
        <v>Senior</v>
      </c>
      <c r="AN1222" s="11" t="str">
        <f>IF(HR_Data[[#This Row],[PerformanceRating]]=3,"Standard","Excellent")</f>
        <v>Standard</v>
      </c>
      <c r="AO1222" s="11" t="str">
        <f>IF(HR_Data[[#This Row],[JobSatisfaction]]&lt;=2,"Low","High")</f>
        <v>High</v>
      </c>
      <c r="AP1222" s="11" t="str">
        <f>IF(AND(HR_Data[[#This Row],[OverTime]]="Yes",HR_Data[[#This Row],[JobSatisfaction]]&lt;=2,HR_Data[[#This Row],[YearsAtCompany]]&lt;=2),"High Risk","Normal")</f>
        <v>Normal</v>
      </c>
    </row>
    <row r="1223" spans="1:42" x14ac:dyDescent="0.25">
      <c r="A1223" s="6">
        <v>45</v>
      </c>
      <c r="B1223" s="4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s="11" t="str">
        <f>IF(HR_Data[[#This Row],[Age]]&lt;=25,"18-25",IF(HR_Data[[#This Row],[Age]]&lt;=35,"26-35",IF(HR_Data[[#This Row],[Age]]&lt;=45,"36-45",IF(HR_Data[[#This Row],[Age]]&lt;=55,"46-55","56+"))))</f>
        <v>36-45</v>
      </c>
      <c r="AK1223" s="11" t="str">
        <f>IF(HR_Data[[#This Row],[MonthlyIncome]]&lt;3000,"Low",IF(HR_Data[[#This Row],[MonthlyIncome]]&lt;6000,"Medium",IF(HR_Data[[#This Row],[MonthlyIncome]]&lt;10000,"High","Very High")))</f>
        <v>Very High</v>
      </c>
      <c r="AL122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223" t="str">
        <f>IF(HR_Data[[#This Row],[TotalWorkingYears]]&lt;=5,"Junior",IF(HR_Data[[#This Row],[TotalWorkingYears]]&lt;=15,"Mid-Level","Senior"))</f>
        <v>Senior</v>
      </c>
      <c r="AN1223" s="11" t="str">
        <f>IF(HR_Data[[#This Row],[PerformanceRating]]=3,"Standard","Excellent")</f>
        <v>Excellent</v>
      </c>
      <c r="AO1223" s="11" t="str">
        <f>IF(HR_Data[[#This Row],[JobSatisfaction]]&lt;=2,"Low","High")</f>
        <v>High</v>
      </c>
      <c r="AP1223" s="11" t="str">
        <f>IF(AND(HR_Data[[#This Row],[OverTime]]="Yes",HR_Data[[#This Row],[JobSatisfaction]]&lt;=2,HR_Data[[#This Row],[YearsAtCompany]]&lt;=2),"High Risk","Normal")</f>
        <v>Normal</v>
      </c>
    </row>
    <row r="1224" spans="1:42" x14ac:dyDescent="0.25">
      <c r="A1224" s="6">
        <v>24</v>
      </c>
      <c r="B1224" s="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s="11" t="str">
        <f>IF(HR_Data[[#This Row],[Age]]&lt;=25,"18-25",IF(HR_Data[[#This Row],[Age]]&lt;=35,"26-35",IF(HR_Data[[#This Row],[Age]]&lt;=45,"36-45",IF(HR_Data[[#This Row],[Age]]&lt;=55,"46-55","56+"))))</f>
        <v>18-25</v>
      </c>
      <c r="AK1224" s="11" t="str">
        <f>IF(HR_Data[[#This Row],[MonthlyIncome]]&lt;3000,"Low",IF(HR_Data[[#This Row],[MonthlyIncome]]&lt;6000,"Medium",IF(HR_Data[[#This Row],[MonthlyIncome]]&lt;10000,"High","Very High")))</f>
        <v>Low</v>
      </c>
      <c r="AL122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24" t="str">
        <f>IF(HR_Data[[#This Row],[TotalWorkingYears]]&lt;=5,"Junior",IF(HR_Data[[#This Row],[TotalWorkingYears]]&lt;=15,"Mid-Level","Senior"))</f>
        <v>Junior</v>
      </c>
      <c r="AN1224" s="11" t="str">
        <f>IF(HR_Data[[#This Row],[PerformanceRating]]=3,"Standard","Excellent")</f>
        <v>Standard</v>
      </c>
      <c r="AO1224" s="11" t="str">
        <f>IF(HR_Data[[#This Row],[JobSatisfaction]]&lt;=2,"Low","High")</f>
        <v>High</v>
      </c>
      <c r="AP1224" s="11" t="str">
        <f>IF(AND(HR_Data[[#This Row],[OverTime]]="Yes",HR_Data[[#This Row],[JobSatisfaction]]&lt;=2,HR_Data[[#This Row],[YearsAtCompany]]&lt;=2),"High Risk","Normal")</f>
        <v>Normal</v>
      </c>
    </row>
    <row r="1225" spans="1:42" x14ac:dyDescent="0.25">
      <c r="A1225" s="6">
        <v>47</v>
      </c>
      <c r="B1225" s="4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s="11" t="str">
        <f>IF(HR_Data[[#This Row],[Age]]&lt;=25,"18-25",IF(HR_Data[[#This Row],[Age]]&lt;=35,"26-35",IF(HR_Data[[#This Row],[Age]]&lt;=45,"36-45",IF(HR_Data[[#This Row],[Age]]&lt;=55,"46-55","56+"))))</f>
        <v>46-55</v>
      </c>
      <c r="AK1225" s="11" t="str">
        <f>IF(HR_Data[[#This Row],[MonthlyIncome]]&lt;3000,"Low",IF(HR_Data[[#This Row],[MonthlyIncome]]&lt;6000,"Medium",IF(HR_Data[[#This Row],[MonthlyIncome]]&lt;10000,"High","Very High")))</f>
        <v>Very High</v>
      </c>
      <c r="AL122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225" t="str">
        <f>IF(HR_Data[[#This Row],[TotalWorkingYears]]&lt;=5,"Junior",IF(HR_Data[[#This Row],[TotalWorkingYears]]&lt;=15,"Mid-Level","Senior"))</f>
        <v>Senior</v>
      </c>
      <c r="AN1225" s="11" t="str">
        <f>IF(HR_Data[[#This Row],[PerformanceRating]]=3,"Standard","Excellent")</f>
        <v>Standard</v>
      </c>
      <c r="AO1225" s="11" t="str">
        <f>IF(HR_Data[[#This Row],[JobSatisfaction]]&lt;=2,"Low","High")</f>
        <v>High</v>
      </c>
      <c r="AP1225" s="11" t="str">
        <f>IF(AND(HR_Data[[#This Row],[OverTime]]="Yes",HR_Data[[#This Row],[JobSatisfaction]]&lt;=2,HR_Data[[#This Row],[YearsAtCompany]]&lt;=2),"High Risk","Normal")</f>
        <v>Normal</v>
      </c>
    </row>
    <row r="1226" spans="1:42" x14ac:dyDescent="0.25">
      <c r="A1226" s="6">
        <v>26</v>
      </c>
      <c r="B1226" s="4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s="11" t="str">
        <f>IF(HR_Data[[#This Row],[Age]]&lt;=25,"18-25",IF(HR_Data[[#This Row],[Age]]&lt;=35,"26-35",IF(HR_Data[[#This Row],[Age]]&lt;=45,"36-45",IF(HR_Data[[#This Row],[Age]]&lt;=55,"46-55","56+"))))</f>
        <v>26-35</v>
      </c>
      <c r="AK1226" s="11" t="str">
        <f>IF(HR_Data[[#This Row],[MonthlyIncome]]&lt;3000,"Low",IF(HR_Data[[#This Row],[MonthlyIncome]]&lt;6000,"Medium",IF(HR_Data[[#This Row],[MonthlyIncome]]&lt;10000,"High","Very High")))</f>
        <v>Low</v>
      </c>
      <c r="AL122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26" t="str">
        <f>IF(HR_Data[[#This Row],[TotalWorkingYears]]&lt;=5,"Junior",IF(HR_Data[[#This Row],[TotalWorkingYears]]&lt;=15,"Mid-Level","Senior"))</f>
        <v>Junior</v>
      </c>
      <c r="AN1226" s="11" t="str">
        <f>IF(HR_Data[[#This Row],[PerformanceRating]]=3,"Standard","Excellent")</f>
        <v>Standard</v>
      </c>
      <c r="AO1226" s="11" t="str">
        <f>IF(HR_Data[[#This Row],[JobSatisfaction]]&lt;=2,"Low","High")</f>
        <v>High</v>
      </c>
      <c r="AP1226" s="11" t="str">
        <f>IF(AND(HR_Data[[#This Row],[OverTime]]="Yes",HR_Data[[#This Row],[JobSatisfaction]]&lt;=2,HR_Data[[#This Row],[YearsAtCompany]]&lt;=2),"High Risk","Normal")</f>
        <v>Normal</v>
      </c>
    </row>
    <row r="1227" spans="1:42" x14ac:dyDescent="0.25">
      <c r="A1227" s="6">
        <v>45</v>
      </c>
      <c r="B1227" s="4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s="11" t="str">
        <f>IF(HR_Data[[#This Row],[Age]]&lt;=25,"18-25",IF(HR_Data[[#This Row],[Age]]&lt;=35,"26-35",IF(HR_Data[[#This Row],[Age]]&lt;=45,"36-45",IF(HR_Data[[#This Row],[Age]]&lt;=55,"46-55","56+"))))</f>
        <v>36-45</v>
      </c>
      <c r="AK1227" s="11" t="str">
        <f>IF(HR_Data[[#This Row],[MonthlyIncome]]&lt;3000,"Low",IF(HR_Data[[#This Row],[MonthlyIncome]]&lt;6000,"Medium",IF(HR_Data[[#This Row],[MonthlyIncome]]&lt;10000,"High","Very High")))</f>
        <v>Very High</v>
      </c>
      <c r="AL122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227" t="str">
        <f>IF(HR_Data[[#This Row],[TotalWorkingYears]]&lt;=5,"Junior",IF(HR_Data[[#This Row],[TotalWorkingYears]]&lt;=15,"Mid-Level","Senior"))</f>
        <v>Senior</v>
      </c>
      <c r="AN1227" s="11" t="str">
        <f>IF(HR_Data[[#This Row],[PerformanceRating]]=3,"Standard","Excellent")</f>
        <v>Standard</v>
      </c>
      <c r="AO1227" s="11" t="str">
        <f>IF(HR_Data[[#This Row],[JobSatisfaction]]&lt;=2,"Low","High")</f>
        <v>Low</v>
      </c>
      <c r="AP1227" s="11" t="str">
        <f>IF(AND(HR_Data[[#This Row],[OverTime]]="Yes",HR_Data[[#This Row],[JobSatisfaction]]&lt;=2,HR_Data[[#This Row],[YearsAtCompany]]&lt;=2),"High Risk","Normal")</f>
        <v>Normal</v>
      </c>
    </row>
    <row r="1228" spans="1:42" x14ac:dyDescent="0.25">
      <c r="A1228" s="6">
        <v>32</v>
      </c>
      <c r="B1228" s="4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s="11" t="str">
        <f>IF(HR_Data[[#This Row],[Age]]&lt;=25,"18-25",IF(HR_Data[[#This Row],[Age]]&lt;=35,"26-35",IF(HR_Data[[#This Row],[Age]]&lt;=45,"36-45",IF(HR_Data[[#This Row],[Age]]&lt;=55,"46-55","56+"))))</f>
        <v>26-35</v>
      </c>
      <c r="AK1228" s="11" t="str">
        <f>IF(HR_Data[[#This Row],[MonthlyIncome]]&lt;3000,"Low",IF(HR_Data[[#This Row],[MonthlyIncome]]&lt;6000,"Medium",IF(HR_Data[[#This Row],[MonthlyIncome]]&lt;10000,"High","Very High")))</f>
        <v>Medium</v>
      </c>
      <c r="AL122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28" t="str">
        <f>IF(HR_Data[[#This Row],[TotalWorkingYears]]&lt;=5,"Junior",IF(HR_Data[[#This Row],[TotalWorkingYears]]&lt;=15,"Mid-Level","Senior"))</f>
        <v>Mid-Level</v>
      </c>
      <c r="AN1228" s="11" t="str">
        <f>IF(HR_Data[[#This Row],[PerformanceRating]]=3,"Standard","Excellent")</f>
        <v>Standard</v>
      </c>
      <c r="AO1228" s="11" t="str">
        <f>IF(HR_Data[[#This Row],[JobSatisfaction]]&lt;=2,"Low","High")</f>
        <v>High</v>
      </c>
      <c r="AP1228" s="11" t="str">
        <f>IF(AND(HR_Data[[#This Row],[OverTime]]="Yes",HR_Data[[#This Row],[JobSatisfaction]]&lt;=2,HR_Data[[#This Row],[YearsAtCompany]]&lt;=2),"High Risk","Normal")</f>
        <v>Normal</v>
      </c>
    </row>
    <row r="1229" spans="1:42" x14ac:dyDescent="0.25">
      <c r="A1229" s="6">
        <v>31</v>
      </c>
      <c r="B1229" s="4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s="11" t="str">
        <f>IF(HR_Data[[#This Row],[Age]]&lt;=25,"18-25",IF(HR_Data[[#This Row],[Age]]&lt;=35,"26-35",IF(HR_Data[[#This Row],[Age]]&lt;=45,"36-45",IF(HR_Data[[#This Row],[Age]]&lt;=55,"46-55","56+"))))</f>
        <v>26-35</v>
      </c>
      <c r="AK1229" s="11" t="str">
        <f>IF(HR_Data[[#This Row],[MonthlyIncome]]&lt;3000,"Low",IF(HR_Data[[#This Row],[MonthlyIncome]]&lt;6000,"Medium",IF(HR_Data[[#This Row],[MonthlyIncome]]&lt;10000,"High","Very High")))</f>
        <v>Medium</v>
      </c>
      <c r="AL122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29" t="str">
        <f>IF(HR_Data[[#This Row],[TotalWorkingYears]]&lt;=5,"Junior",IF(HR_Data[[#This Row],[TotalWorkingYears]]&lt;=15,"Mid-Level","Senior"))</f>
        <v>Mid-Level</v>
      </c>
      <c r="AN1229" s="11" t="str">
        <f>IF(HR_Data[[#This Row],[PerformanceRating]]=3,"Standard","Excellent")</f>
        <v>Standard</v>
      </c>
      <c r="AO1229" s="11" t="str">
        <f>IF(HR_Data[[#This Row],[JobSatisfaction]]&lt;=2,"Low","High")</f>
        <v>High</v>
      </c>
      <c r="AP1229" s="11" t="str">
        <f>IF(AND(HR_Data[[#This Row],[OverTime]]="Yes",HR_Data[[#This Row],[JobSatisfaction]]&lt;=2,HR_Data[[#This Row],[YearsAtCompany]]&lt;=2),"High Risk","Normal")</f>
        <v>Normal</v>
      </c>
    </row>
    <row r="1230" spans="1:42" x14ac:dyDescent="0.25">
      <c r="A1230" s="6">
        <v>41</v>
      </c>
      <c r="B1230" s="4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s="11" t="str">
        <f>IF(HR_Data[[#This Row],[Age]]&lt;=25,"18-25",IF(HR_Data[[#This Row],[Age]]&lt;=35,"26-35",IF(HR_Data[[#This Row],[Age]]&lt;=45,"36-45",IF(HR_Data[[#This Row],[Age]]&lt;=55,"46-55","56+"))))</f>
        <v>36-45</v>
      </c>
      <c r="AK1230" s="11" t="str">
        <f>IF(HR_Data[[#This Row],[MonthlyIncome]]&lt;3000,"Low",IF(HR_Data[[#This Row],[MonthlyIncome]]&lt;6000,"Medium",IF(HR_Data[[#This Row],[MonthlyIncome]]&lt;10000,"High","Very High")))</f>
        <v>High</v>
      </c>
      <c r="AL123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30" t="str">
        <f>IF(HR_Data[[#This Row],[TotalWorkingYears]]&lt;=5,"Junior",IF(HR_Data[[#This Row],[TotalWorkingYears]]&lt;=15,"Mid-Level","Senior"))</f>
        <v>Mid-Level</v>
      </c>
      <c r="AN1230" s="11" t="str">
        <f>IF(HR_Data[[#This Row],[PerformanceRating]]=3,"Standard","Excellent")</f>
        <v>Standard</v>
      </c>
      <c r="AO1230" s="11" t="str">
        <f>IF(HR_Data[[#This Row],[JobSatisfaction]]&lt;=2,"Low","High")</f>
        <v>Low</v>
      </c>
      <c r="AP1230" s="11" t="str">
        <f>IF(AND(HR_Data[[#This Row],[OverTime]]="Yes",HR_Data[[#This Row],[JobSatisfaction]]&lt;=2,HR_Data[[#This Row],[YearsAtCompany]]&lt;=2),"High Risk","Normal")</f>
        <v>Normal</v>
      </c>
    </row>
    <row r="1231" spans="1:42" x14ac:dyDescent="0.25">
      <c r="A1231" s="6">
        <v>40</v>
      </c>
      <c r="B1231" s="4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s="11" t="str">
        <f>IF(HR_Data[[#This Row],[Age]]&lt;=25,"18-25",IF(HR_Data[[#This Row],[Age]]&lt;=35,"26-35",IF(HR_Data[[#This Row],[Age]]&lt;=45,"36-45",IF(HR_Data[[#This Row],[Age]]&lt;=55,"46-55","56+"))))</f>
        <v>36-45</v>
      </c>
      <c r="AK1231" s="11" t="str">
        <f>IF(HR_Data[[#This Row],[MonthlyIncome]]&lt;3000,"Low",IF(HR_Data[[#This Row],[MonthlyIncome]]&lt;6000,"Medium",IF(HR_Data[[#This Row],[MonthlyIncome]]&lt;10000,"High","Very High")))</f>
        <v>High</v>
      </c>
      <c r="AL123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31" t="str">
        <f>IF(HR_Data[[#This Row],[TotalWorkingYears]]&lt;=5,"Junior",IF(HR_Data[[#This Row],[TotalWorkingYears]]&lt;=15,"Mid-Level","Senior"))</f>
        <v>Senior</v>
      </c>
      <c r="AN1231" s="11" t="str">
        <f>IF(HR_Data[[#This Row],[PerformanceRating]]=3,"Standard","Excellent")</f>
        <v>Standard</v>
      </c>
      <c r="AO1231" s="11" t="str">
        <f>IF(HR_Data[[#This Row],[JobSatisfaction]]&lt;=2,"Low","High")</f>
        <v>Low</v>
      </c>
      <c r="AP1231" s="11" t="str">
        <f>IF(AND(HR_Data[[#This Row],[OverTime]]="Yes",HR_Data[[#This Row],[JobSatisfaction]]&lt;=2,HR_Data[[#This Row],[YearsAtCompany]]&lt;=2),"High Risk","Normal")</f>
        <v>High Risk</v>
      </c>
    </row>
    <row r="1232" spans="1:42" x14ac:dyDescent="0.25">
      <c r="A1232" s="6">
        <v>24</v>
      </c>
      <c r="B1232" s="4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s="11" t="str">
        <f>IF(HR_Data[[#This Row],[Age]]&lt;=25,"18-25",IF(HR_Data[[#This Row],[Age]]&lt;=35,"26-35",IF(HR_Data[[#This Row],[Age]]&lt;=45,"36-45",IF(HR_Data[[#This Row],[Age]]&lt;=55,"46-55","56+"))))</f>
        <v>18-25</v>
      </c>
      <c r="AK1232" s="11" t="str">
        <f>IF(HR_Data[[#This Row],[MonthlyIncome]]&lt;3000,"Low",IF(HR_Data[[#This Row],[MonthlyIncome]]&lt;6000,"Medium",IF(HR_Data[[#This Row],[MonthlyIncome]]&lt;10000,"High","Very High")))</f>
        <v>Medium</v>
      </c>
      <c r="AL123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32" t="str">
        <f>IF(HR_Data[[#This Row],[TotalWorkingYears]]&lt;=5,"Junior",IF(HR_Data[[#This Row],[TotalWorkingYears]]&lt;=15,"Mid-Level","Senior"))</f>
        <v>Mid-Level</v>
      </c>
      <c r="AN1232" s="11" t="str">
        <f>IF(HR_Data[[#This Row],[PerformanceRating]]=3,"Standard","Excellent")</f>
        <v>Standard</v>
      </c>
      <c r="AO1232" s="11" t="str">
        <f>IF(HR_Data[[#This Row],[JobSatisfaction]]&lt;=2,"Low","High")</f>
        <v>Low</v>
      </c>
      <c r="AP1232" s="11" t="str">
        <f>IF(AND(HR_Data[[#This Row],[OverTime]]="Yes",HR_Data[[#This Row],[JobSatisfaction]]&lt;=2,HR_Data[[#This Row],[YearsAtCompany]]&lt;=2),"High Risk","Normal")</f>
        <v>Normal</v>
      </c>
    </row>
    <row r="1233" spans="1:42" x14ac:dyDescent="0.25">
      <c r="A1233" s="6">
        <v>46</v>
      </c>
      <c r="B1233" s="4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s="11" t="str">
        <f>IF(HR_Data[[#This Row],[Age]]&lt;=25,"18-25",IF(HR_Data[[#This Row],[Age]]&lt;=35,"26-35",IF(HR_Data[[#This Row],[Age]]&lt;=45,"36-45",IF(HR_Data[[#This Row],[Age]]&lt;=55,"46-55","56+"))))</f>
        <v>46-55</v>
      </c>
      <c r="AK1233" s="11" t="str">
        <f>IF(HR_Data[[#This Row],[MonthlyIncome]]&lt;3000,"Low",IF(HR_Data[[#This Row],[MonthlyIncome]]&lt;6000,"Medium",IF(HR_Data[[#This Row],[MonthlyIncome]]&lt;10000,"High","Very High")))</f>
        <v>Medium</v>
      </c>
      <c r="AL123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33" t="str">
        <f>IF(HR_Data[[#This Row],[TotalWorkingYears]]&lt;=5,"Junior",IF(HR_Data[[#This Row],[TotalWorkingYears]]&lt;=15,"Mid-Level","Senior"))</f>
        <v>Senior</v>
      </c>
      <c r="AN1233" s="11" t="str">
        <f>IF(HR_Data[[#This Row],[PerformanceRating]]=3,"Standard","Excellent")</f>
        <v>Standard</v>
      </c>
      <c r="AO1233" s="11" t="str">
        <f>IF(HR_Data[[#This Row],[JobSatisfaction]]&lt;=2,"Low","High")</f>
        <v>Low</v>
      </c>
      <c r="AP1233" s="11" t="str">
        <f>IF(AND(HR_Data[[#This Row],[OverTime]]="Yes",HR_Data[[#This Row],[JobSatisfaction]]&lt;=2,HR_Data[[#This Row],[YearsAtCompany]]&lt;=2),"High Risk","Normal")</f>
        <v>Normal</v>
      </c>
    </row>
    <row r="1234" spans="1:42" x14ac:dyDescent="0.25">
      <c r="A1234" s="6">
        <v>35</v>
      </c>
      <c r="B1234" s="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s="11" t="str">
        <f>IF(HR_Data[[#This Row],[Age]]&lt;=25,"18-25",IF(HR_Data[[#This Row],[Age]]&lt;=35,"26-35",IF(HR_Data[[#This Row],[Age]]&lt;=45,"36-45",IF(HR_Data[[#This Row],[Age]]&lt;=55,"46-55","56+"))))</f>
        <v>26-35</v>
      </c>
      <c r="AK1234" s="11" t="str">
        <f>IF(HR_Data[[#This Row],[MonthlyIncome]]&lt;3000,"Low",IF(HR_Data[[#This Row],[MonthlyIncome]]&lt;6000,"Medium",IF(HR_Data[[#This Row],[MonthlyIncome]]&lt;10000,"High","Very High")))</f>
        <v>High</v>
      </c>
      <c r="AL123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34" t="str">
        <f>IF(HR_Data[[#This Row],[TotalWorkingYears]]&lt;=5,"Junior",IF(HR_Data[[#This Row],[TotalWorkingYears]]&lt;=15,"Mid-Level","Senior"))</f>
        <v>Senior</v>
      </c>
      <c r="AN1234" s="11" t="str">
        <f>IF(HR_Data[[#This Row],[PerformanceRating]]=3,"Standard","Excellent")</f>
        <v>Standard</v>
      </c>
      <c r="AO1234" s="11" t="str">
        <f>IF(HR_Data[[#This Row],[JobSatisfaction]]&lt;=2,"Low","High")</f>
        <v>High</v>
      </c>
      <c r="AP1234" s="11" t="str">
        <f>IF(AND(HR_Data[[#This Row],[OverTime]]="Yes",HR_Data[[#This Row],[JobSatisfaction]]&lt;=2,HR_Data[[#This Row],[YearsAtCompany]]&lt;=2),"High Risk","Normal")</f>
        <v>Normal</v>
      </c>
    </row>
    <row r="1235" spans="1:42" x14ac:dyDescent="0.25">
      <c r="A1235" s="6">
        <v>30</v>
      </c>
      <c r="B1235" s="4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s="11" t="str">
        <f>IF(HR_Data[[#This Row],[Age]]&lt;=25,"18-25",IF(HR_Data[[#This Row],[Age]]&lt;=35,"26-35",IF(HR_Data[[#This Row],[Age]]&lt;=45,"36-45",IF(HR_Data[[#This Row],[Age]]&lt;=55,"46-55","56+"))))</f>
        <v>26-35</v>
      </c>
      <c r="AK1235" s="11" t="str">
        <f>IF(HR_Data[[#This Row],[MonthlyIncome]]&lt;3000,"Low",IF(HR_Data[[#This Row],[MonthlyIncome]]&lt;6000,"Medium",IF(HR_Data[[#This Row],[MonthlyIncome]]&lt;10000,"High","Very High")))</f>
        <v>Low</v>
      </c>
      <c r="AL123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35" t="str">
        <f>IF(HR_Data[[#This Row],[TotalWorkingYears]]&lt;=5,"Junior",IF(HR_Data[[#This Row],[TotalWorkingYears]]&lt;=15,"Mid-Level","Senior"))</f>
        <v>Mid-Level</v>
      </c>
      <c r="AN1235" s="11" t="str">
        <f>IF(HR_Data[[#This Row],[PerformanceRating]]=3,"Standard","Excellent")</f>
        <v>Standard</v>
      </c>
      <c r="AO1235" s="11" t="str">
        <f>IF(HR_Data[[#This Row],[JobSatisfaction]]&lt;=2,"Low","High")</f>
        <v>High</v>
      </c>
      <c r="AP1235" s="11" t="str">
        <f>IF(AND(HR_Data[[#This Row],[OverTime]]="Yes",HR_Data[[#This Row],[JobSatisfaction]]&lt;=2,HR_Data[[#This Row],[YearsAtCompany]]&lt;=2),"High Risk","Normal")</f>
        <v>Normal</v>
      </c>
    </row>
    <row r="1236" spans="1:42" x14ac:dyDescent="0.25">
      <c r="A1236" s="6">
        <v>47</v>
      </c>
      <c r="B1236" s="4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s="11" t="str">
        <f>IF(HR_Data[[#This Row],[Age]]&lt;=25,"18-25",IF(HR_Data[[#This Row],[Age]]&lt;=35,"26-35",IF(HR_Data[[#This Row],[Age]]&lt;=45,"36-45",IF(HR_Data[[#This Row],[Age]]&lt;=55,"46-55","56+"))))</f>
        <v>46-55</v>
      </c>
      <c r="AK1236" s="11" t="str">
        <f>IF(HR_Data[[#This Row],[MonthlyIncome]]&lt;3000,"Low",IF(HR_Data[[#This Row],[MonthlyIncome]]&lt;6000,"Medium",IF(HR_Data[[#This Row],[MonthlyIncome]]&lt;10000,"High","Very High")))</f>
        <v>Medium</v>
      </c>
      <c r="AL123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36" t="str">
        <f>IF(HR_Data[[#This Row],[TotalWorkingYears]]&lt;=5,"Junior",IF(HR_Data[[#This Row],[TotalWorkingYears]]&lt;=15,"Mid-Level","Senior"))</f>
        <v>Junior</v>
      </c>
      <c r="AN1236" s="11" t="str">
        <f>IF(HR_Data[[#This Row],[PerformanceRating]]=3,"Standard","Excellent")</f>
        <v>Standard</v>
      </c>
      <c r="AO1236" s="11" t="str">
        <f>IF(HR_Data[[#This Row],[JobSatisfaction]]&lt;=2,"Low","High")</f>
        <v>Low</v>
      </c>
      <c r="AP1236" s="11" t="str">
        <f>IF(AND(HR_Data[[#This Row],[OverTime]]="Yes",HR_Data[[#This Row],[JobSatisfaction]]&lt;=2,HR_Data[[#This Row],[YearsAtCompany]]&lt;=2),"High Risk","Normal")</f>
        <v>Normal</v>
      </c>
    </row>
    <row r="1237" spans="1:42" x14ac:dyDescent="0.25">
      <c r="A1237" s="6">
        <v>46</v>
      </c>
      <c r="B1237" s="4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s="11" t="str">
        <f>IF(HR_Data[[#This Row],[Age]]&lt;=25,"18-25",IF(HR_Data[[#This Row],[Age]]&lt;=35,"26-35",IF(HR_Data[[#This Row],[Age]]&lt;=45,"36-45",IF(HR_Data[[#This Row],[Age]]&lt;=55,"46-55","56+"))))</f>
        <v>46-55</v>
      </c>
      <c r="AK1237" s="11" t="str">
        <f>IF(HR_Data[[#This Row],[MonthlyIncome]]&lt;3000,"Low",IF(HR_Data[[#This Row],[MonthlyIncome]]&lt;6000,"Medium",IF(HR_Data[[#This Row],[MonthlyIncome]]&lt;10000,"High","Very High")))</f>
        <v>Very High</v>
      </c>
      <c r="AL123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37" t="str">
        <f>IF(HR_Data[[#This Row],[TotalWorkingYears]]&lt;=5,"Junior",IF(HR_Data[[#This Row],[TotalWorkingYears]]&lt;=15,"Mid-Level","Senior"))</f>
        <v>Mid-Level</v>
      </c>
      <c r="AN1237" s="11" t="str">
        <f>IF(HR_Data[[#This Row],[PerformanceRating]]=3,"Standard","Excellent")</f>
        <v>Standard</v>
      </c>
      <c r="AO1237" s="11" t="str">
        <f>IF(HR_Data[[#This Row],[JobSatisfaction]]&lt;=2,"Low","High")</f>
        <v>High</v>
      </c>
      <c r="AP1237" s="11" t="str">
        <f>IF(AND(HR_Data[[#This Row],[OverTime]]="Yes",HR_Data[[#This Row],[JobSatisfaction]]&lt;=2,HR_Data[[#This Row],[YearsAtCompany]]&lt;=2),"High Risk","Normal")</f>
        <v>Normal</v>
      </c>
    </row>
    <row r="1238" spans="1:42" x14ac:dyDescent="0.25">
      <c r="A1238" s="6">
        <v>36</v>
      </c>
      <c r="B1238" s="4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s="11" t="str">
        <f>IF(HR_Data[[#This Row],[Age]]&lt;=25,"18-25",IF(HR_Data[[#This Row],[Age]]&lt;=35,"26-35",IF(HR_Data[[#This Row],[Age]]&lt;=45,"36-45",IF(HR_Data[[#This Row],[Age]]&lt;=55,"46-55","56+"))))</f>
        <v>36-45</v>
      </c>
      <c r="AK1238" s="11" t="str">
        <f>IF(HR_Data[[#This Row],[MonthlyIncome]]&lt;3000,"Low",IF(HR_Data[[#This Row],[MonthlyIncome]]&lt;6000,"Medium",IF(HR_Data[[#This Row],[MonthlyIncome]]&lt;10000,"High","Very High")))</f>
        <v>High</v>
      </c>
      <c r="AL123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38" t="str">
        <f>IF(HR_Data[[#This Row],[TotalWorkingYears]]&lt;=5,"Junior",IF(HR_Data[[#This Row],[TotalWorkingYears]]&lt;=15,"Mid-Level","Senior"))</f>
        <v>Senior</v>
      </c>
      <c r="AN1238" s="11" t="str">
        <f>IF(HR_Data[[#This Row],[PerformanceRating]]=3,"Standard","Excellent")</f>
        <v>Standard</v>
      </c>
      <c r="AO1238" s="11" t="str">
        <f>IF(HR_Data[[#This Row],[JobSatisfaction]]&lt;=2,"Low","High")</f>
        <v>Low</v>
      </c>
      <c r="AP1238" s="11" t="str">
        <f>IF(AND(HR_Data[[#This Row],[OverTime]]="Yes",HR_Data[[#This Row],[JobSatisfaction]]&lt;=2,HR_Data[[#This Row],[YearsAtCompany]]&lt;=2),"High Risk","Normal")</f>
        <v>High Risk</v>
      </c>
    </row>
    <row r="1239" spans="1:42" x14ac:dyDescent="0.25">
      <c r="A1239" s="6">
        <v>32</v>
      </c>
      <c r="B1239" s="4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s="11" t="str">
        <f>IF(HR_Data[[#This Row],[Age]]&lt;=25,"18-25",IF(HR_Data[[#This Row],[Age]]&lt;=35,"26-35",IF(HR_Data[[#This Row],[Age]]&lt;=45,"36-45",IF(HR_Data[[#This Row],[Age]]&lt;=55,"46-55","56+"))))</f>
        <v>26-35</v>
      </c>
      <c r="AK1239" s="11" t="str">
        <f>IF(HR_Data[[#This Row],[MonthlyIncome]]&lt;3000,"Low",IF(HR_Data[[#This Row],[MonthlyIncome]]&lt;6000,"Medium",IF(HR_Data[[#This Row],[MonthlyIncome]]&lt;10000,"High","Very High")))</f>
        <v>High</v>
      </c>
      <c r="AL123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39" t="str">
        <f>IF(HR_Data[[#This Row],[TotalWorkingYears]]&lt;=5,"Junior",IF(HR_Data[[#This Row],[TotalWorkingYears]]&lt;=15,"Mid-Level","Senior"))</f>
        <v>Mid-Level</v>
      </c>
      <c r="AN1239" s="11" t="str">
        <f>IF(HR_Data[[#This Row],[PerformanceRating]]=3,"Standard","Excellent")</f>
        <v>Standard</v>
      </c>
      <c r="AO1239" s="11" t="str">
        <f>IF(HR_Data[[#This Row],[JobSatisfaction]]&lt;=2,"Low","High")</f>
        <v>Low</v>
      </c>
      <c r="AP1239" s="11" t="str">
        <f>IF(AND(HR_Data[[#This Row],[OverTime]]="Yes",HR_Data[[#This Row],[JobSatisfaction]]&lt;=2,HR_Data[[#This Row],[YearsAtCompany]]&lt;=2),"High Risk","Normal")</f>
        <v>Normal</v>
      </c>
    </row>
    <row r="1240" spans="1:42" x14ac:dyDescent="0.25">
      <c r="A1240" s="6">
        <v>23</v>
      </c>
      <c r="B1240" s="4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s="11" t="str">
        <f>IF(HR_Data[[#This Row],[Age]]&lt;=25,"18-25",IF(HR_Data[[#This Row],[Age]]&lt;=35,"26-35",IF(HR_Data[[#This Row],[Age]]&lt;=45,"36-45",IF(HR_Data[[#This Row],[Age]]&lt;=55,"46-55","56+"))))</f>
        <v>18-25</v>
      </c>
      <c r="AK1240" s="11" t="str">
        <f>IF(HR_Data[[#This Row],[MonthlyIncome]]&lt;3000,"Low",IF(HR_Data[[#This Row],[MonthlyIncome]]&lt;6000,"Medium",IF(HR_Data[[#This Row],[MonthlyIncome]]&lt;10000,"High","Very High")))</f>
        <v>Medium</v>
      </c>
      <c r="AL124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40" t="str">
        <f>IF(HR_Data[[#This Row],[TotalWorkingYears]]&lt;=5,"Junior",IF(HR_Data[[#This Row],[TotalWorkingYears]]&lt;=15,"Mid-Level","Senior"))</f>
        <v>Junior</v>
      </c>
      <c r="AN1240" s="11" t="str">
        <f>IF(HR_Data[[#This Row],[PerformanceRating]]=3,"Standard","Excellent")</f>
        <v>Standard</v>
      </c>
      <c r="AO1240" s="11" t="str">
        <f>IF(HR_Data[[#This Row],[JobSatisfaction]]&lt;=2,"Low","High")</f>
        <v>Low</v>
      </c>
      <c r="AP1240" s="11" t="str">
        <f>IF(AND(HR_Data[[#This Row],[OverTime]]="Yes",HR_Data[[#This Row],[JobSatisfaction]]&lt;=2,HR_Data[[#This Row],[YearsAtCompany]]&lt;=2),"High Risk","Normal")</f>
        <v>Normal</v>
      </c>
    </row>
    <row r="1241" spans="1:42" x14ac:dyDescent="0.25">
      <c r="A1241" s="6">
        <v>31</v>
      </c>
      <c r="B1241" s="4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s="11" t="str">
        <f>IF(HR_Data[[#This Row],[Age]]&lt;=25,"18-25",IF(HR_Data[[#This Row],[Age]]&lt;=35,"26-35",IF(HR_Data[[#This Row],[Age]]&lt;=45,"36-45",IF(HR_Data[[#This Row],[Age]]&lt;=55,"46-55","56+"))))</f>
        <v>26-35</v>
      </c>
      <c r="AK1241" s="11" t="str">
        <f>IF(HR_Data[[#This Row],[MonthlyIncome]]&lt;3000,"Low",IF(HR_Data[[#This Row],[MonthlyIncome]]&lt;6000,"Medium",IF(HR_Data[[#This Row],[MonthlyIncome]]&lt;10000,"High","Very High")))</f>
        <v>Medium</v>
      </c>
      <c r="AL124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41" t="str">
        <f>IF(HR_Data[[#This Row],[TotalWorkingYears]]&lt;=5,"Junior",IF(HR_Data[[#This Row],[TotalWorkingYears]]&lt;=15,"Mid-Level","Senior"))</f>
        <v>Mid-Level</v>
      </c>
      <c r="AN1241" s="11" t="str">
        <f>IF(HR_Data[[#This Row],[PerformanceRating]]=3,"Standard","Excellent")</f>
        <v>Excellent</v>
      </c>
      <c r="AO1241" s="11" t="str">
        <f>IF(HR_Data[[#This Row],[JobSatisfaction]]&lt;=2,"Low","High")</f>
        <v>High</v>
      </c>
      <c r="AP1241" s="11" t="str">
        <f>IF(AND(HR_Data[[#This Row],[OverTime]]="Yes",HR_Data[[#This Row],[JobSatisfaction]]&lt;=2,HR_Data[[#This Row],[YearsAtCompany]]&lt;=2),"High Risk","Normal")</f>
        <v>Normal</v>
      </c>
    </row>
    <row r="1242" spans="1:42" x14ac:dyDescent="0.25">
      <c r="A1242" s="6">
        <v>39</v>
      </c>
      <c r="B1242" s="4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s="11" t="str">
        <f>IF(HR_Data[[#This Row],[Age]]&lt;=25,"18-25",IF(HR_Data[[#This Row],[Age]]&lt;=35,"26-35",IF(HR_Data[[#This Row],[Age]]&lt;=45,"36-45",IF(HR_Data[[#This Row],[Age]]&lt;=55,"46-55","56+"))))</f>
        <v>36-45</v>
      </c>
      <c r="AK1242" s="11" t="str">
        <f>IF(HR_Data[[#This Row],[MonthlyIncome]]&lt;3000,"Low",IF(HR_Data[[#This Row],[MonthlyIncome]]&lt;6000,"Medium",IF(HR_Data[[#This Row],[MonthlyIncome]]&lt;10000,"High","Very High")))</f>
        <v>High</v>
      </c>
      <c r="AL124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42" t="str">
        <f>IF(HR_Data[[#This Row],[TotalWorkingYears]]&lt;=5,"Junior",IF(HR_Data[[#This Row],[TotalWorkingYears]]&lt;=15,"Mid-Level","Senior"))</f>
        <v>Mid-Level</v>
      </c>
      <c r="AN1242" s="11" t="str">
        <f>IF(HR_Data[[#This Row],[PerformanceRating]]=3,"Standard","Excellent")</f>
        <v>Standard</v>
      </c>
      <c r="AO1242" s="11" t="str">
        <f>IF(HR_Data[[#This Row],[JobSatisfaction]]&lt;=2,"Low","High")</f>
        <v>High</v>
      </c>
      <c r="AP1242" s="11" t="str">
        <f>IF(AND(HR_Data[[#This Row],[OverTime]]="Yes",HR_Data[[#This Row],[JobSatisfaction]]&lt;=2,HR_Data[[#This Row],[YearsAtCompany]]&lt;=2),"High Risk","Normal")</f>
        <v>Normal</v>
      </c>
    </row>
    <row r="1243" spans="1:42" x14ac:dyDescent="0.25">
      <c r="A1243" s="6">
        <v>32</v>
      </c>
      <c r="B1243" s="4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s="11" t="str">
        <f>IF(HR_Data[[#This Row],[Age]]&lt;=25,"18-25",IF(HR_Data[[#This Row],[Age]]&lt;=35,"26-35",IF(HR_Data[[#This Row],[Age]]&lt;=45,"36-45",IF(HR_Data[[#This Row],[Age]]&lt;=55,"46-55","56+"))))</f>
        <v>26-35</v>
      </c>
      <c r="AK1243" s="11" t="str">
        <f>IF(HR_Data[[#This Row],[MonthlyIncome]]&lt;3000,"Low",IF(HR_Data[[#This Row],[MonthlyIncome]]&lt;6000,"Medium",IF(HR_Data[[#This Row],[MonthlyIncome]]&lt;10000,"High","Very High")))</f>
        <v>High</v>
      </c>
      <c r="AL124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43" t="str">
        <f>IF(HR_Data[[#This Row],[TotalWorkingYears]]&lt;=5,"Junior",IF(HR_Data[[#This Row],[TotalWorkingYears]]&lt;=15,"Mid-Level","Senior"))</f>
        <v>Mid-Level</v>
      </c>
      <c r="AN1243" s="11" t="str">
        <f>IF(HR_Data[[#This Row],[PerformanceRating]]=3,"Standard","Excellent")</f>
        <v>Standard</v>
      </c>
      <c r="AO1243" s="11" t="str">
        <f>IF(HR_Data[[#This Row],[JobSatisfaction]]&lt;=2,"Low","High")</f>
        <v>High</v>
      </c>
      <c r="AP1243" s="11" t="str">
        <f>IF(AND(HR_Data[[#This Row],[OverTime]]="Yes",HR_Data[[#This Row],[JobSatisfaction]]&lt;=2,HR_Data[[#This Row],[YearsAtCompany]]&lt;=2),"High Risk","Normal")</f>
        <v>Normal</v>
      </c>
    </row>
    <row r="1244" spans="1:42" x14ac:dyDescent="0.25">
      <c r="A1244" s="6">
        <v>40</v>
      </c>
      <c r="B1244" s="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s="11" t="str">
        <f>IF(HR_Data[[#This Row],[Age]]&lt;=25,"18-25",IF(HR_Data[[#This Row],[Age]]&lt;=35,"26-35",IF(HR_Data[[#This Row],[Age]]&lt;=45,"36-45",IF(HR_Data[[#This Row],[Age]]&lt;=55,"46-55","56+"))))</f>
        <v>36-45</v>
      </c>
      <c r="AK1244" s="11" t="str">
        <f>IF(HR_Data[[#This Row],[MonthlyIncome]]&lt;3000,"Low",IF(HR_Data[[#This Row],[MonthlyIncome]]&lt;6000,"Medium",IF(HR_Data[[#This Row],[MonthlyIncome]]&lt;10000,"High","Very High")))</f>
        <v>Very High</v>
      </c>
      <c r="AL1244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244" t="str">
        <f>IF(HR_Data[[#This Row],[TotalWorkingYears]]&lt;=5,"Junior",IF(HR_Data[[#This Row],[TotalWorkingYears]]&lt;=15,"Mid-Level","Senior"))</f>
        <v>Senior</v>
      </c>
      <c r="AN1244" s="11" t="str">
        <f>IF(HR_Data[[#This Row],[PerformanceRating]]=3,"Standard","Excellent")</f>
        <v>Standard</v>
      </c>
      <c r="AO1244" s="11" t="str">
        <f>IF(HR_Data[[#This Row],[JobSatisfaction]]&lt;=2,"Low","High")</f>
        <v>Low</v>
      </c>
      <c r="AP1244" s="11" t="str">
        <f>IF(AND(HR_Data[[#This Row],[OverTime]]="Yes",HR_Data[[#This Row],[JobSatisfaction]]&lt;=2,HR_Data[[#This Row],[YearsAtCompany]]&lt;=2),"High Risk","Normal")</f>
        <v>Normal</v>
      </c>
    </row>
    <row r="1245" spans="1:42" x14ac:dyDescent="0.25">
      <c r="A1245" s="6">
        <v>45</v>
      </c>
      <c r="B1245" s="4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s="11" t="str">
        <f>IF(HR_Data[[#This Row],[Age]]&lt;=25,"18-25",IF(HR_Data[[#This Row],[Age]]&lt;=35,"26-35",IF(HR_Data[[#This Row],[Age]]&lt;=45,"36-45",IF(HR_Data[[#This Row],[Age]]&lt;=55,"46-55","56+"))))</f>
        <v>36-45</v>
      </c>
      <c r="AK1245" s="11" t="str">
        <f>IF(HR_Data[[#This Row],[MonthlyIncome]]&lt;3000,"Low",IF(HR_Data[[#This Row],[MonthlyIncome]]&lt;6000,"Medium",IF(HR_Data[[#This Row],[MonthlyIncome]]&lt;10000,"High","Very High")))</f>
        <v>High</v>
      </c>
      <c r="AL124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45" t="str">
        <f>IF(HR_Data[[#This Row],[TotalWorkingYears]]&lt;=5,"Junior",IF(HR_Data[[#This Row],[TotalWorkingYears]]&lt;=15,"Mid-Level","Senior"))</f>
        <v>Mid-Level</v>
      </c>
      <c r="AN1245" s="11" t="str">
        <f>IF(HR_Data[[#This Row],[PerformanceRating]]=3,"Standard","Excellent")</f>
        <v>Excellent</v>
      </c>
      <c r="AO1245" s="11" t="str">
        <f>IF(HR_Data[[#This Row],[JobSatisfaction]]&lt;=2,"Low","High")</f>
        <v>High</v>
      </c>
      <c r="AP1245" s="11" t="str">
        <f>IF(AND(HR_Data[[#This Row],[OverTime]]="Yes",HR_Data[[#This Row],[JobSatisfaction]]&lt;=2,HR_Data[[#This Row],[YearsAtCompany]]&lt;=2),"High Risk","Normal")</f>
        <v>Normal</v>
      </c>
    </row>
    <row r="1246" spans="1:42" x14ac:dyDescent="0.25">
      <c r="A1246" s="6">
        <v>30</v>
      </c>
      <c r="B1246" s="4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s="11" t="str">
        <f>IF(HR_Data[[#This Row],[Age]]&lt;=25,"18-25",IF(HR_Data[[#This Row],[Age]]&lt;=35,"26-35",IF(HR_Data[[#This Row],[Age]]&lt;=45,"36-45",IF(HR_Data[[#This Row],[Age]]&lt;=55,"46-55","56+"))))</f>
        <v>26-35</v>
      </c>
      <c r="AK1246" s="11" t="str">
        <f>IF(HR_Data[[#This Row],[MonthlyIncome]]&lt;3000,"Low",IF(HR_Data[[#This Row],[MonthlyIncome]]&lt;6000,"Medium",IF(HR_Data[[#This Row],[MonthlyIncome]]&lt;10000,"High","Very High")))</f>
        <v>Medium</v>
      </c>
      <c r="AL124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46" t="str">
        <f>IF(HR_Data[[#This Row],[TotalWorkingYears]]&lt;=5,"Junior",IF(HR_Data[[#This Row],[TotalWorkingYears]]&lt;=15,"Mid-Level","Senior"))</f>
        <v>Mid-Level</v>
      </c>
      <c r="AN1246" s="11" t="str">
        <f>IF(HR_Data[[#This Row],[PerformanceRating]]=3,"Standard","Excellent")</f>
        <v>Standard</v>
      </c>
      <c r="AO1246" s="11" t="str">
        <f>IF(HR_Data[[#This Row],[JobSatisfaction]]&lt;=2,"Low","High")</f>
        <v>Low</v>
      </c>
      <c r="AP1246" s="11" t="str">
        <f>IF(AND(HR_Data[[#This Row],[OverTime]]="Yes",HR_Data[[#This Row],[JobSatisfaction]]&lt;=2,HR_Data[[#This Row],[YearsAtCompany]]&lt;=2),"High Risk","Normal")</f>
        <v>Normal</v>
      </c>
    </row>
    <row r="1247" spans="1:42" x14ac:dyDescent="0.25">
      <c r="A1247" s="6">
        <v>24</v>
      </c>
      <c r="B1247" s="4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s="11" t="str">
        <f>IF(HR_Data[[#This Row],[Age]]&lt;=25,"18-25",IF(HR_Data[[#This Row],[Age]]&lt;=35,"26-35",IF(HR_Data[[#This Row],[Age]]&lt;=45,"36-45",IF(HR_Data[[#This Row],[Age]]&lt;=55,"46-55","56+"))))</f>
        <v>18-25</v>
      </c>
      <c r="AK1247" s="11" t="str">
        <f>IF(HR_Data[[#This Row],[MonthlyIncome]]&lt;3000,"Low",IF(HR_Data[[#This Row],[MonthlyIncome]]&lt;6000,"Medium",IF(HR_Data[[#This Row],[MonthlyIncome]]&lt;10000,"High","Very High")))</f>
        <v>Low</v>
      </c>
      <c r="AL124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47" t="str">
        <f>IF(HR_Data[[#This Row],[TotalWorkingYears]]&lt;=5,"Junior",IF(HR_Data[[#This Row],[TotalWorkingYears]]&lt;=15,"Mid-Level","Senior"))</f>
        <v>Junior</v>
      </c>
      <c r="AN1247" s="11" t="str">
        <f>IF(HR_Data[[#This Row],[PerformanceRating]]=3,"Standard","Excellent")</f>
        <v>Standard</v>
      </c>
      <c r="AO1247" s="11" t="str">
        <f>IF(HR_Data[[#This Row],[JobSatisfaction]]&lt;=2,"Low","High")</f>
        <v>High</v>
      </c>
      <c r="AP1247" s="11" t="str">
        <f>IF(AND(HR_Data[[#This Row],[OverTime]]="Yes",HR_Data[[#This Row],[JobSatisfaction]]&lt;=2,HR_Data[[#This Row],[YearsAtCompany]]&lt;=2),"High Risk","Normal")</f>
        <v>Normal</v>
      </c>
    </row>
    <row r="1248" spans="1:42" x14ac:dyDescent="0.25">
      <c r="A1248" s="6">
        <v>30</v>
      </c>
      <c r="B1248" s="4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s="11" t="str">
        <f>IF(HR_Data[[#This Row],[Age]]&lt;=25,"18-25",IF(HR_Data[[#This Row],[Age]]&lt;=35,"26-35",IF(HR_Data[[#This Row],[Age]]&lt;=45,"36-45",IF(HR_Data[[#This Row],[Age]]&lt;=55,"46-55","56+"))))</f>
        <v>26-35</v>
      </c>
      <c r="AK1248" s="11" t="str">
        <f>IF(HR_Data[[#This Row],[MonthlyIncome]]&lt;3000,"Low",IF(HR_Data[[#This Row],[MonthlyIncome]]&lt;6000,"Medium",IF(HR_Data[[#This Row],[MonthlyIncome]]&lt;10000,"High","Very High")))</f>
        <v>Low</v>
      </c>
      <c r="AL124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48" t="str">
        <f>IF(HR_Data[[#This Row],[TotalWorkingYears]]&lt;=5,"Junior",IF(HR_Data[[#This Row],[TotalWorkingYears]]&lt;=15,"Mid-Level","Senior"))</f>
        <v>Mid-Level</v>
      </c>
      <c r="AN1248" s="11" t="str">
        <f>IF(HR_Data[[#This Row],[PerformanceRating]]=3,"Standard","Excellent")</f>
        <v>Standard</v>
      </c>
      <c r="AO1248" s="11" t="str">
        <f>IF(HR_Data[[#This Row],[JobSatisfaction]]&lt;=2,"Low","High")</f>
        <v>High</v>
      </c>
      <c r="AP1248" s="11" t="str">
        <f>IF(AND(HR_Data[[#This Row],[OverTime]]="Yes",HR_Data[[#This Row],[JobSatisfaction]]&lt;=2,HR_Data[[#This Row],[YearsAtCompany]]&lt;=2),"High Risk","Normal")</f>
        <v>Normal</v>
      </c>
    </row>
    <row r="1249" spans="1:42" x14ac:dyDescent="0.25">
      <c r="A1249" s="6">
        <v>31</v>
      </c>
      <c r="B1249" s="4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s="11" t="str">
        <f>IF(HR_Data[[#This Row],[Age]]&lt;=25,"18-25",IF(HR_Data[[#This Row],[Age]]&lt;=35,"26-35",IF(HR_Data[[#This Row],[Age]]&lt;=45,"36-45",IF(HR_Data[[#This Row],[Age]]&lt;=55,"46-55","56+"))))</f>
        <v>26-35</v>
      </c>
      <c r="AK1249" s="11" t="str">
        <f>IF(HR_Data[[#This Row],[MonthlyIncome]]&lt;3000,"Low",IF(HR_Data[[#This Row],[MonthlyIncome]]&lt;6000,"Medium",IF(HR_Data[[#This Row],[MonthlyIncome]]&lt;10000,"High","Very High")))</f>
        <v>High</v>
      </c>
      <c r="AL124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49" t="str">
        <f>IF(HR_Data[[#This Row],[TotalWorkingYears]]&lt;=5,"Junior",IF(HR_Data[[#This Row],[TotalWorkingYears]]&lt;=15,"Mid-Level","Senior"))</f>
        <v>Mid-Level</v>
      </c>
      <c r="AN1249" s="11" t="str">
        <f>IF(HR_Data[[#This Row],[PerformanceRating]]=3,"Standard","Excellent")</f>
        <v>Standard</v>
      </c>
      <c r="AO1249" s="11" t="str">
        <f>IF(HR_Data[[#This Row],[JobSatisfaction]]&lt;=2,"Low","High")</f>
        <v>High</v>
      </c>
      <c r="AP1249" s="11" t="str">
        <f>IF(AND(HR_Data[[#This Row],[OverTime]]="Yes",HR_Data[[#This Row],[JobSatisfaction]]&lt;=2,HR_Data[[#This Row],[YearsAtCompany]]&lt;=2),"High Risk","Normal")</f>
        <v>Normal</v>
      </c>
    </row>
    <row r="1250" spans="1:42" x14ac:dyDescent="0.25">
      <c r="A1250" s="6">
        <v>27</v>
      </c>
      <c r="B1250" s="4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s="11" t="str">
        <f>IF(HR_Data[[#This Row],[Age]]&lt;=25,"18-25",IF(HR_Data[[#This Row],[Age]]&lt;=35,"26-35",IF(HR_Data[[#This Row],[Age]]&lt;=45,"36-45",IF(HR_Data[[#This Row],[Age]]&lt;=55,"46-55","56+"))))</f>
        <v>26-35</v>
      </c>
      <c r="AK1250" s="11" t="str">
        <f>IF(HR_Data[[#This Row],[MonthlyIncome]]&lt;3000,"Low",IF(HR_Data[[#This Row],[MonthlyIncome]]&lt;6000,"Medium",IF(HR_Data[[#This Row],[MonthlyIncome]]&lt;10000,"High","Very High")))</f>
        <v>Medium</v>
      </c>
      <c r="AL125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50" t="str">
        <f>IF(HR_Data[[#This Row],[TotalWorkingYears]]&lt;=5,"Junior",IF(HR_Data[[#This Row],[TotalWorkingYears]]&lt;=15,"Mid-Level","Senior"))</f>
        <v>Mid-Level</v>
      </c>
      <c r="AN1250" s="11" t="str">
        <f>IF(HR_Data[[#This Row],[PerformanceRating]]=3,"Standard","Excellent")</f>
        <v>Standard</v>
      </c>
      <c r="AO1250" s="11" t="str">
        <f>IF(HR_Data[[#This Row],[JobSatisfaction]]&lt;=2,"Low","High")</f>
        <v>High</v>
      </c>
      <c r="AP1250" s="11" t="str">
        <f>IF(AND(HR_Data[[#This Row],[OverTime]]="Yes",HR_Data[[#This Row],[JobSatisfaction]]&lt;=2,HR_Data[[#This Row],[YearsAtCompany]]&lt;=2),"High Risk","Normal")</f>
        <v>Normal</v>
      </c>
    </row>
    <row r="1251" spans="1:42" x14ac:dyDescent="0.25">
      <c r="A1251" s="6">
        <v>29</v>
      </c>
      <c r="B1251" s="4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s="11" t="str">
        <f>IF(HR_Data[[#This Row],[Age]]&lt;=25,"18-25",IF(HR_Data[[#This Row],[Age]]&lt;=35,"26-35",IF(HR_Data[[#This Row],[Age]]&lt;=45,"36-45",IF(HR_Data[[#This Row],[Age]]&lt;=55,"46-55","56+"))))</f>
        <v>26-35</v>
      </c>
      <c r="AK1251" s="11" t="str">
        <f>IF(HR_Data[[#This Row],[MonthlyIncome]]&lt;3000,"Low",IF(HR_Data[[#This Row],[MonthlyIncome]]&lt;6000,"Medium",IF(HR_Data[[#This Row],[MonthlyIncome]]&lt;10000,"High","Very High")))</f>
        <v>Low</v>
      </c>
      <c r="AL125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51" t="str">
        <f>IF(HR_Data[[#This Row],[TotalWorkingYears]]&lt;=5,"Junior",IF(HR_Data[[#This Row],[TotalWorkingYears]]&lt;=15,"Mid-Level","Senior"))</f>
        <v>Junior</v>
      </c>
      <c r="AN1251" s="11" t="str">
        <f>IF(HR_Data[[#This Row],[PerformanceRating]]=3,"Standard","Excellent")</f>
        <v>Standard</v>
      </c>
      <c r="AO1251" s="11" t="str">
        <f>IF(HR_Data[[#This Row],[JobSatisfaction]]&lt;=2,"Low","High")</f>
        <v>Low</v>
      </c>
      <c r="AP1251" s="11" t="str">
        <f>IF(AND(HR_Data[[#This Row],[OverTime]]="Yes",HR_Data[[#This Row],[JobSatisfaction]]&lt;=2,HR_Data[[#This Row],[YearsAtCompany]]&lt;=2),"High Risk","Normal")</f>
        <v>Normal</v>
      </c>
    </row>
    <row r="1252" spans="1:42" x14ac:dyDescent="0.25">
      <c r="A1252" s="6">
        <v>29</v>
      </c>
      <c r="B1252" s="4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s="11" t="str">
        <f>IF(HR_Data[[#This Row],[Age]]&lt;=25,"18-25",IF(HR_Data[[#This Row],[Age]]&lt;=35,"26-35",IF(HR_Data[[#This Row],[Age]]&lt;=45,"36-45",IF(HR_Data[[#This Row],[Age]]&lt;=55,"46-55","56+"))))</f>
        <v>26-35</v>
      </c>
      <c r="AK1252" s="11" t="str">
        <f>IF(HR_Data[[#This Row],[MonthlyIncome]]&lt;3000,"Low",IF(HR_Data[[#This Row],[MonthlyIncome]]&lt;6000,"Medium",IF(HR_Data[[#This Row],[MonthlyIncome]]&lt;10000,"High","Very High")))</f>
        <v>High</v>
      </c>
      <c r="AL125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52" t="str">
        <f>IF(HR_Data[[#This Row],[TotalWorkingYears]]&lt;=5,"Junior",IF(HR_Data[[#This Row],[TotalWorkingYears]]&lt;=15,"Mid-Level","Senior"))</f>
        <v>Mid-Level</v>
      </c>
      <c r="AN1252" s="11" t="str">
        <f>IF(HR_Data[[#This Row],[PerformanceRating]]=3,"Standard","Excellent")</f>
        <v>Standard</v>
      </c>
      <c r="AO1252" s="11" t="str">
        <f>IF(HR_Data[[#This Row],[JobSatisfaction]]&lt;=2,"Low","High")</f>
        <v>High</v>
      </c>
      <c r="AP1252" s="11" t="str">
        <f>IF(AND(HR_Data[[#This Row],[OverTime]]="Yes",HR_Data[[#This Row],[JobSatisfaction]]&lt;=2,HR_Data[[#This Row],[YearsAtCompany]]&lt;=2),"High Risk","Normal")</f>
        <v>Normal</v>
      </c>
    </row>
    <row r="1253" spans="1:42" x14ac:dyDescent="0.25">
      <c r="A1253" s="6">
        <v>30</v>
      </c>
      <c r="B1253" s="4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s="11" t="str">
        <f>IF(HR_Data[[#This Row],[Age]]&lt;=25,"18-25",IF(HR_Data[[#This Row],[Age]]&lt;=35,"26-35",IF(HR_Data[[#This Row],[Age]]&lt;=45,"36-45",IF(HR_Data[[#This Row],[Age]]&lt;=55,"46-55","56+"))))</f>
        <v>26-35</v>
      </c>
      <c r="AK1253" s="11" t="str">
        <f>IF(HR_Data[[#This Row],[MonthlyIncome]]&lt;3000,"Low",IF(HR_Data[[#This Row],[MonthlyIncome]]&lt;6000,"Medium",IF(HR_Data[[#This Row],[MonthlyIncome]]&lt;10000,"High","Very High")))</f>
        <v>High</v>
      </c>
      <c r="AL125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53" t="str">
        <f>IF(HR_Data[[#This Row],[TotalWorkingYears]]&lt;=5,"Junior",IF(HR_Data[[#This Row],[TotalWorkingYears]]&lt;=15,"Mid-Level","Senior"))</f>
        <v>Mid-Level</v>
      </c>
      <c r="AN1253" s="11" t="str">
        <f>IF(HR_Data[[#This Row],[PerformanceRating]]=3,"Standard","Excellent")</f>
        <v>Standard</v>
      </c>
      <c r="AO1253" s="11" t="str">
        <f>IF(HR_Data[[#This Row],[JobSatisfaction]]&lt;=2,"Low","High")</f>
        <v>Low</v>
      </c>
      <c r="AP1253" s="11" t="str">
        <f>IF(AND(HR_Data[[#This Row],[OverTime]]="Yes",HR_Data[[#This Row],[JobSatisfaction]]&lt;=2,HR_Data[[#This Row],[YearsAtCompany]]&lt;=2),"High Risk","Normal")</f>
        <v>Normal</v>
      </c>
    </row>
    <row r="1254" spans="1:42" x14ac:dyDescent="0.25">
      <c r="A1254" s="6">
        <v>34</v>
      </c>
      <c r="B1254" s="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s="11" t="str">
        <f>IF(HR_Data[[#This Row],[Age]]&lt;=25,"18-25",IF(HR_Data[[#This Row],[Age]]&lt;=35,"26-35",IF(HR_Data[[#This Row],[Age]]&lt;=45,"36-45",IF(HR_Data[[#This Row],[Age]]&lt;=55,"46-55","56+"))))</f>
        <v>26-35</v>
      </c>
      <c r="AK1254" s="11" t="str">
        <f>IF(HR_Data[[#This Row],[MonthlyIncome]]&lt;3000,"Low",IF(HR_Data[[#This Row],[MonthlyIncome]]&lt;6000,"Medium",IF(HR_Data[[#This Row],[MonthlyIncome]]&lt;10000,"High","Very High")))</f>
        <v>Low</v>
      </c>
      <c r="AL125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54" t="str">
        <f>IF(HR_Data[[#This Row],[TotalWorkingYears]]&lt;=5,"Junior",IF(HR_Data[[#This Row],[TotalWorkingYears]]&lt;=15,"Mid-Level","Senior"))</f>
        <v>Mid-Level</v>
      </c>
      <c r="AN1254" s="11" t="str">
        <f>IF(HR_Data[[#This Row],[PerformanceRating]]=3,"Standard","Excellent")</f>
        <v>Standard</v>
      </c>
      <c r="AO1254" s="11" t="str">
        <f>IF(HR_Data[[#This Row],[JobSatisfaction]]&lt;=2,"Low","High")</f>
        <v>High</v>
      </c>
      <c r="AP1254" s="11" t="str">
        <f>IF(AND(HR_Data[[#This Row],[OverTime]]="Yes",HR_Data[[#This Row],[JobSatisfaction]]&lt;=2,HR_Data[[#This Row],[YearsAtCompany]]&lt;=2),"High Risk","Normal")</f>
        <v>Normal</v>
      </c>
    </row>
    <row r="1255" spans="1:42" x14ac:dyDescent="0.25">
      <c r="A1255" s="6">
        <v>33</v>
      </c>
      <c r="B1255" s="4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s="11" t="str">
        <f>IF(HR_Data[[#This Row],[Age]]&lt;=25,"18-25",IF(HR_Data[[#This Row],[Age]]&lt;=35,"26-35",IF(HR_Data[[#This Row],[Age]]&lt;=45,"36-45",IF(HR_Data[[#This Row],[Age]]&lt;=55,"46-55","56+"))))</f>
        <v>26-35</v>
      </c>
      <c r="AK1255" s="11" t="str">
        <f>IF(HR_Data[[#This Row],[MonthlyIncome]]&lt;3000,"Low",IF(HR_Data[[#This Row],[MonthlyIncome]]&lt;6000,"Medium",IF(HR_Data[[#This Row],[MonthlyIncome]]&lt;10000,"High","Very High")))</f>
        <v>Medium</v>
      </c>
      <c r="AL1255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255" t="str">
        <f>IF(HR_Data[[#This Row],[TotalWorkingYears]]&lt;=5,"Junior",IF(HR_Data[[#This Row],[TotalWorkingYears]]&lt;=15,"Mid-Level","Senior"))</f>
        <v>Mid-Level</v>
      </c>
      <c r="AN1255" s="11" t="str">
        <f>IF(HR_Data[[#This Row],[PerformanceRating]]=3,"Standard","Excellent")</f>
        <v>Standard</v>
      </c>
      <c r="AO1255" s="11" t="str">
        <f>IF(HR_Data[[#This Row],[JobSatisfaction]]&lt;=2,"Low","High")</f>
        <v>Low</v>
      </c>
      <c r="AP1255" s="11" t="str">
        <f>IF(AND(HR_Data[[#This Row],[OverTime]]="Yes",HR_Data[[#This Row],[JobSatisfaction]]&lt;=2,HR_Data[[#This Row],[YearsAtCompany]]&lt;=2),"High Risk","Normal")</f>
        <v>Normal</v>
      </c>
    </row>
    <row r="1256" spans="1:42" x14ac:dyDescent="0.25">
      <c r="A1256" s="6">
        <v>49</v>
      </c>
      <c r="B1256" s="4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s="11" t="str">
        <f>IF(HR_Data[[#This Row],[Age]]&lt;=25,"18-25",IF(HR_Data[[#This Row],[Age]]&lt;=35,"26-35",IF(HR_Data[[#This Row],[Age]]&lt;=45,"36-45",IF(HR_Data[[#This Row],[Age]]&lt;=55,"46-55","56+"))))</f>
        <v>46-55</v>
      </c>
      <c r="AK1256" s="11" t="str">
        <f>IF(HR_Data[[#This Row],[MonthlyIncome]]&lt;3000,"Low",IF(HR_Data[[#This Row],[MonthlyIncome]]&lt;6000,"Medium",IF(HR_Data[[#This Row],[MonthlyIncome]]&lt;10000,"High","Very High")))</f>
        <v>Medium</v>
      </c>
      <c r="AL125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56" t="str">
        <f>IF(HR_Data[[#This Row],[TotalWorkingYears]]&lt;=5,"Junior",IF(HR_Data[[#This Row],[TotalWorkingYears]]&lt;=15,"Mid-Level","Senior"))</f>
        <v>Mid-Level</v>
      </c>
      <c r="AN1256" s="11" t="str">
        <f>IF(HR_Data[[#This Row],[PerformanceRating]]=3,"Standard","Excellent")</f>
        <v>Standard</v>
      </c>
      <c r="AO1256" s="11" t="str">
        <f>IF(HR_Data[[#This Row],[JobSatisfaction]]&lt;=2,"Low","High")</f>
        <v>High</v>
      </c>
      <c r="AP1256" s="11" t="str">
        <f>IF(AND(HR_Data[[#This Row],[OverTime]]="Yes",HR_Data[[#This Row],[JobSatisfaction]]&lt;=2,HR_Data[[#This Row],[YearsAtCompany]]&lt;=2),"High Risk","Normal")</f>
        <v>Normal</v>
      </c>
    </row>
    <row r="1257" spans="1:42" x14ac:dyDescent="0.25">
      <c r="A1257" s="6">
        <v>33</v>
      </c>
      <c r="B1257" s="4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s="11" t="str">
        <f>IF(HR_Data[[#This Row],[Age]]&lt;=25,"18-25",IF(HR_Data[[#This Row],[Age]]&lt;=35,"26-35",IF(HR_Data[[#This Row],[Age]]&lt;=45,"36-45",IF(HR_Data[[#This Row],[Age]]&lt;=55,"46-55","56+"))))</f>
        <v>26-35</v>
      </c>
      <c r="AK1257" s="11" t="str">
        <f>IF(HR_Data[[#This Row],[MonthlyIncome]]&lt;3000,"Low",IF(HR_Data[[#This Row],[MonthlyIncome]]&lt;6000,"Medium",IF(HR_Data[[#This Row],[MonthlyIncome]]&lt;10000,"High","Very High")))</f>
        <v>High</v>
      </c>
      <c r="AL125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57" t="str">
        <f>IF(HR_Data[[#This Row],[TotalWorkingYears]]&lt;=5,"Junior",IF(HR_Data[[#This Row],[TotalWorkingYears]]&lt;=15,"Mid-Level","Senior"))</f>
        <v>Mid-Level</v>
      </c>
      <c r="AN1257" s="11" t="str">
        <f>IF(HR_Data[[#This Row],[PerformanceRating]]=3,"Standard","Excellent")</f>
        <v>Excellent</v>
      </c>
      <c r="AO1257" s="11" t="str">
        <f>IF(HR_Data[[#This Row],[JobSatisfaction]]&lt;=2,"Low","High")</f>
        <v>Low</v>
      </c>
      <c r="AP1257" s="11" t="str">
        <f>IF(AND(HR_Data[[#This Row],[OverTime]]="Yes",HR_Data[[#This Row],[JobSatisfaction]]&lt;=2,HR_Data[[#This Row],[YearsAtCompany]]&lt;=2),"High Risk","Normal")</f>
        <v>High Risk</v>
      </c>
    </row>
    <row r="1258" spans="1:42" x14ac:dyDescent="0.25">
      <c r="A1258" s="6">
        <v>38</v>
      </c>
      <c r="B1258" s="4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s="11" t="str">
        <f>IF(HR_Data[[#This Row],[Age]]&lt;=25,"18-25",IF(HR_Data[[#This Row],[Age]]&lt;=35,"26-35",IF(HR_Data[[#This Row],[Age]]&lt;=45,"36-45",IF(HR_Data[[#This Row],[Age]]&lt;=55,"46-55","56+"))))</f>
        <v>36-45</v>
      </c>
      <c r="AK1258" s="11" t="str">
        <f>IF(HR_Data[[#This Row],[MonthlyIncome]]&lt;3000,"Low",IF(HR_Data[[#This Row],[MonthlyIncome]]&lt;6000,"Medium",IF(HR_Data[[#This Row],[MonthlyIncome]]&lt;10000,"High","Very High")))</f>
        <v>Low</v>
      </c>
      <c r="AL125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58" t="str">
        <f>IF(HR_Data[[#This Row],[TotalWorkingYears]]&lt;=5,"Junior",IF(HR_Data[[#This Row],[TotalWorkingYears]]&lt;=15,"Mid-Level","Senior"))</f>
        <v>Mid-Level</v>
      </c>
      <c r="AN1258" s="11" t="str">
        <f>IF(HR_Data[[#This Row],[PerformanceRating]]=3,"Standard","Excellent")</f>
        <v>Standard</v>
      </c>
      <c r="AO1258" s="11" t="str">
        <f>IF(HR_Data[[#This Row],[JobSatisfaction]]&lt;=2,"Low","High")</f>
        <v>Low</v>
      </c>
      <c r="AP1258" s="11" t="str">
        <f>IF(AND(HR_Data[[#This Row],[OverTime]]="Yes",HR_Data[[#This Row],[JobSatisfaction]]&lt;=2,HR_Data[[#This Row],[YearsAtCompany]]&lt;=2),"High Risk","Normal")</f>
        <v>Normal</v>
      </c>
    </row>
    <row r="1259" spans="1:42" x14ac:dyDescent="0.25">
      <c r="A1259" s="6">
        <v>31</v>
      </c>
      <c r="B1259" s="4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s="11" t="str">
        <f>IF(HR_Data[[#This Row],[Age]]&lt;=25,"18-25",IF(HR_Data[[#This Row],[Age]]&lt;=35,"26-35",IF(HR_Data[[#This Row],[Age]]&lt;=45,"36-45",IF(HR_Data[[#This Row],[Age]]&lt;=55,"46-55","56+"))))</f>
        <v>26-35</v>
      </c>
      <c r="AK1259" s="11" t="str">
        <f>IF(HR_Data[[#This Row],[MonthlyIncome]]&lt;3000,"Low",IF(HR_Data[[#This Row],[MonthlyIncome]]&lt;6000,"Medium",IF(HR_Data[[#This Row],[MonthlyIncome]]&lt;10000,"High","Very High")))</f>
        <v>High</v>
      </c>
      <c r="AL125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59" t="str">
        <f>IF(HR_Data[[#This Row],[TotalWorkingYears]]&lt;=5,"Junior",IF(HR_Data[[#This Row],[TotalWorkingYears]]&lt;=15,"Mid-Level","Senior"))</f>
        <v>Mid-Level</v>
      </c>
      <c r="AN1259" s="11" t="str">
        <f>IF(HR_Data[[#This Row],[PerformanceRating]]=3,"Standard","Excellent")</f>
        <v>Standard</v>
      </c>
      <c r="AO1259" s="11" t="str">
        <f>IF(HR_Data[[#This Row],[JobSatisfaction]]&lt;=2,"Low","High")</f>
        <v>High</v>
      </c>
      <c r="AP1259" s="11" t="str">
        <f>IF(AND(HR_Data[[#This Row],[OverTime]]="Yes",HR_Data[[#This Row],[JobSatisfaction]]&lt;=2,HR_Data[[#This Row],[YearsAtCompany]]&lt;=2),"High Risk","Normal")</f>
        <v>Normal</v>
      </c>
    </row>
    <row r="1260" spans="1:42" x14ac:dyDescent="0.25">
      <c r="A1260" s="6">
        <v>29</v>
      </c>
      <c r="B1260" s="4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s="11" t="str">
        <f>IF(HR_Data[[#This Row],[Age]]&lt;=25,"18-25",IF(HR_Data[[#This Row],[Age]]&lt;=35,"26-35",IF(HR_Data[[#This Row],[Age]]&lt;=45,"36-45",IF(HR_Data[[#This Row],[Age]]&lt;=55,"46-55","56+"))))</f>
        <v>26-35</v>
      </c>
      <c r="AK1260" s="11" t="str">
        <f>IF(HR_Data[[#This Row],[MonthlyIncome]]&lt;3000,"Low",IF(HR_Data[[#This Row],[MonthlyIncome]]&lt;6000,"Medium",IF(HR_Data[[#This Row],[MonthlyIncome]]&lt;10000,"High","Very High")))</f>
        <v>Low</v>
      </c>
      <c r="AL126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60" t="str">
        <f>IF(HR_Data[[#This Row],[TotalWorkingYears]]&lt;=5,"Junior",IF(HR_Data[[#This Row],[TotalWorkingYears]]&lt;=15,"Mid-Level","Senior"))</f>
        <v>Junior</v>
      </c>
      <c r="AN1260" s="11" t="str">
        <f>IF(HR_Data[[#This Row],[PerformanceRating]]=3,"Standard","Excellent")</f>
        <v>Standard</v>
      </c>
      <c r="AO1260" s="11" t="str">
        <f>IF(HR_Data[[#This Row],[JobSatisfaction]]&lt;=2,"Low","High")</f>
        <v>Low</v>
      </c>
      <c r="AP1260" s="11" t="str">
        <f>IF(AND(HR_Data[[#This Row],[OverTime]]="Yes",HR_Data[[#This Row],[JobSatisfaction]]&lt;=2,HR_Data[[#This Row],[YearsAtCompany]]&lt;=2),"High Risk","Normal")</f>
        <v>Normal</v>
      </c>
    </row>
    <row r="1261" spans="1:42" x14ac:dyDescent="0.25">
      <c r="A1261" s="6">
        <v>30</v>
      </c>
      <c r="B1261" s="4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s="11" t="str">
        <f>IF(HR_Data[[#This Row],[Age]]&lt;=25,"18-25",IF(HR_Data[[#This Row],[Age]]&lt;=35,"26-35",IF(HR_Data[[#This Row],[Age]]&lt;=45,"36-45",IF(HR_Data[[#This Row],[Age]]&lt;=55,"46-55","56+"))))</f>
        <v>26-35</v>
      </c>
      <c r="AK1261" s="11" t="str">
        <f>IF(HR_Data[[#This Row],[MonthlyIncome]]&lt;3000,"Low",IF(HR_Data[[#This Row],[MonthlyIncome]]&lt;6000,"Medium",IF(HR_Data[[#This Row],[MonthlyIncome]]&lt;10000,"High","Very High")))</f>
        <v>Medium</v>
      </c>
      <c r="AL126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61" t="str">
        <f>IF(HR_Data[[#This Row],[TotalWorkingYears]]&lt;=5,"Junior",IF(HR_Data[[#This Row],[TotalWorkingYears]]&lt;=15,"Mid-Level","Senior"))</f>
        <v>Mid-Level</v>
      </c>
      <c r="AN1261" s="11" t="str">
        <f>IF(HR_Data[[#This Row],[PerformanceRating]]=3,"Standard","Excellent")</f>
        <v>Standard</v>
      </c>
      <c r="AO1261" s="11" t="str">
        <f>IF(HR_Data[[#This Row],[JobSatisfaction]]&lt;=2,"Low","High")</f>
        <v>High</v>
      </c>
      <c r="AP1261" s="11" t="str">
        <f>IF(AND(HR_Data[[#This Row],[OverTime]]="Yes",HR_Data[[#This Row],[JobSatisfaction]]&lt;=2,HR_Data[[#This Row],[YearsAtCompany]]&lt;=2),"High Risk","Normal")</f>
        <v>Normal</v>
      </c>
    </row>
    <row r="1262" spans="1:42" x14ac:dyDescent="0.25">
      <c r="A1262" s="6">
        <v>32</v>
      </c>
      <c r="B1262" s="4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s="11" t="str">
        <f>IF(HR_Data[[#This Row],[Age]]&lt;=25,"18-25",IF(HR_Data[[#This Row],[Age]]&lt;=35,"26-35",IF(HR_Data[[#This Row],[Age]]&lt;=45,"36-45",IF(HR_Data[[#This Row],[Age]]&lt;=55,"46-55","56+"))))</f>
        <v>26-35</v>
      </c>
      <c r="AK1262" s="11" t="str">
        <f>IF(HR_Data[[#This Row],[MonthlyIncome]]&lt;3000,"Low",IF(HR_Data[[#This Row],[MonthlyIncome]]&lt;6000,"Medium",IF(HR_Data[[#This Row],[MonthlyIncome]]&lt;10000,"High","Very High")))</f>
        <v>Low</v>
      </c>
      <c r="AL126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62" t="str">
        <f>IF(HR_Data[[#This Row],[TotalWorkingYears]]&lt;=5,"Junior",IF(HR_Data[[#This Row],[TotalWorkingYears]]&lt;=15,"Mid-Level","Senior"))</f>
        <v>Mid-Level</v>
      </c>
      <c r="AN1262" s="11" t="str">
        <f>IF(HR_Data[[#This Row],[PerformanceRating]]=3,"Standard","Excellent")</f>
        <v>Standard</v>
      </c>
      <c r="AO1262" s="11" t="str">
        <f>IF(HR_Data[[#This Row],[JobSatisfaction]]&lt;=2,"Low","High")</f>
        <v>Low</v>
      </c>
      <c r="AP1262" s="11" t="str">
        <f>IF(AND(HR_Data[[#This Row],[OverTime]]="Yes",HR_Data[[#This Row],[JobSatisfaction]]&lt;=2,HR_Data[[#This Row],[YearsAtCompany]]&lt;=2),"High Risk","Normal")</f>
        <v>Normal</v>
      </c>
    </row>
    <row r="1263" spans="1:42" x14ac:dyDescent="0.25">
      <c r="A1263" s="6">
        <v>38</v>
      </c>
      <c r="B1263" s="4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s="11" t="str">
        <f>IF(HR_Data[[#This Row],[Age]]&lt;=25,"18-25",IF(HR_Data[[#This Row],[Age]]&lt;=35,"26-35",IF(HR_Data[[#This Row],[Age]]&lt;=45,"36-45",IF(HR_Data[[#This Row],[Age]]&lt;=55,"46-55","56+"))))</f>
        <v>36-45</v>
      </c>
      <c r="AK1263" s="11" t="str">
        <f>IF(HR_Data[[#This Row],[MonthlyIncome]]&lt;3000,"Low",IF(HR_Data[[#This Row],[MonthlyIncome]]&lt;6000,"Medium",IF(HR_Data[[#This Row],[MonthlyIncome]]&lt;10000,"High","Very High")))</f>
        <v>Medium</v>
      </c>
      <c r="AL126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63" t="str">
        <f>IF(HR_Data[[#This Row],[TotalWorkingYears]]&lt;=5,"Junior",IF(HR_Data[[#This Row],[TotalWorkingYears]]&lt;=15,"Mid-Level","Senior"))</f>
        <v>Mid-Level</v>
      </c>
      <c r="AN1263" s="11" t="str">
        <f>IF(HR_Data[[#This Row],[PerformanceRating]]=3,"Standard","Excellent")</f>
        <v>Standard</v>
      </c>
      <c r="AO1263" s="11" t="str">
        <f>IF(HR_Data[[#This Row],[JobSatisfaction]]&lt;=2,"Low","High")</f>
        <v>High</v>
      </c>
      <c r="AP1263" s="11" t="str">
        <f>IF(AND(HR_Data[[#This Row],[OverTime]]="Yes",HR_Data[[#This Row],[JobSatisfaction]]&lt;=2,HR_Data[[#This Row],[YearsAtCompany]]&lt;=2),"High Risk","Normal")</f>
        <v>Normal</v>
      </c>
    </row>
    <row r="1264" spans="1:42" x14ac:dyDescent="0.25">
      <c r="A1264" s="6">
        <v>43</v>
      </c>
      <c r="B1264" s="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s="11" t="str">
        <f>IF(HR_Data[[#This Row],[Age]]&lt;=25,"18-25",IF(HR_Data[[#This Row],[Age]]&lt;=35,"26-35",IF(HR_Data[[#This Row],[Age]]&lt;=45,"36-45",IF(HR_Data[[#This Row],[Age]]&lt;=55,"46-55","56+"))))</f>
        <v>36-45</v>
      </c>
      <c r="AK1264" s="11" t="str">
        <f>IF(HR_Data[[#This Row],[MonthlyIncome]]&lt;3000,"Low",IF(HR_Data[[#This Row],[MonthlyIncome]]&lt;6000,"Medium",IF(HR_Data[[#This Row],[MonthlyIncome]]&lt;10000,"High","Very High")))</f>
        <v>Low</v>
      </c>
      <c r="AL126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64" t="str">
        <f>IF(HR_Data[[#This Row],[TotalWorkingYears]]&lt;=5,"Junior",IF(HR_Data[[#This Row],[TotalWorkingYears]]&lt;=15,"Mid-Level","Senior"))</f>
        <v>Mid-Level</v>
      </c>
      <c r="AN1264" s="11" t="str">
        <f>IF(HR_Data[[#This Row],[PerformanceRating]]=3,"Standard","Excellent")</f>
        <v>Standard</v>
      </c>
      <c r="AO1264" s="11" t="str">
        <f>IF(HR_Data[[#This Row],[JobSatisfaction]]&lt;=2,"Low","High")</f>
        <v>High</v>
      </c>
      <c r="AP1264" s="11" t="str">
        <f>IF(AND(HR_Data[[#This Row],[OverTime]]="Yes",HR_Data[[#This Row],[JobSatisfaction]]&lt;=2,HR_Data[[#This Row],[YearsAtCompany]]&lt;=2),"High Risk","Normal")</f>
        <v>Normal</v>
      </c>
    </row>
    <row r="1265" spans="1:42" x14ac:dyDescent="0.25">
      <c r="A1265" s="6">
        <v>42</v>
      </c>
      <c r="B1265" s="4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s="11" t="str">
        <f>IF(HR_Data[[#This Row],[Age]]&lt;=25,"18-25",IF(HR_Data[[#This Row],[Age]]&lt;=35,"26-35",IF(HR_Data[[#This Row],[Age]]&lt;=45,"36-45",IF(HR_Data[[#This Row],[Age]]&lt;=55,"46-55","56+"))))</f>
        <v>36-45</v>
      </c>
      <c r="AK1265" s="11" t="str">
        <f>IF(HR_Data[[#This Row],[MonthlyIncome]]&lt;3000,"Low",IF(HR_Data[[#This Row],[MonthlyIncome]]&lt;6000,"Medium",IF(HR_Data[[#This Row],[MonthlyIncome]]&lt;10000,"High","Very High")))</f>
        <v>Low</v>
      </c>
      <c r="AL126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65" t="str">
        <f>IF(HR_Data[[#This Row],[TotalWorkingYears]]&lt;=5,"Junior",IF(HR_Data[[#This Row],[TotalWorkingYears]]&lt;=15,"Mid-Level","Senior"))</f>
        <v>Mid-Level</v>
      </c>
      <c r="AN1265" s="11" t="str">
        <f>IF(HR_Data[[#This Row],[PerformanceRating]]=3,"Standard","Excellent")</f>
        <v>Excellent</v>
      </c>
      <c r="AO1265" s="11" t="str">
        <f>IF(HR_Data[[#This Row],[JobSatisfaction]]&lt;=2,"Low","High")</f>
        <v>Low</v>
      </c>
      <c r="AP1265" s="11" t="str">
        <f>IF(AND(HR_Data[[#This Row],[OverTime]]="Yes",HR_Data[[#This Row],[JobSatisfaction]]&lt;=2,HR_Data[[#This Row],[YearsAtCompany]]&lt;=2),"High Risk","Normal")</f>
        <v>Normal</v>
      </c>
    </row>
    <row r="1266" spans="1:42" x14ac:dyDescent="0.25">
      <c r="A1266" s="6">
        <v>55</v>
      </c>
      <c r="B1266" s="4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s="11" t="str">
        <f>IF(HR_Data[[#This Row],[Age]]&lt;=25,"18-25",IF(HR_Data[[#This Row],[Age]]&lt;=35,"26-35",IF(HR_Data[[#This Row],[Age]]&lt;=45,"36-45",IF(HR_Data[[#This Row],[Age]]&lt;=55,"46-55","56+"))))</f>
        <v>46-55</v>
      </c>
      <c r="AK1266" s="11" t="str">
        <f>IF(HR_Data[[#This Row],[MonthlyIncome]]&lt;3000,"Low",IF(HR_Data[[#This Row],[MonthlyIncome]]&lt;6000,"Medium",IF(HR_Data[[#This Row],[MonthlyIncome]]&lt;10000,"High","Very High")))</f>
        <v>Very High</v>
      </c>
      <c r="AL126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66" t="str">
        <f>IF(HR_Data[[#This Row],[TotalWorkingYears]]&lt;=5,"Junior",IF(HR_Data[[#This Row],[TotalWorkingYears]]&lt;=15,"Mid-Level","Senior"))</f>
        <v>Senior</v>
      </c>
      <c r="AN1266" s="11" t="str">
        <f>IF(HR_Data[[#This Row],[PerformanceRating]]=3,"Standard","Excellent")</f>
        <v>Standard</v>
      </c>
      <c r="AO1266" s="11" t="str">
        <f>IF(HR_Data[[#This Row],[JobSatisfaction]]&lt;=2,"Low","High")</f>
        <v>Low</v>
      </c>
      <c r="AP1266" s="11" t="str">
        <f>IF(AND(HR_Data[[#This Row],[OverTime]]="Yes",HR_Data[[#This Row],[JobSatisfaction]]&lt;=2,HR_Data[[#This Row],[YearsAtCompany]]&lt;=2),"High Risk","Normal")</f>
        <v>Normal</v>
      </c>
    </row>
    <row r="1267" spans="1:42" x14ac:dyDescent="0.25">
      <c r="A1267" s="6">
        <v>33</v>
      </c>
      <c r="B1267" s="4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s="11" t="str">
        <f>IF(HR_Data[[#This Row],[Age]]&lt;=25,"18-25",IF(HR_Data[[#This Row],[Age]]&lt;=35,"26-35",IF(HR_Data[[#This Row],[Age]]&lt;=45,"36-45",IF(HR_Data[[#This Row],[Age]]&lt;=55,"46-55","56+"))))</f>
        <v>26-35</v>
      </c>
      <c r="AK1267" s="11" t="str">
        <f>IF(HR_Data[[#This Row],[MonthlyIncome]]&lt;3000,"Low",IF(HR_Data[[#This Row],[MonthlyIncome]]&lt;6000,"Medium",IF(HR_Data[[#This Row],[MonthlyIncome]]&lt;10000,"High","Very High")))</f>
        <v>Medium</v>
      </c>
      <c r="AL126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67" t="str">
        <f>IF(HR_Data[[#This Row],[TotalWorkingYears]]&lt;=5,"Junior",IF(HR_Data[[#This Row],[TotalWorkingYears]]&lt;=15,"Mid-Level","Senior"))</f>
        <v>Mid-Level</v>
      </c>
      <c r="AN1267" s="11" t="str">
        <f>IF(HR_Data[[#This Row],[PerformanceRating]]=3,"Standard","Excellent")</f>
        <v>Standard</v>
      </c>
      <c r="AO1267" s="11" t="str">
        <f>IF(HR_Data[[#This Row],[JobSatisfaction]]&lt;=2,"Low","High")</f>
        <v>Low</v>
      </c>
      <c r="AP1267" s="11" t="str">
        <f>IF(AND(HR_Data[[#This Row],[OverTime]]="Yes",HR_Data[[#This Row],[JobSatisfaction]]&lt;=2,HR_Data[[#This Row],[YearsAtCompany]]&lt;=2),"High Risk","Normal")</f>
        <v>Normal</v>
      </c>
    </row>
    <row r="1268" spans="1:42" x14ac:dyDescent="0.25">
      <c r="A1268" s="6">
        <v>41</v>
      </c>
      <c r="B1268" s="4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s="11" t="str">
        <f>IF(HR_Data[[#This Row],[Age]]&lt;=25,"18-25",IF(HR_Data[[#This Row],[Age]]&lt;=35,"26-35",IF(HR_Data[[#This Row],[Age]]&lt;=45,"36-45",IF(HR_Data[[#This Row],[Age]]&lt;=55,"46-55","56+"))))</f>
        <v>36-45</v>
      </c>
      <c r="AK1268" s="11" t="str">
        <f>IF(HR_Data[[#This Row],[MonthlyIncome]]&lt;3000,"Low",IF(HR_Data[[#This Row],[MonthlyIncome]]&lt;6000,"Medium",IF(HR_Data[[#This Row],[MonthlyIncome]]&lt;10000,"High","Very High")))</f>
        <v>Low</v>
      </c>
      <c r="AL126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68" t="str">
        <f>IF(HR_Data[[#This Row],[TotalWorkingYears]]&lt;=5,"Junior",IF(HR_Data[[#This Row],[TotalWorkingYears]]&lt;=15,"Mid-Level","Senior"))</f>
        <v>Junior</v>
      </c>
      <c r="AN1268" s="11" t="str">
        <f>IF(HR_Data[[#This Row],[PerformanceRating]]=3,"Standard","Excellent")</f>
        <v>Excellent</v>
      </c>
      <c r="AO1268" s="11" t="str">
        <f>IF(HR_Data[[#This Row],[JobSatisfaction]]&lt;=2,"Low","High")</f>
        <v>Low</v>
      </c>
      <c r="AP1268" s="11" t="str">
        <f>IF(AND(HR_Data[[#This Row],[OverTime]]="Yes",HR_Data[[#This Row],[JobSatisfaction]]&lt;=2,HR_Data[[#This Row],[YearsAtCompany]]&lt;=2),"High Risk","Normal")</f>
        <v>Normal</v>
      </c>
    </row>
    <row r="1269" spans="1:42" x14ac:dyDescent="0.25">
      <c r="A1269" s="6">
        <v>34</v>
      </c>
      <c r="B1269" s="4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s="11" t="str">
        <f>IF(HR_Data[[#This Row],[Age]]&lt;=25,"18-25",IF(HR_Data[[#This Row],[Age]]&lt;=35,"26-35",IF(HR_Data[[#This Row],[Age]]&lt;=45,"36-45",IF(HR_Data[[#This Row],[Age]]&lt;=55,"46-55","56+"))))</f>
        <v>26-35</v>
      </c>
      <c r="AK1269" s="11" t="str">
        <f>IF(HR_Data[[#This Row],[MonthlyIncome]]&lt;3000,"Low",IF(HR_Data[[#This Row],[MonthlyIncome]]&lt;6000,"Medium",IF(HR_Data[[#This Row],[MonthlyIncome]]&lt;10000,"High","Very High")))</f>
        <v>Medium</v>
      </c>
      <c r="AL126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269" t="str">
        <f>IF(HR_Data[[#This Row],[TotalWorkingYears]]&lt;=5,"Junior",IF(HR_Data[[#This Row],[TotalWorkingYears]]&lt;=15,"Mid-Level","Senior"))</f>
        <v>Mid-Level</v>
      </c>
      <c r="AN1269" s="11" t="str">
        <f>IF(HR_Data[[#This Row],[PerformanceRating]]=3,"Standard","Excellent")</f>
        <v>Standard</v>
      </c>
      <c r="AO1269" s="11" t="str">
        <f>IF(HR_Data[[#This Row],[JobSatisfaction]]&lt;=2,"Low","High")</f>
        <v>High</v>
      </c>
      <c r="AP1269" s="11" t="str">
        <f>IF(AND(HR_Data[[#This Row],[OverTime]]="Yes",HR_Data[[#This Row],[JobSatisfaction]]&lt;=2,HR_Data[[#This Row],[YearsAtCompany]]&lt;=2),"High Risk","Normal")</f>
        <v>Normal</v>
      </c>
    </row>
    <row r="1270" spans="1:42" x14ac:dyDescent="0.25">
      <c r="A1270" s="6">
        <v>53</v>
      </c>
      <c r="B1270" s="4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s="11" t="str">
        <f>IF(HR_Data[[#This Row],[Age]]&lt;=25,"18-25",IF(HR_Data[[#This Row],[Age]]&lt;=35,"26-35",IF(HR_Data[[#This Row],[Age]]&lt;=45,"36-45",IF(HR_Data[[#This Row],[Age]]&lt;=55,"46-55","56+"))))</f>
        <v>46-55</v>
      </c>
      <c r="AK1270" s="11" t="str">
        <f>IF(HR_Data[[#This Row],[MonthlyIncome]]&lt;3000,"Low",IF(HR_Data[[#This Row],[MonthlyIncome]]&lt;6000,"Medium",IF(HR_Data[[#This Row],[MonthlyIncome]]&lt;10000,"High","Very High")))</f>
        <v>Very High</v>
      </c>
      <c r="AL127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70" t="str">
        <f>IF(HR_Data[[#This Row],[TotalWorkingYears]]&lt;=5,"Junior",IF(HR_Data[[#This Row],[TotalWorkingYears]]&lt;=15,"Mid-Level","Senior"))</f>
        <v>Senior</v>
      </c>
      <c r="AN1270" s="11" t="str">
        <f>IF(HR_Data[[#This Row],[PerformanceRating]]=3,"Standard","Excellent")</f>
        <v>Excellent</v>
      </c>
      <c r="AO1270" s="11" t="str">
        <f>IF(HR_Data[[#This Row],[JobSatisfaction]]&lt;=2,"Low","High")</f>
        <v>High</v>
      </c>
      <c r="AP1270" s="11" t="str">
        <f>IF(AND(HR_Data[[#This Row],[OverTime]]="Yes",HR_Data[[#This Row],[JobSatisfaction]]&lt;=2,HR_Data[[#This Row],[YearsAtCompany]]&lt;=2),"High Risk","Normal")</f>
        <v>Normal</v>
      </c>
    </row>
    <row r="1271" spans="1:42" x14ac:dyDescent="0.25">
      <c r="A1271" s="6">
        <v>43</v>
      </c>
      <c r="B1271" s="4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s="11" t="str">
        <f>IF(HR_Data[[#This Row],[Age]]&lt;=25,"18-25",IF(HR_Data[[#This Row],[Age]]&lt;=35,"26-35",IF(HR_Data[[#This Row],[Age]]&lt;=45,"36-45",IF(HR_Data[[#This Row],[Age]]&lt;=55,"46-55","56+"))))</f>
        <v>36-45</v>
      </c>
      <c r="AK1271" s="11" t="str">
        <f>IF(HR_Data[[#This Row],[MonthlyIncome]]&lt;3000,"Low",IF(HR_Data[[#This Row],[MonthlyIncome]]&lt;6000,"Medium",IF(HR_Data[[#This Row],[MonthlyIncome]]&lt;10000,"High","Very High")))</f>
        <v>Medium</v>
      </c>
      <c r="AL127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71" t="str">
        <f>IF(HR_Data[[#This Row],[TotalWorkingYears]]&lt;=5,"Junior",IF(HR_Data[[#This Row],[TotalWorkingYears]]&lt;=15,"Mid-Level","Senior"))</f>
        <v>Mid-Level</v>
      </c>
      <c r="AN1271" s="11" t="str">
        <f>IF(HR_Data[[#This Row],[PerformanceRating]]=3,"Standard","Excellent")</f>
        <v>Standard</v>
      </c>
      <c r="AO1271" s="11" t="str">
        <f>IF(HR_Data[[#This Row],[JobSatisfaction]]&lt;=2,"Low","High")</f>
        <v>High</v>
      </c>
      <c r="AP1271" s="11" t="str">
        <f>IF(AND(HR_Data[[#This Row],[OverTime]]="Yes",HR_Data[[#This Row],[JobSatisfaction]]&lt;=2,HR_Data[[#This Row],[YearsAtCompany]]&lt;=2),"High Risk","Normal")</f>
        <v>Normal</v>
      </c>
    </row>
    <row r="1272" spans="1:42" x14ac:dyDescent="0.25">
      <c r="A1272" s="6">
        <v>34</v>
      </c>
      <c r="B1272" s="4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s="11" t="str">
        <f>IF(HR_Data[[#This Row],[Age]]&lt;=25,"18-25",IF(HR_Data[[#This Row],[Age]]&lt;=35,"26-35",IF(HR_Data[[#This Row],[Age]]&lt;=45,"36-45",IF(HR_Data[[#This Row],[Age]]&lt;=55,"46-55","56+"))))</f>
        <v>26-35</v>
      </c>
      <c r="AK1272" s="11" t="str">
        <f>IF(HR_Data[[#This Row],[MonthlyIncome]]&lt;3000,"Low",IF(HR_Data[[#This Row],[MonthlyIncome]]&lt;6000,"Medium",IF(HR_Data[[#This Row],[MonthlyIncome]]&lt;10000,"High","Very High")))</f>
        <v>High</v>
      </c>
      <c r="AL127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72" t="str">
        <f>IF(HR_Data[[#This Row],[TotalWorkingYears]]&lt;=5,"Junior",IF(HR_Data[[#This Row],[TotalWorkingYears]]&lt;=15,"Mid-Level","Senior"))</f>
        <v>Mid-Level</v>
      </c>
      <c r="AN1272" s="11" t="str">
        <f>IF(HR_Data[[#This Row],[PerformanceRating]]=3,"Standard","Excellent")</f>
        <v>Standard</v>
      </c>
      <c r="AO1272" s="11" t="str">
        <f>IF(HR_Data[[#This Row],[JobSatisfaction]]&lt;=2,"Low","High")</f>
        <v>High</v>
      </c>
      <c r="AP1272" s="11" t="str">
        <f>IF(AND(HR_Data[[#This Row],[OverTime]]="Yes",HR_Data[[#This Row],[JobSatisfaction]]&lt;=2,HR_Data[[#This Row],[YearsAtCompany]]&lt;=2),"High Risk","Normal")</f>
        <v>Normal</v>
      </c>
    </row>
    <row r="1273" spans="1:42" x14ac:dyDescent="0.25">
      <c r="A1273" s="6">
        <v>21</v>
      </c>
      <c r="B1273" s="4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s="11" t="str">
        <f>IF(HR_Data[[#This Row],[Age]]&lt;=25,"18-25",IF(HR_Data[[#This Row],[Age]]&lt;=35,"26-35",IF(HR_Data[[#This Row],[Age]]&lt;=45,"36-45",IF(HR_Data[[#This Row],[Age]]&lt;=55,"46-55","56+"))))</f>
        <v>18-25</v>
      </c>
      <c r="AK1273" s="11" t="str">
        <f>IF(HR_Data[[#This Row],[MonthlyIncome]]&lt;3000,"Low",IF(HR_Data[[#This Row],[MonthlyIncome]]&lt;6000,"Medium",IF(HR_Data[[#This Row],[MonthlyIncome]]&lt;10000,"High","Very High")))</f>
        <v>Low</v>
      </c>
      <c r="AL127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73" t="str">
        <f>IF(HR_Data[[#This Row],[TotalWorkingYears]]&lt;=5,"Junior",IF(HR_Data[[#This Row],[TotalWorkingYears]]&lt;=15,"Mid-Level","Senior"))</f>
        <v>Junior</v>
      </c>
      <c r="AN1273" s="11" t="str">
        <f>IF(HR_Data[[#This Row],[PerformanceRating]]=3,"Standard","Excellent")</f>
        <v>Standard</v>
      </c>
      <c r="AO1273" s="11" t="str">
        <f>IF(HR_Data[[#This Row],[JobSatisfaction]]&lt;=2,"Low","High")</f>
        <v>Low</v>
      </c>
      <c r="AP1273" s="11" t="str">
        <f>IF(AND(HR_Data[[#This Row],[OverTime]]="Yes",HR_Data[[#This Row],[JobSatisfaction]]&lt;=2,HR_Data[[#This Row],[YearsAtCompany]]&lt;=2),"High Risk","Normal")</f>
        <v>Normal</v>
      </c>
    </row>
    <row r="1274" spans="1:42" x14ac:dyDescent="0.25">
      <c r="A1274" s="6">
        <v>38</v>
      </c>
      <c r="B1274" s="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s="11" t="str">
        <f>IF(HR_Data[[#This Row],[Age]]&lt;=25,"18-25",IF(HR_Data[[#This Row],[Age]]&lt;=35,"26-35",IF(HR_Data[[#This Row],[Age]]&lt;=45,"36-45",IF(HR_Data[[#This Row],[Age]]&lt;=55,"46-55","56+"))))</f>
        <v>36-45</v>
      </c>
      <c r="AK1274" s="11" t="str">
        <f>IF(HR_Data[[#This Row],[MonthlyIncome]]&lt;3000,"Low",IF(HR_Data[[#This Row],[MonthlyIncome]]&lt;6000,"Medium",IF(HR_Data[[#This Row],[MonthlyIncome]]&lt;10000,"High","Very High")))</f>
        <v>Medium</v>
      </c>
      <c r="AL127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74" t="str">
        <f>IF(HR_Data[[#This Row],[TotalWorkingYears]]&lt;=5,"Junior",IF(HR_Data[[#This Row],[TotalWorkingYears]]&lt;=15,"Mid-Level","Senior"))</f>
        <v>Junior</v>
      </c>
      <c r="AN1274" s="11" t="str">
        <f>IF(HR_Data[[#This Row],[PerformanceRating]]=3,"Standard","Excellent")</f>
        <v>Standard</v>
      </c>
      <c r="AO1274" s="11" t="str">
        <f>IF(HR_Data[[#This Row],[JobSatisfaction]]&lt;=2,"Low","High")</f>
        <v>High</v>
      </c>
      <c r="AP1274" s="11" t="str">
        <f>IF(AND(HR_Data[[#This Row],[OverTime]]="Yes",HR_Data[[#This Row],[JobSatisfaction]]&lt;=2,HR_Data[[#This Row],[YearsAtCompany]]&lt;=2),"High Risk","Normal")</f>
        <v>Normal</v>
      </c>
    </row>
    <row r="1275" spans="1:42" x14ac:dyDescent="0.25">
      <c r="A1275" s="6">
        <v>22</v>
      </c>
      <c r="B1275" s="4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s="11" t="str">
        <f>IF(HR_Data[[#This Row],[Age]]&lt;=25,"18-25",IF(HR_Data[[#This Row],[Age]]&lt;=35,"26-35",IF(HR_Data[[#This Row],[Age]]&lt;=45,"36-45",IF(HR_Data[[#This Row],[Age]]&lt;=55,"46-55","56+"))))</f>
        <v>18-25</v>
      </c>
      <c r="AK1275" s="11" t="str">
        <f>IF(HR_Data[[#This Row],[MonthlyIncome]]&lt;3000,"Low",IF(HR_Data[[#This Row],[MonthlyIncome]]&lt;6000,"Medium",IF(HR_Data[[#This Row],[MonthlyIncome]]&lt;10000,"High","Very High")))</f>
        <v>Low</v>
      </c>
      <c r="AL127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75" t="str">
        <f>IF(HR_Data[[#This Row],[TotalWorkingYears]]&lt;=5,"Junior",IF(HR_Data[[#This Row],[TotalWorkingYears]]&lt;=15,"Mid-Level","Senior"))</f>
        <v>Junior</v>
      </c>
      <c r="AN1275" s="11" t="str">
        <f>IF(HR_Data[[#This Row],[PerformanceRating]]=3,"Standard","Excellent")</f>
        <v>Standard</v>
      </c>
      <c r="AO1275" s="11" t="str">
        <f>IF(HR_Data[[#This Row],[JobSatisfaction]]&lt;=2,"Low","High")</f>
        <v>Low</v>
      </c>
      <c r="AP1275" s="11" t="str">
        <f>IF(AND(HR_Data[[#This Row],[OverTime]]="Yes",HR_Data[[#This Row],[JobSatisfaction]]&lt;=2,HR_Data[[#This Row],[YearsAtCompany]]&lt;=2),"High Risk","Normal")</f>
        <v>High Risk</v>
      </c>
    </row>
    <row r="1276" spans="1:42" x14ac:dyDescent="0.25">
      <c r="A1276" s="6">
        <v>31</v>
      </c>
      <c r="B1276" s="4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s="11" t="str">
        <f>IF(HR_Data[[#This Row],[Age]]&lt;=25,"18-25",IF(HR_Data[[#This Row],[Age]]&lt;=35,"26-35",IF(HR_Data[[#This Row],[Age]]&lt;=45,"36-45",IF(HR_Data[[#This Row],[Age]]&lt;=55,"46-55","56+"))))</f>
        <v>26-35</v>
      </c>
      <c r="AK1276" s="11" t="str">
        <f>IF(HR_Data[[#This Row],[MonthlyIncome]]&lt;3000,"Low",IF(HR_Data[[#This Row],[MonthlyIncome]]&lt;6000,"Medium",IF(HR_Data[[#This Row],[MonthlyIncome]]&lt;10000,"High","Very High")))</f>
        <v>Medium</v>
      </c>
      <c r="AL1276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276" t="str">
        <f>IF(HR_Data[[#This Row],[TotalWorkingYears]]&lt;=5,"Junior",IF(HR_Data[[#This Row],[TotalWorkingYears]]&lt;=15,"Mid-Level","Senior"))</f>
        <v>Mid-Level</v>
      </c>
      <c r="AN1276" s="11" t="str">
        <f>IF(HR_Data[[#This Row],[PerformanceRating]]=3,"Standard","Excellent")</f>
        <v>Standard</v>
      </c>
      <c r="AO1276" s="11" t="str">
        <f>IF(HR_Data[[#This Row],[JobSatisfaction]]&lt;=2,"Low","High")</f>
        <v>High</v>
      </c>
      <c r="AP1276" s="11" t="str">
        <f>IF(AND(HR_Data[[#This Row],[OverTime]]="Yes",HR_Data[[#This Row],[JobSatisfaction]]&lt;=2,HR_Data[[#This Row],[YearsAtCompany]]&lt;=2),"High Risk","Normal")</f>
        <v>Normal</v>
      </c>
    </row>
    <row r="1277" spans="1:42" x14ac:dyDescent="0.25">
      <c r="A1277" s="6">
        <v>51</v>
      </c>
      <c r="B1277" s="4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s="11" t="str">
        <f>IF(HR_Data[[#This Row],[Age]]&lt;=25,"18-25",IF(HR_Data[[#This Row],[Age]]&lt;=35,"26-35",IF(HR_Data[[#This Row],[Age]]&lt;=45,"36-45",IF(HR_Data[[#This Row],[Age]]&lt;=55,"46-55","56+"))))</f>
        <v>46-55</v>
      </c>
      <c r="AK1277" s="11" t="str">
        <f>IF(HR_Data[[#This Row],[MonthlyIncome]]&lt;3000,"Low",IF(HR_Data[[#This Row],[MonthlyIncome]]&lt;6000,"Medium",IF(HR_Data[[#This Row],[MonthlyIncome]]&lt;10000,"High","Very High")))</f>
        <v>Very High</v>
      </c>
      <c r="AL127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77" t="str">
        <f>IF(HR_Data[[#This Row],[TotalWorkingYears]]&lt;=5,"Junior",IF(HR_Data[[#This Row],[TotalWorkingYears]]&lt;=15,"Mid-Level","Senior"))</f>
        <v>Mid-Level</v>
      </c>
      <c r="AN1277" s="11" t="str">
        <f>IF(HR_Data[[#This Row],[PerformanceRating]]=3,"Standard","Excellent")</f>
        <v>Standard</v>
      </c>
      <c r="AO1277" s="11" t="str">
        <f>IF(HR_Data[[#This Row],[JobSatisfaction]]&lt;=2,"Low","High")</f>
        <v>High</v>
      </c>
      <c r="AP1277" s="11" t="str">
        <f>IF(AND(HR_Data[[#This Row],[OverTime]]="Yes",HR_Data[[#This Row],[JobSatisfaction]]&lt;=2,HR_Data[[#This Row],[YearsAtCompany]]&lt;=2),"High Risk","Normal")</f>
        <v>Normal</v>
      </c>
    </row>
    <row r="1278" spans="1:42" x14ac:dyDescent="0.25">
      <c r="A1278" s="6">
        <v>37</v>
      </c>
      <c r="B1278" s="4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s="11" t="str">
        <f>IF(HR_Data[[#This Row],[Age]]&lt;=25,"18-25",IF(HR_Data[[#This Row],[Age]]&lt;=35,"26-35",IF(HR_Data[[#This Row],[Age]]&lt;=45,"36-45",IF(HR_Data[[#This Row],[Age]]&lt;=55,"46-55","56+"))))</f>
        <v>36-45</v>
      </c>
      <c r="AK1278" s="11" t="str">
        <f>IF(HR_Data[[#This Row],[MonthlyIncome]]&lt;3000,"Low",IF(HR_Data[[#This Row],[MonthlyIncome]]&lt;6000,"Medium",IF(HR_Data[[#This Row],[MonthlyIncome]]&lt;10000,"High","Very High")))</f>
        <v>Medium</v>
      </c>
      <c r="AL127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78" t="str">
        <f>IF(HR_Data[[#This Row],[TotalWorkingYears]]&lt;=5,"Junior",IF(HR_Data[[#This Row],[TotalWorkingYears]]&lt;=15,"Mid-Level","Senior"))</f>
        <v>Junior</v>
      </c>
      <c r="AN1278" s="11" t="str">
        <f>IF(HR_Data[[#This Row],[PerformanceRating]]=3,"Standard","Excellent")</f>
        <v>Standard</v>
      </c>
      <c r="AO1278" s="11" t="str">
        <f>IF(HR_Data[[#This Row],[JobSatisfaction]]&lt;=2,"Low","High")</f>
        <v>Low</v>
      </c>
      <c r="AP1278" s="11" t="str">
        <f>IF(AND(HR_Data[[#This Row],[OverTime]]="Yes",HR_Data[[#This Row],[JobSatisfaction]]&lt;=2,HR_Data[[#This Row],[YearsAtCompany]]&lt;=2),"High Risk","Normal")</f>
        <v>Normal</v>
      </c>
    </row>
    <row r="1279" spans="1:42" x14ac:dyDescent="0.25">
      <c r="A1279" s="6">
        <v>46</v>
      </c>
      <c r="B1279" s="4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s="11" t="str">
        <f>IF(HR_Data[[#This Row],[Age]]&lt;=25,"18-25",IF(HR_Data[[#This Row],[Age]]&lt;=35,"26-35",IF(HR_Data[[#This Row],[Age]]&lt;=45,"36-45",IF(HR_Data[[#This Row],[Age]]&lt;=55,"46-55","56+"))))</f>
        <v>46-55</v>
      </c>
      <c r="AK1279" s="11" t="str">
        <f>IF(HR_Data[[#This Row],[MonthlyIncome]]&lt;3000,"Low",IF(HR_Data[[#This Row],[MonthlyIncome]]&lt;6000,"Medium",IF(HR_Data[[#This Row],[MonthlyIncome]]&lt;10000,"High","Very High")))</f>
        <v>Very High</v>
      </c>
      <c r="AL127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79" t="str">
        <f>IF(HR_Data[[#This Row],[TotalWorkingYears]]&lt;=5,"Junior",IF(HR_Data[[#This Row],[TotalWorkingYears]]&lt;=15,"Mid-Level","Senior"))</f>
        <v>Senior</v>
      </c>
      <c r="AN1279" s="11" t="str">
        <f>IF(HR_Data[[#This Row],[PerformanceRating]]=3,"Standard","Excellent")</f>
        <v>Standard</v>
      </c>
      <c r="AO1279" s="11" t="str">
        <f>IF(HR_Data[[#This Row],[JobSatisfaction]]&lt;=2,"Low","High")</f>
        <v>High</v>
      </c>
      <c r="AP1279" s="11" t="str">
        <f>IF(AND(HR_Data[[#This Row],[OverTime]]="Yes",HR_Data[[#This Row],[JobSatisfaction]]&lt;=2,HR_Data[[#This Row],[YearsAtCompany]]&lt;=2),"High Risk","Normal")</f>
        <v>Normal</v>
      </c>
    </row>
    <row r="1280" spans="1:42" x14ac:dyDescent="0.25">
      <c r="A1280" s="6">
        <v>36</v>
      </c>
      <c r="B1280" s="4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s="11" t="str">
        <f>IF(HR_Data[[#This Row],[Age]]&lt;=25,"18-25",IF(HR_Data[[#This Row],[Age]]&lt;=35,"26-35",IF(HR_Data[[#This Row],[Age]]&lt;=45,"36-45",IF(HR_Data[[#This Row],[Age]]&lt;=55,"46-55","56+"))))</f>
        <v>36-45</v>
      </c>
      <c r="AK1280" s="11" t="str">
        <f>IF(HR_Data[[#This Row],[MonthlyIncome]]&lt;3000,"Low",IF(HR_Data[[#This Row],[MonthlyIncome]]&lt;6000,"Medium",IF(HR_Data[[#This Row],[MonthlyIncome]]&lt;10000,"High","Very High")))</f>
        <v>High</v>
      </c>
      <c r="AL128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280" t="str">
        <f>IF(HR_Data[[#This Row],[TotalWorkingYears]]&lt;=5,"Junior",IF(HR_Data[[#This Row],[TotalWorkingYears]]&lt;=15,"Mid-Level","Senior"))</f>
        <v>Mid-Level</v>
      </c>
      <c r="AN1280" s="11" t="str">
        <f>IF(HR_Data[[#This Row],[PerformanceRating]]=3,"Standard","Excellent")</f>
        <v>Standard</v>
      </c>
      <c r="AO1280" s="11" t="str">
        <f>IF(HR_Data[[#This Row],[JobSatisfaction]]&lt;=2,"Low","High")</f>
        <v>Low</v>
      </c>
      <c r="AP1280" s="11" t="str">
        <f>IF(AND(HR_Data[[#This Row],[OverTime]]="Yes",HR_Data[[#This Row],[JobSatisfaction]]&lt;=2,HR_Data[[#This Row],[YearsAtCompany]]&lt;=2),"High Risk","Normal")</f>
        <v>Normal</v>
      </c>
    </row>
    <row r="1281" spans="1:42" x14ac:dyDescent="0.25">
      <c r="A1281" s="6">
        <v>44</v>
      </c>
      <c r="B1281" s="4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s="11" t="str">
        <f>IF(HR_Data[[#This Row],[Age]]&lt;=25,"18-25",IF(HR_Data[[#This Row],[Age]]&lt;=35,"26-35",IF(HR_Data[[#This Row],[Age]]&lt;=45,"36-45",IF(HR_Data[[#This Row],[Age]]&lt;=55,"46-55","56+"))))</f>
        <v>36-45</v>
      </c>
      <c r="AK1281" s="11" t="str">
        <f>IF(HR_Data[[#This Row],[MonthlyIncome]]&lt;3000,"Low",IF(HR_Data[[#This Row],[MonthlyIncome]]&lt;6000,"Medium",IF(HR_Data[[#This Row],[MonthlyIncome]]&lt;10000,"High","Very High")))</f>
        <v>Low</v>
      </c>
      <c r="AL128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81" t="str">
        <f>IF(HR_Data[[#This Row],[TotalWorkingYears]]&lt;=5,"Junior",IF(HR_Data[[#This Row],[TotalWorkingYears]]&lt;=15,"Mid-Level","Senior"))</f>
        <v>Mid-Level</v>
      </c>
      <c r="AN1281" s="11" t="str">
        <f>IF(HR_Data[[#This Row],[PerformanceRating]]=3,"Standard","Excellent")</f>
        <v>Standard</v>
      </c>
      <c r="AO1281" s="11" t="str">
        <f>IF(HR_Data[[#This Row],[JobSatisfaction]]&lt;=2,"Low","High")</f>
        <v>Low</v>
      </c>
      <c r="AP1281" s="11" t="str">
        <f>IF(AND(HR_Data[[#This Row],[OverTime]]="Yes",HR_Data[[#This Row],[JobSatisfaction]]&lt;=2,HR_Data[[#This Row],[YearsAtCompany]]&lt;=2),"High Risk","Normal")</f>
        <v>Normal</v>
      </c>
    </row>
    <row r="1282" spans="1:42" x14ac:dyDescent="0.25">
      <c r="A1282" s="6">
        <v>37</v>
      </c>
      <c r="B1282" s="4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s="11" t="str">
        <f>IF(HR_Data[[#This Row],[Age]]&lt;=25,"18-25",IF(HR_Data[[#This Row],[Age]]&lt;=35,"26-35",IF(HR_Data[[#This Row],[Age]]&lt;=45,"36-45",IF(HR_Data[[#This Row],[Age]]&lt;=55,"46-55","56+"))))</f>
        <v>36-45</v>
      </c>
      <c r="AK1282" s="11" t="str">
        <f>IF(HR_Data[[#This Row],[MonthlyIncome]]&lt;3000,"Low",IF(HR_Data[[#This Row],[MonthlyIncome]]&lt;6000,"Medium",IF(HR_Data[[#This Row],[MonthlyIncome]]&lt;10000,"High","Very High")))</f>
        <v>Medium</v>
      </c>
      <c r="AL128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82" t="str">
        <f>IF(HR_Data[[#This Row],[TotalWorkingYears]]&lt;=5,"Junior",IF(HR_Data[[#This Row],[TotalWorkingYears]]&lt;=15,"Mid-Level","Senior"))</f>
        <v>Senior</v>
      </c>
      <c r="AN1282" s="11" t="str">
        <f>IF(HR_Data[[#This Row],[PerformanceRating]]=3,"Standard","Excellent")</f>
        <v>Standard</v>
      </c>
      <c r="AO1282" s="11" t="str">
        <f>IF(HR_Data[[#This Row],[JobSatisfaction]]&lt;=2,"Low","High")</f>
        <v>Low</v>
      </c>
      <c r="AP1282" s="11" t="str">
        <f>IF(AND(HR_Data[[#This Row],[OverTime]]="Yes",HR_Data[[#This Row],[JobSatisfaction]]&lt;=2,HR_Data[[#This Row],[YearsAtCompany]]&lt;=2),"High Risk","Normal")</f>
        <v>Normal</v>
      </c>
    </row>
    <row r="1283" spans="1:42" x14ac:dyDescent="0.25">
      <c r="A1283" s="6">
        <v>35</v>
      </c>
      <c r="B1283" s="4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s="11" t="str">
        <f>IF(HR_Data[[#This Row],[Age]]&lt;=25,"18-25",IF(HR_Data[[#This Row],[Age]]&lt;=35,"26-35",IF(HR_Data[[#This Row],[Age]]&lt;=45,"36-45",IF(HR_Data[[#This Row],[Age]]&lt;=55,"46-55","56+"))))</f>
        <v>26-35</v>
      </c>
      <c r="AK1283" s="11" t="str">
        <f>IF(HR_Data[[#This Row],[MonthlyIncome]]&lt;3000,"Low",IF(HR_Data[[#This Row],[MonthlyIncome]]&lt;6000,"Medium",IF(HR_Data[[#This Row],[MonthlyIncome]]&lt;10000,"High","Very High")))</f>
        <v>Medium</v>
      </c>
      <c r="AL128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83" t="str">
        <f>IF(HR_Data[[#This Row],[TotalWorkingYears]]&lt;=5,"Junior",IF(HR_Data[[#This Row],[TotalWorkingYears]]&lt;=15,"Mid-Level","Senior"))</f>
        <v>Mid-Level</v>
      </c>
      <c r="AN1283" s="11" t="str">
        <f>IF(HR_Data[[#This Row],[PerformanceRating]]=3,"Standard","Excellent")</f>
        <v>Standard</v>
      </c>
      <c r="AO1283" s="11" t="str">
        <f>IF(HR_Data[[#This Row],[JobSatisfaction]]&lt;=2,"Low","High")</f>
        <v>High</v>
      </c>
      <c r="AP1283" s="11" t="str">
        <f>IF(AND(HR_Data[[#This Row],[OverTime]]="Yes",HR_Data[[#This Row],[JobSatisfaction]]&lt;=2,HR_Data[[#This Row],[YearsAtCompany]]&lt;=2),"High Risk","Normal")</f>
        <v>Normal</v>
      </c>
    </row>
    <row r="1284" spans="1:42" x14ac:dyDescent="0.25">
      <c r="A1284" s="6">
        <v>33</v>
      </c>
      <c r="B1284" s="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s="11" t="str">
        <f>IF(HR_Data[[#This Row],[Age]]&lt;=25,"18-25",IF(HR_Data[[#This Row],[Age]]&lt;=35,"26-35",IF(HR_Data[[#This Row],[Age]]&lt;=45,"36-45",IF(HR_Data[[#This Row],[Age]]&lt;=55,"46-55","56+"))))</f>
        <v>26-35</v>
      </c>
      <c r="AK1284" s="11" t="str">
        <f>IF(HR_Data[[#This Row],[MonthlyIncome]]&lt;3000,"Low",IF(HR_Data[[#This Row],[MonthlyIncome]]&lt;6000,"Medium",IF(HR_Data[[#This Row],[MonthlyIncome]]&lt;10000,"High","Very High")))</f>
        <v>Medium</v>
      </c>
      <c r="AL128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84" t="str">
        <f>IF(HR_Data[[#This Row],[TotalWorkingYears]]&lt;=5,"Junior",IF(HR_Data[[#This Row],[TotalWorkingYears]]&lt;=15,"Mid-Level","Senior"))</f>
        <v>Mid-Level</v>
      </c>
      <c r="AN1284" s="11" t="str">
        <f>IF(HR_Data[[#This Row],[PerformanceRating]]=3,"Standard","Excellent")</f>
        <v>Standard</v>
      </c>
      <c r="AO1284" s="11" t="str">
        <f>IF(HR_Data[[#This Row],[JobSatisfaction]]&lt;=2,"Low","High")</f>
        <v>Low</v>
      </c>
      <c r="AP1284" s="11" t="str">
        <f>IF(AND(HR_Data[[#This Row],[OverTime]]="Yes",HR_Data[[#This Row],[JobSatisfaction]]&lt;=2,HR_Data[[#This Row],[YearsAtCompany]]&lt;=2),"High Risk","Normal")</f>
        <v>Normal</v>
      </c>
    </row>
    <row r="1285" spans="1:42" x14ac:dyDescent="0.25">
      <c r="A1285" s="6">
        <v>28</v>
      </c>
      <c r="B1285" s="4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s="11" t="str">
        <f>IF(HR_Data[[#This Row],[Age]]&lt;=25,"18-25",IF(HR_Data[[#This Row],[Age]]&lt;=35,"26-35",IF(HR_Data[[#This Row],[Age]]&lt;=45,"36-45",IF(HR_Data[[#This Row],[Age]]&lt;=55,"46-55","56+"))))</f>
        <v>26-35</v>
      </c>
      <c r="AK1285" s="11" t="str">
        <f>IF(HR_Data[[#This Row],[MonthlyIncome]]&lt;3000,"Low",IF(HR_Data[[#This Row],[MonthlyIncome]]&lt;6000,"Medium",IF(HR_Data[[#This Row],[MonthlyIncome]]&lt;10000,"High","Very High")))</f>
        <v>Low</v>
      </c>
      <c r="AL128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85" t="str">
        <f>IF(HR_Data[[#This Row],[TotalWorkingYears]]&lt;=5,"Junior",IF(HR_Data[[#This Row],[TotalWorkingYears]]&lt;=15,"Mid-Level","Senior"))</f>
        <v>Junior</v>
      </c>
      <c r="AN1285" s="11" t="str">
        <f>IF(HR_Data[[#This Row],[PerformanceRating]]=3,"Standard","Excellent")</f>
        <v>Standard</v>
      </c>
      <c r="AO1285" s="11" t="str">
        <f>IF(HR_Data[[#This Row],[JobSatisfaction]]&lt;=2,"Low","High")</f>
        <v>High</v>
      </c>
      <c r="AP1285" s="11" t="str">
        <f>IF(AND(HR_Data[[#This Row],[OverTime]]="Yes",HR_Data[[#This Row],[JobSatisfaction]]&lt;=2,HR_Data[[#This Row],[YearsAtCompany]]&lt;=2),"High Risk","Normal")</f>
        <v>Normal</v>
      </c>
    </row>
    <row r="1286" spans="1:42" x14ac:dyDescent="0.25">
      <c r="A1286" s="6">
        <v>39</v>
      </c>
      <c r="B1286" s="4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s="11" t="str">
        <f>IF(HR_Data[[#This Row],[Age]]&lt;=25,"18-25",IF(HR_Data[[#This Row],[Age]]&lt;=35,"26-35",IF(HR_Data[[#This Row],[Age]]&lt;=45,"36-45",IF(HR_Data[[#This Row],[Age]]&lt;=55,"46-55","56+"))))</f>
        <v>36-45</v>
      </c>
      <c r="AK1286" s="11" t="str">
        <f>IF(HR_Data[[#This Row],[MonthlyIncome]]&lt;3000,"Low",IF(HR_Data[[#This Row],[MonthlyIncome]]&lt;6000,"Medium",IF(HR_Data[[#This Row],[MonthlyIncome]]&lt;10000,"High","Very High")))</f>
        <v>Very High</v>
      </c>
      <c r="AL128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86" t="str">
        <f>IF(HR_Data[[#This Row],[TotalWorkingYears]]&lt;=5,"Junior",IF(HR_Data[[#This Row],[TotalWorkingYears]]&lt;=15,"Mid-Level","Senior"))</f>
        <v>Mid-Level</v>
      </c>
      <c r="AN1286" s="11" t="str">
        <f>IF(HR_Data[[#This Row],[PerformanceRating]]=3,"Standard","Excellent")</f>
        <v>Excellent</v>
      </c>
      <c r="AO1286" s="11" t="str">
        <f>IF(HR_Data[[#This Row],[JobSatisfaction]]&lt;=2,"Low","High")</f>
        <v>High</v>
      </c>
      <c r="AP1286" s="11" t="str">
        <f>IF(AND(HR_Data[[#This Row],[OverTime]]="Yes",HR_Data[[#This Row],[JobSatisfaction]]&lt;=2,HR_Data[[#This Row],[YearsAtCompany]]&lt;=2),"High Risk","Normal")</f>
        <v>Normal</v>
      </c>
    </row>
    <row r="1287" spans="1:42" x14ac:dyDescent="0.25">
      <c r="A1287" s="6">
        <v>46</v>
      </c>
      <c r="B1287" s="4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s="11" t="str">
        <f>IF(HR_Data[[#This Row],[Age]]&lt;=25,"18-25",IF(HR_Data[[#This Row],[Age]]&lt;=35,"26-35",IF(HR_Data[[#This Row],[Age]]&lt;=45,"36-45",IF(HR_Data[[#This Row],[Age]]&lt;=55,"46-55","56+"))))</f>
        <v>46-55</v>
      </c>
      <c r="AK1287" s="11" t="str">
        <f>IF(HR_Data[[#This Row],[MonthlyIncome]]&lt;3000,"Low",IF(HR_Data[[#This Row],[MonthlyIncome]]&lt;6000,"Medium",IF(HR_Data[[#This Row],[MonthlyIncome]]&lt;10000,"High","Very High")))</f>
        <v>High</v>
      </c>
      <c r="AL128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87" t="str">
        <f>IF(HR_Data[[#This Row],[TotalWorkingYears]]&lt;=5,"Junior",IF(HR_Data[[#This Row],[TotalWorkingYears]]&lt;=15,"Mid-Level","Senior"))</f>
        <v>Mid-Level</v>
      </c>
      <c r="AN1287" s="11" t="str">
        <f>IF(HR_Data[[#This Row],[PerformanceRating]]=3,"Standard","Excellent")</f>
        <v>Standard</v>
      </c>
      <c r="AO1287" s="11" t="str">
        <f>IF(HR_Data[[#This Row],[JobSatisfaction]]&lt;=2,"Low","High")</f>
        <v>Low</v>
      </c>
      <c r="AP1287" s="11" t="str">
        <f>IF(AND(HR_Data[[#This Row],[OverTime]]="Yes",HR_Data[[#This Row],[JobSatisfaction]]&lt;=2,HR_Data[[#This Row],[YearsAtCompany]]&lt;=2),"High Risk","Normal")</f>
        <v>Normal</v>
      </c>
    </row>
    <row r="1288" spans="1:42" x14ac:dyDescent="0.25">
      <c r="A1288" s="6">
        <v>40</v>
      </c>
      <c r="B1288" s="4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s="11" t="str">
        <f>IF(HR_Data[[#This Row],[Age]]&lt;=25,"18-25",IF(HR_Data[[#This Row],[Age]]&lt;=35,"26-35",IF(HR_Data[[#This Row],[Age]]&lt;=45,"36-45",IF(HR_Data[[#This Row],[Age]]&lt;=55,"46-55","56+"))))</f>
        <v>36-45</v>
      </c>
      <c r="AK1288" s="11" t="str">
        <f>IF(HR_Data[[#This Row],[MonthlyIncome]]&lt;3000,"Low",IF(HR_Data[[#This Row],[MonthlyIncome]]&lt;6000,"Medium",IF(HR_Data[[#This Row],[MonthlyIncome]]&lt;10000,"High","Very High")))</f>
        <v>Medium</v>
      </c>
      <c r="AL128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88" t="str">
        <f>IF(HR_Data[[#This Row],[TotalWorkingYears]]&lt;=5,"Junior",IF(HR_Data[[#This Row],[TotalWorkingYears]]&lt;=15,"Mid-Level","Senior"))</f>
        <v>Mid-Level</v>
      </c>
      <c r="AN1288" s="11" t="str">
        <f>IF(HR_Data[[#This Row],[PerformanceRating]]=3,"Standard","Excellent")</f>
        <v>Standard</v>
      </c>
      <c r="AO1288" s="11" t="str">
        <f>IF(HR_Data[[#This Row],[JobSatisfaction]]&lt;=2,"Low","High")</f>
        <v>Low</v>
      </c>
      <c r="AP1288" s="11" t="str">
        <f>IF(AND(HR_Data[[#This Row],[OverTime]]="Yes",HR_Data[[#This Row],[JobSatisfaction]]&lt;=2,HR_Data[[#This Row],[YearsAtCompany]]&lt;=2),"High Risk","Normal")</f>
        <v>Normal</v>
      </c>
    </row>
    <row r="1289" spans="1:42" x14ac:dyDescent="0.25">
      <c r="A1289" s="6">
        <v>42</v>
      </c>
      <c r="B1289" s="4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s="11" t="str">
        <f>IF(HR_Data[[#This Row],[Age]]&lt;=25,"18-25",IF(HR_Data[[#This Row],[Age]]&lt;=35,"26-35",IF(HR_Data[[#This Row],[Age]]&lt;=45,"36-45",IF(HR_Data[[#This Row],[Age]]&lt;=55,"46-55","56+"))))</f>
        <v>36-45</v>
      </c>
      <c r="AK1289" s="11" t="str">
        <f>IF(HR_Data[[#This Row],[MonthlyIncome]]&lt;3000,"Low",IF(HR_Data[[#This Row],[MonthlyIncome]]&lt;6000,"Medium",IF(HR_Data[[#This Row],[MonthlyIncome]]&lt;10000,"High","Very High")))</f>
        <v>Medium</v>
      </c>
      <c r="AL128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89" t="str">
        <f>IF(HR_Data[[#This Row],[TotalWorkingYears]]&lt;=5,"Junior",IF(HR_Data[[#This Row],[TotalWorkingYears]]&lt;=15,"Mid-Level","Senior"))</f>
        <v>Mid-Level</v>
      </c>
      <c r="AN1289" s="11" t="str">
        <f>IF(HR_Data[[#This Row],[PerformanceRating]]=3,"Standard","Excellent")</f>
        <v>Standard</v>
      </c>
      <c r="AO1289" s="11" t="str">
        <f>IF(HR_Data[[#This Row],[JobSatisfaction]]&lt;=2,"Low","High")</f>
        <v>Low</v>
      </c>
      <c r="AP1289" s="11" t="str">
        <f>IF(AND(HR_Data[[#This Row],[OverTime]]="Yes",HR_Data[[#This Row],[JobSatisfaction]]&lt;=2,HR_Data[[#This Row],[YearsAtCompany]]&lt;=2),"High Risk","Normal")</f>
        <v>Normal</v>
      </c>
    </row>
    <row r="1290" spans="1:42" x14ac:dyDescent="0.25">
      <c r="A1290" s="6">
        <v>35</v>
      </c>
      <c r="B1290" s="4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s="11" t="str">
        <f>IF(HR_Data[[#This Row],[Age]]&lt;=25,"18-25",IF(HR_Data[[#This Row],[Age]]&lt;=35,"26-35",IF(HR_Data[[#This Row],[Age]]&lt;=45,"36-45",IF(HR_Data[[#This Row],[Age]]&lt;=55,"46-55","56+"))))</f>
        <v>26-35</v>
      </c>
      <c r="AK1290" s="11" t="str">
        <f>IF(HR_Data[[#This Row],[MonthlyIncome]]&lt;3000,"Low",IF(HR_Data[[#This Row],[MonthlyIncome]]&lt;6000,"Medium",IF(HR_Data[[#This Row],[MonthlyIncome]]&lt;10000,"High","Very High")))</f>
        <v>Medium</v>
      </c>
      <c r="AL129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90" t="str">
        <f>IF(HR_Data[[#This Row],[TotalWorkingYears]]&lt;=5,"Junior",IF(HR_Data[[#This Row],[TotalWorkingYears]]&lt;=15,"Mid-Level","Senior"))</f>
        <v>Mid-Level</v>
      </c>
      <c r="AN1290" s="11" t="str">
        <f>IF(HR_Data[[#This Row],[PerformanceRating]]=3,"Standard","Excellent")</f>
        <v>Standard</v>
      </c>
      <c r="AO1290" s="11" t="str">
        <f>IF(HR_Data[[#This Row],[JobSatisfaction]]&lt;=2,"Low","High")</f>
        <v>High</v>
      </c>
      <c r="AP1290" s="11" t="str">
        <f>IF(AND(HR_Data[[#This Row],[OverTime]]="Yes",HR_Data[[#This Row],[JobSatisfaction]]&lt;=2,HR_Data[[#This Row],[YearsAtCompany]]&lt;=2),"High Risk","Normal")</f>
        <v>Normal</v>
      </c>
    </row>
    <row r="1291" spans="1:42" x14ac:dyDescent="0.25">
      <c r="A1291" s="6">
        <v>38</v>
      </c>
      <c r="B1291" s="4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s="11" t="str">
        <f>IF(HR_Data[[#This Row],[Age]]&lt;=25,"18-25",IF(HR_Data[[#This Row],[Age]]&lt;=35,"26-35",IF(HR_Data[[#This Row],[Age]]&lt;=45,"36-45",IF(HR_Data[[#This Row],[Age]]&lt;=55,"46-55","56+"))))</f>
        <v>36-45</v>
      </c>
      <c r="AK1291" s="11" t="str">
        <f>IF(HR_Data[[#This Row],[MonthlyIncome]]&lt;3000,"Low",IF(HR_Data[[#This Row],[MonthlyIncome]]&lt;6000,"Medium",IF(HR_Data[[#This Row],[MonthlyIncome]]&lt;10000,"High","Very High")))</f>
        <v>Low</v>
      </c>
      <c r="AL1291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291" t="str">
        <f>IF(HR_Data[[#This Row],[TotalWorkingYears]]&lt;=5,"Junior",IF(HR_Data[[#This Row],[TotalWorkingYears]]&lt;=15,"Mid-Level","Senior"))</f>
        <v>Mid-Level</v>
      </c>
      <c r="AN1291" s="11" t="str">
        <f>IF(HR_Data[[#This Row],[PerformanceRating]]=3,"Standard","Excellent")</f>
        <v>Standard</v>
      </c>
      <c r="AO1291" s="11" t="str">
        <f>IF(HR_Data[[#This Row],[JobSatisfaction]]&lt;=2,"Low","High")</f>
        <v>Low</v>
      </c>
      <c r="AP1291" s="11" t="str">
        <f>IF(AND(HR_Data[[#This Row],[OverTime]]="Yes",HR_Data[[#This Row],[JobSatisfaction]]&lt;=2,HR_Data[[#This Row],[YearsAtCompany]]&lt;=2),"High Risk","Normal")</f>
        <v>Normal</v>
      </c>
    </row>
    <row r="1292" spans="1:42" x14ac:dyDescent="0.25">
      <c r="A1292" s="6">
        <v>34</v>
      </c>
      <c r="B1292" s="4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s="11" t="str">
        <f>IF(HR_Data[[#This Row],[Age]]&lt;=25,"18-25",IF(HR_Data[[#This Row],[Age]]&lt;=35,"26-35",IF(HR_Data[[#This Row],[Age]]&lt;=45,"36-45",IF(HR_Data[[#This Row],[Age]]&lt;=55,"46-55","56+"))))</f>
        <v>26-35</v>
      </c>
      <c r="AK1292" s="11" t="str">
        <f>IF(HR_Data[[#This Row],[MonthlyIncome]]&lt;3000,"Low",IF(HR_Data[[#This Row],[MonthlyIncome]]&lt;6000,"Medium",IF(HR_Data[[#This Row],[MonthlyIncome]]&lt;10000,"High","Very High")))</f>
        <v>Medium</v>
      </c>
      <c r="AL129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92" t="str">
        <f>IF(HR_Data[[#This Row],[TotalWorkingYears]]&lt;=5,"Junior",IF(HR_Data[[#This Row],[TotalWorkingYears]]&lt;=15,"Mid-Level","Senior"))</f>
        <v>Mid-Level</v>
      </c>
      <c r="AN1292" s="11" t="str">
        <f>IF(HR_Data[[#This Row],[PerformanceRating]]=3,"Standard","Excellent")</f>
        <v>Standard</v>
      </c>
      <c r="AO1292" s="11" t="str">
        <f>IF(HR_Data[[#This Row],[JobSatisfaction]]&lt;=2,"Low","High")</f>
        <v>Low</v>
      </c>
      <c r="AP1292" s="11" t="str">
        <f>IF(AND(HR_Data[[#This Row],[OverTime]]="Yes",HR_Data[[#This Row],[JobSatisfaction]]&lt;=2,HR_Data[[#This Row],[YearsAtCompany]]&lt;=2),"High Risk","Normal")</f>
        <v>Normal</v>
      </c>
    </row>
    <row r="1293" spans="1:42" x14ac:dyDescent="0.25">
      <c r="A1293" s="6">
        <v>37</v>
      </c>
      <c r="B1293" s="4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s="11" t="str">
        <f>IF(HR_Data[[#This Row],[Age]]&lt;=25,"18-25",IF(HR_Data[[#This Row],[Age]]&lt;=35,"26-35",IF(HR_Data[[#This Row],[Age]]&lt;=45,"36-45",IF(HR_Data[[#This Row],[Age]]&lt;=55,"46-55","56+"))))</f>
        <v>36-45</v>
      </c>
      <c r="AK1293" s="11" t="str">
        <f>IF(HR_Data[[#This Row],[MonthlyIncome]]&lt;3000,"Low",IF(HR_Data[[#This Row],[MonthlyIncome]]&lt;6000,"Medium",IF(HR_Data[[#This Row],[MonthlyIncome]]&lt;10000,"High","Very High")))</f>
        <v>Medium</v>
      </c>
      <c r="AL129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93" t="str">
        <f>IF(HR_Data[[#This Row],[TotalWorkingYears]]&lt;=5,"Junior",IF(HR_Data[[#This Row],[TotalWorkingYears]]&lt;=15,"Mid-Level","Senior"))</f>
        <v>Mid-Level</v>
      </c>
      <c r="AN1293" s="11" t="str">
        <f>IF(HR_Data[[#This Row],[PerformanceRating]]=3,"Standard","Excellent")</f>
        <v>Standard</v>
      </c>
      <c r="AO1293" s="11" t="str">
        <f>IF(HR_Data[[#This Row],[JobSatisfaction]]&lt;=2,"Low","High")</f>
        <v>Low</v>
      </c>
      <c r="AP1293" s="11" t="str">
        <f>IF(AND(HR_Data[[#This Row],[OverTime]]="Yes",HR_Data[[#This Row],[JobSatisfaction]]&lt;=2,HR_Data[[#This Row],[YearsAtCompany]]&lt;=2),"High Risk","Normal")</f>
        <v>Normal</v>
      </c>
    </row>
    <row r="1294" spans="1:42" x14ac:dyDescent="0.25">
      <c r="A1294" s="6">
        <v>39</v>
      </c>
      <c r="B1294" s="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s="11" t="str">
        <f>IF(HR_Data[[#This Row],[Age]]&lt;=25,"18-25",IF(HR_Data[[#This Row],[Age]]&lt;=35,"26-35",IF(HR_Data[[#This Row],[Age]]&lt;=45,"36-45",IF(HR_Data[[#This Row],[Age]]&lt;=55,"46-55","56+"))))</f>
        <v>36-45</v>
      </c>
      <c r="AK1294" s="11" t="str">
        <f>IF(HR_Data[[#This Row],[MonthlyIncome]]&lt;3000,"Low",IF(HR_Data[[#This Row],[MonthlyIncome]]&lt;6000,"Medium",IF(HR_Data[[#This Row],[MonthlyIncome]]&lt;10000,"High","Very High")))</f>
        <v>Medium</v>
      </c>
      <c r="AL129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294" t="str">
        <f>IF(HR_Data[[#This Row],[TotalWorkingYears]]&lt;=5,"Junior",IF(HR_Data[[#This Row],[TotalWorkingYears]]&lt;=15,"Mid-Level","Senior"))</f>
        <v>Mid-Level</v>
      </c>
      <c r="AN1294" s="11" t="str">
        <f>IF(HR_Data[[#This Row],[PerformanceRating]]=3,"Standard","Excellent")</f>
        <v>Standard</v>
      </c>
      <c r="AO1294" s="11" t="str">
        <f>IF(HR_Data[[#This Row],[JobSatisfaction]]&lt;=2,"Low","High")</f>
        <v>High</v>
      </c>
      <c r="AP1294" s="11" t="str">
        <f>IF(AND(HR_Data[[#This Row],[OverTime]]="Yes",HR_Data[[#This Row],[JobSatisfaction]]&lt;=2,HR_Data[[#This Row],[YearsAtCompany]]&lt;=2),"High Risk","Normal")</f>
        <v>Normal</v>
      </c>
    </row>
    <row r="1295" spans="1:42" x14ac:dyDescent="0.25">
      <c r="A1295" s="6">
        <v>43</v>
      </c>
      <c r="B1295" s="4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s="11" t="str">
        <f>IF(HR_Data[[#This Row],[Age]]&lt;=25,"18-25",IF(HR_Data[[#This Row],[Age]]&lt;=35,"26-35",IF(HR_Data[[#This Row],[Age]]&lt;=45,"36-45",IF(HR_Data[[#This Row],[Age]]&lt;=55,"46-55","56+"))))</f>
        <v>36-45</v>
      </c>
      <c r="AK1295" s="11" t="str">
        <f>IF(HR_Data[[#This Row],[MonthlyIncome]]&lt;3000,"Low",IF(HR_Data[[#This Row],[MonthlyIncome]]&lt;6000,"Medium",IF(HR_Data[[#This Row],[MonthlyIncome]]&lt;10000,"High","Very High")))</f>
        <v>Low</v>
      </c>
      <c r="AL129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95" t="str">
        <f>IF(HR_Data[[#This Row],[TotalWorkingYears]]&lt;=5,"Junior",IF(HR_Data[[#This Row],[TotalWorkingYears]]&lt;=15,"Mid-Level","Senior"))</f>
        <v>Mid-Level</v>
      </c>
      <c r="AN1295" s="11" t="str">
        <f>IF(HR_Data[[#This Row],[PerformanceRating]]=3,"Standard","Excellent")</f>
        <v>Standard</v>
      </c>
      <c r="AO1295" s="11" t="str">
        <f>IF(HR_Data[[#This Row],[JobSatisfaction]]&lt;=2,"Low","High")</f>
        <v>High</v>
      </c>
      <c r="AP1295" s="11" t="str">
        <f>IF(AND(HR_Data[[#This Row],[OverTime]]="Yes",HR_Data[[#This Row],[JobSatisfaction]]&lt;=2,HR_Data[[#This Row],[YearsAtCompany]]&lt;=2),"High Risk","Normal")</f>
        <v>Normal</v>
      </c>
    </row>
    <row r="1296" spans="1:42" x14ac:dyDescent="0.25">
      <c r="A1296" s="6">
        <v>41</v>
      </c>
      <c r="B1296" s="4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s="11" t="str">
        <f>IF(HR_Data[[#This Row],[Age]]&lt;=25,"18-25",IF(HR_Data[[#This Row],[Age]]&lt;=35,"26-35",IF(HR_Data[[#This Row],[Age]]&lt;=45,"36-45",IF(HR_Data[[#This Row],[Age]]&lt;=55,"46-55","56+"))))</f>
        <v>36-45</v>
      </c>
      <c r="AK1296" s="11" t="str">
        <f>IF(HR_Data[[#This Row],[MonthlyIncome]]&lt;3000,"Low",IF(HR_Data[[#This Row],[MonthlyIncome]]&lt;6000,"Medium",IF(HR_Data[[#This Row],[MonthlyIncome]]&lt;10000,"High","Very High")))</f>
        <v>High</v>
      </c>
      <c r="AL129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96" t="str">
        <f>IF(HR_Data[[#This Row],[TotalWorkingYears]]&lt;=5,"Junior",IF(HR_Data[[#This Row],[TotalWorkingYears]]&lt;=15,"Mid-Level","Senior"))</f>
        <v>Mid-Level</v>
      </c>
      <c r="AN1296" s="11" t="str">
        <f>IF(HR_Data[[#This Row],[PerformanceRating]]=3,"Standard","Excellent")</f>
        <v>Standard</v>
      </c>
      <c r="AO1296" s="11" t="str">
        <f>IF(HR_Data[[#This Row],[JobSatisfaction]]&lt;=2,"Low","High")</f>
        <v>Low</v>
      </c>
      <c r="AP1296" s="11" t="str">
        <f>IF(AND(HR_Data[[#This Row],[OverTime]]="Yes",HR_Data[[#This Row],[JobSatisfaction]]&lt;=2,HR_Data[[#This Row],[YearsAtCompany]]&lt;=2),"High Risk","Normal")</f>
        <v>Normal</v>
      </c>
    </row>
    <row r="1297" spans="1:42" x14ac:dyDescent="0.25">
      <c r="A1297" s="6">
        <v>41</v>
      </c>
      <c r="B1297" s="4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s="11" t="str">
        <f>IF(HR_Data[[#This Row],[Age]]&lt;=25,"18-25",IF(HR_Data[[#This Row],[Age]]&lt;=35,"26-35",IF(HR_Data[[#This Row],[Age]]&lt;=45,"36-45",IF(HR_Data[[#This Row],[Age]]&lt;=55,"46-55","56+"))))</f>
        <v>36-45</v>
      </c>
      <c r="AK1297" s="11" t="str">
        <f>IF(HR_Data[[#This Row],[MonthlyIncome]]&lt;3000,"Low",IF(HR_Data[[#This Row],[MonthlyIncome]]&lt;6000,"Medium",IF(HR_Data[[#This Row],[MonthlyIncome]]&lt;10000,"High","Very High")))</f>
        <v>Very High</v>
      </c>
      <c r="AL129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297" t="str">
        <f>IF(HR_Data[[#This Row],[TotalWorkingYears]]&lt;=5,"Junior",IF(HR_Data[[#This Row],[TotalWorkingYears]]&lt;=15,"Mid-Level","Senior"))</f>
        <v>Senior</v>
      </c>
      <c r="AN1297" s="11" t="str">
        <f>IF(HR_Data[[#This Row],[PerformanceRating]]=3,"Standard","Excellent")</f>
        <v>Standard</v>
      </c>
      <c r="AO1297" s="11" t="str">
        <f>IF(HR_Data[[#This Row],[JobSatisfaction]]&lt;=2,"Low","High")</f>
        <v>High</v>
      </c>
      <c r="AP1297" s="11" t="str">
        <f>IF(AND(HR_Data[[#This Row],[OverTime]]="Yes",HR_Data[[#This Row],[JobSatisfaction]]&lt;=2,HR_Data[[#This Row],[YearsAtCompany]]&lt;=2),"High Risk","Normal")</f>
        <v>Normal</v>
      </c>
    </row>
    <row r="1298" spans="1:42" x14ac:dyDescent="0.25">
      <c r="A1298" s="6">
        <v>30</v>
      </c>
      <c r="B1298" s="4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s="11" t="str">
        <f>IF(HR_Data[[#This Row],[Age]]&lt;=25,"18-25",IF(HR_Data[[#This Row],[Age]]&lt;=35,"26-35",IF(HR_Data[[#This Row],[Age]]&lt;=45,"36-45",IF(HR_Data[[#This Row],[Age]]&lt;=55,"46-55","56+"))))</f>
        <v>26-35</v>
      </c>
      <c r="AK1298" s="11" t="str">
        <f>IF(HR_Data[[#This Row],[MonthlyIncome]]&lt;3000,"Low",IF(HR_Data[[#This Row],[MonthlyIncome]]&lt;6000,"Medium",IF(HR_Data[[#This Row],[MonthlyIncome]]&lt;10000,"High","Very High")))</f>
        <v>High</v>
      </c>
      <c r="AL129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298" t="str">
        <f>IF(HR_Data[[#This Row],[TotalWorkingYears]]&lt;=5,"Junior",IF(HR_Data[[#This Row],[TotalWorkingYears]]&lt;=15,"Mid-Level","Senior"))</f>
        <v>Mid-Level</v>
      </c>
      <c r="AN1298" s="11" t="str">
        <f>IF(HR_Data[[#This Row],[PerformanceRating]]=3,"Standard","Excellent")</f>
        <v>Standard</v>
      </c>
      <c r="AO1298" s="11" t="str">
        <f>IF(HR_Data[[#This Row],[JobSatisfaction]]&lt;=2,"Low","High")</f>
        <v>High</v>
      </c>
      <c r="AP1298" s="11" t="str">
        <f>IF(AND(HR_Data[[#This Row],[OverTime]]="Yes",HR_Data[[#This Row],[JobSatisfaction]]&lt;=2,HR_Data[[#This Row],[YearsAtCompany]]&lt;=2),"High Risk","Normal")</f>
        <v>Normal</v>
      </c>
    </row>
    <row r="1299" spans="1:42" x14ac:dyDescent="0.25">
      <c r="A1299" s="6">
        <v>26</v>
      </c>
      <c r="B1299" s="4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s="11" t="str">
        <f>IF(HR_Data[[#This Row],[Age]]&lt;=25,"18-25",IF(HR_Data[[#This Row],[Age]]&lt;=35,"26-35",IF(HR_Data[[#This Row],[Age]]&lt;=45,"36-45",IF(HR_Data[[#This Row],[Age]]&lt;=55,"46-55","56+"))))</f>
        <v>26-35</v>
      </c>
      <c r="AK1299" s="11" t="str">
        <f>IF(HR_Data[[#This Row],[MonthlyIncome]]&lt;3000,"Low",IF(HR_Data[[#This Row],[MonthlyIncome]]&lt;6000,"Medium",IF(HR_Data[[#This Row],[MonthlyIncome]]&lt;10000,"High","Very High")))</f>
        <v>Low</v>
      </c>
      <c r="AL129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299" t="str">
        <f>IF(HR_Data[[#This Row],[TotalWorkingYears]]&lt;=5,"Junior",IF(HR_Data[[#This Row],[TotalWorkingYears]]&lt;=15,"Mid-Level","Senior"))</f>
        <v>Mid-Level</v>
      </c>
      <c r="AN1299" s="11" t="str">
        <f>IF(HR_Data[[#This Row],[PerformanceRating]]=3,"Standard","Excellent")</f>
        <v>Standard</v>
      </c>
      <c r="AO1299" s="11" t="str">
        <f>IF(HR_Data[[#This Row],[JobSatisfaction]]&lt;=2,"Low","High")</f>
        <v>Low</v>
      </c>
      <c r="AP1299" s="11" t="str">
        <f>IF(AND(HR_Data[[#This Row],[OverTime]]="Yes",HR_Data[[#This Row],[JobSatisfaction]]&lt;=2,HR_Data[[#This Row],[YearsAtCompany]]&lt;=2),"High Risk","Normal")</f>
        <v>Normal</v>
      </c>
    </row>
    <row r="1300" spans="1:42" x14ac:dyDescent="0.25">
      <c r="A1300" s="6">
        <v>46</v>
      </c>
      <c r="B1300" s="4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s="11" t="str">
        <f>IF(HR_Data[[#This Row],[Age]]&lt;=25,"18-25",IF(HR_Data[[#This Row],[Age]]&lt;=35,"26-35",IF(HR_Data[[#This Row],[Age]]&lt;=45,"36-45",IF(HR_Data[[#This Row],[Age]]&lt;=55,"46-55","56+"))))</f>
        <v>46-55</v>
      </c>
      <c r="AK1300" s="11" t="str">
        <f>IF(HR_Data[[#This Row],[MonthlyIncome]]&lt;3000,"Low",IF(HR_Data[[#This Row],[MonthlyIncome]]&lt;6000,"Medium",IF(HR_Data[[#This Row],[MonthlyIncome]]&lt;10000,"High","Very High")))</f>
        <v>High</v>
      </c>
      <c r="AL130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00" t="str">
        <f>IF(HR_Data[[#This Row],[TotalWorkingYears]]&lt;=5,"Junior",IF(HR_Data[[#This Row],[TotalWorkingYears]]&lt;=15,"Mid-Level","Senior"))</f>
        <v>Mid-Level</v>
      </c>
      <c r="AN1300" s="11" t="str">
        <f>IF(HR_Data[[#This Row],[PerformanceRating]]=3,"Standard","Excellent")</f>
        <v>Excellent</v>
      </c>
      <c r="AO1300" s="11" t="str">
        <f>IF(HR_Data[[#This Row],[JobSatisfaction]]&lt;=2,"Low","High")</f>
        <v>Low</v>
      </c>
      <c r="AP1300" s="11" t="str">
        <f>IF(AND(HR_Data[[#This Row],[OverTime]]="Yes",HR_Data[[#This Row],[JobSatisfaction]]&lt;=2,HR_Data[[#This Row],[YearsAtCompany]]&lt;=2),"High Risk","Normal")</f>
        <v>Normal</v>
      </c>
    </row>
    <row r="1301" spans="1:42" x14ac:dyDescent="0.25">
      <c r="A1301" s="6">
        <v>40</v>
      </c>
      <c r="B1301" s="4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s="11" t="str">
        <f>IF(HR_Data[[#This Row],[Age]]&lt;=25,"18-25",IF(HR_Data[[#This Row],[Age]]&lt;=35,"26-35",IF(HR_Data[[#This Row],[Age]]&lt;=45,"36-45",IF(HR_Data[[#This Row],[Age]]&lt;=55,"46-55","56+"))))</f>
        <v>36-45</v>
      </c>
      <c r="AK1301" s="11" t="str">
        <f>IF(HR_Data[[#This Row],[MonthlyIncome]]&lt;3000,"Low",IF(HR_Data[[#This Row],[MonthlyIncome]]&lt;6000,"Medium",IF(HR_Data[[#This Row],[MonthlyIncome]]&lt;10000,"High","Very High")))</f>
        <v>High</v>
      </c>
      <c r="AL130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01" t="str">
        <f>IF(HR_Data[[#This Row],[TotalWorkingYears]]&lt;=5,"Junior",IF(HR_Data[[#This Row],[TotalWorkingYears]]&lt;=15,"Mid-Level","Senior"))</f>
        <v>Mid-Level</v>
      </c>
      <c r="AN1301" s="11" t="str">
        <f>IF(HR_Data[[#This Row],[PerformanceRating]]=3,"Standard","Excellent")</f>
        <v>Standard</v>
      </c>
      <c r="AO1301" s="11" t="str">
        <f>IF(HR_Data[[#This Row],[JobSatisfaction]]&lt;=2,"Low","High")</f>
        <v>High</v>
      </c>
      <c r="AP1301" s="11" t="str">
        <f>IF(AND(HR_Data[[#This Row],[OverTime]]="Yes",HR_Data[[#This Row],[JobSatisfaction]]&lt;=2,HR_Data[[#This Row],[YearsAtCompany]]&lt;=2),"High Risk","Normal")</f>
        <v>Normal</v>
      </c>
    </row>
    <row r="1302" spans="1:42" x14ac:dyDescent="0.25">
      <c r="A1302" s="6">
        <v>34</v>
      </c>
      <c r="B1302" s="4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s="11" t="str">
        <f>IF(HR_Data[[#This Row],[Age]]&lt;=25,"18-25",IF(HR_Data[[#This Row],[Age]]&lt;=35,"26-35",IF(HR_Data[[#This Row],[Age]]&lt;=45,"36-45",IF(HR_Data[[#This Row],[Age]]&lt;=55,"46-55","56+"))))</f>
        <v>26-35</v>
      </c>
      <c r="AK1302" s="11" t="str">
        <f>IF(HR_Data[[#This Row],[MonthlyIncome]]&lt;3000,"Low",IF(HR_Data[[#This Row],[MonthlyIncome]]&lt;6000,"Medium",IF(HR_Data[[#This Row],[MonthlyIncome]]&lt;10000,"High","Very High")))</f>
        <v>High</v>
      </c>
      <c r="AL130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02" t="str">
        <f>IF(HR_Data[[#This Row],[TotalWorkingYears]]&lt;=5,"Junior",IF(HR_Data[[#This Row],[TotalWorkingYears]]&lt;=15,"Mid-Level","Senior"))</f>
        <v>Mid-Level</v>
      </c>
      <c r="AN1302" s="11" t="str">
        <f>IF(HR_Data[[#This Row],[PerformanceRating]]=3,"Standard","Excellent")</f>
        <v>Excellent</v>
      </c>
      <c r="AO1302" s="11" t="str">
        <f>IF(HR_Data[[#This Row],[JobSatisfaction]]&lt;=2,"Low","High")</f>
        <v>High</v>
      </c>
      <c r="AP1302" s="11" t="str">
        <f>IF(AND(HR_Data[[#This Row],[OverTime]]="Yes",HR_Data[[#This Row],[JobSatisfaction]]&lt;=2,HR_Data[[#This Row],[YearsAtCompany]]&lt;=2),"High Risk","Normal")</f>
        <v>Normal</v>
      </c>
    </row>
    <row r="1303" spans="1:42" x14ac:dyDescent="0.25">
      <c r="A1303" s="6">
        <v>58</v>
      </c>
      <c r="B1303" s="4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s="11" t="str">
        <f>IF(HR_Data[[#This Row],[Age]]&lt;=25,"18-25",IF(HR_Data[[#This Row],[Age]]&lt;=35,"26-35",IF(HR_Data[[#This Row],[Age]]&lt;=45,"36-45",IF(HR_Data[[#This Row],[Age]]&lt;=55,"46-55","56+"))))</f>
        <v>56+</v>
      </c>
      <c r="AK1303" s="11" t="str">
        <f>IF(HR_Data[[#This Row],[MonthlyIncome]]&lt;3000,"Low",IF(HR_Data[[#This Row],[MonthlyIncome]]&lt;6000,"Medium",IF(HR_Data[[#This Row],[MonthlyIncome]]&lt;10000,"High","Very High")))</f>
        <v>Very High</v>
      </c>
      <c r="AL130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303" t="str">
        <f>IF(HR_Data[[#This Row],[TotalWorkingYears]]&lt;=5,"Junior",IF(HR_Data[[#This Row],[TotalWorkingYears]]&lt;=15,"Mid-Level","Senior"))</f>
        <v>Senior</v>
      </c>
      <c r="AN1303" s="11" t="str">
        <f>IF(HR_Data[[#This Row],[PerformanceRating]]=3,"Standard","Excellent")</f>
        <v>Excellent</v>
      </c>
      <c r="AO1303" s="11" t="str">
        <f>IF(HR_Data[[#This Row],[JobSatisfaction]]&lt;=2,"Low","High")</f>
        <v>Low</v>
      </c>
      <c r="AP1303" s="11" t="str">
        <f>IF(AND(HR_Data[[#This Row],[OverTime]]="Yes",HR_Data[[#This Row],[JobSatisfaction]]&lt;=2,HR_Data[[#This Row],[YearsAtCompany]]&lt;=2),"High Risk","Normal")</f>
        <v>Normal</v>
      </c>
    </row>
    <row r="1304" spans="1:42" x14ac:dyDescent="0.25">
      <c r="A1304" s="6">
        <v>35</v>
      </c>
      <c r="B1304" s="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s="11" t="str">
        <f>IF(HR_Data[[#This Row],[Age]]&lt;=25,"18-25",IF(HR_Data[[#This Row],[Age]]&lt;=35,"26-35",IF(HR_Data[[#This Row],[Age]]&lt;=45,"36-45",IF(HR_Data[[#This Row],[Age]]&lt;=55,"46-55","56+"))))</f>
        <v>26-35</v>
      </c>
      <c r="AK1304" s="11" t="str">
        <f>IF(HR_Data[[#This Row],[MonthlyIncome]]&lt;3000,"Low",IF(HR_Data[[#This Row],[MonthlyIncome]]&lt;6000,"Medium",IF(HR_Data[[#This Row],[MonthlyIncome]]&lt;10000,"High","Very High")))</f>
        <v>Low</v>
      </c>
      <c r="AL130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04" t="str">
        <f>IF(HR_Data[[#This Row],[TotalWorkingYears]]&lt;=5,"Junior",IF(HR_Data[[#This Row],[TotalWorkingYears]]&lt;=15,"Mid-Level","Senior"))</f>
        <v>Mid-Level</v>
      </c>
      <c r="AN1304" s="11" t="str">
        <f>IF(HR_Data[[#This Row],[PerformanceRating]]=3,"Standard","Excellent")</f>
        <v>Standard</v>
      </c>
      <c r="AO1304" s="11" t="str">
        <f>IF(HR_Data[[#This Row],[JobSatisfaction]]&lt;=2,"Low","High")</f>
        <v>High</v>
      </c>
      <c r="AP1304" s="11" t="str">
        <f>IF(AND(HR_Data[[#This Row],[OverTime]]="Yes",HR_Data[[#This Row],[JobSatisfaction]]&lt;=2,HR_Data[[#This Row],[YearsAtCompany]]&lt;=2),"High Risk","Normal")</f>
        <v>Normal</v>
      </c>
    </row>
    <row r="1305" spans="1:42" x14ac:dyDescent="0.25">
      <c r="A1305" s="6">
        <v>47</v>
      </c>
      <c r="B1305" s="4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s="11" t="str">
        <f>IF(HR_Data[[#This Row],[Age]]&lt;=25,"18-25",IF(HR_Data[[#This Row],[Age]]&lt;=35,"26-35",IF(HR_Data[[#This Row],[Age]]&lt;=45,"36-45",IF(HR_Data[[#This Row],[Age]]&lt;=55,"46-55","56+"))))</f>
        <v>46-55</v>
      </c>
      <c r="AK1305" s="11" t="str">
        <f>IF(HR_Data[[#This Row],[MonthlyIncome]]&lt;3000,"Low",IF(HR_Data[[#This Row],[MonthlyIncome]]&lt;6000,"Medium",IF(HR_Data[[#This Row],[MonthlyIncome]]&lt;10000,"High","Very High")))</f>
        <v>Very High</v>
      </c>
      <c r="AL130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305" t="str">
        <f>IF(HR_Data[[#This Row],[TotalWorkingYears]]&lt;=5,"Junior",IF(HR_Data[[#This Row],[TotalWorkingYears]]&lt;=15,"Mid-Level","Senior"))</f>
        <v>Senior</v>
      </c>
      <c r="AN1305" s="11" t="str">
        <f>IF(HR_Data[[#This Row],[PerformanceRating]]=3,"Standard","Excellent")</f>
        <v>Standard</v>
      </c>
      <c r="AO1305" s="11" t="str">
        <f>IF(HR_Data[[#This Row],[JobSatisfaction]]&lt;=2,"Low","High")</f>
        <v>Low</v>
      </c>
      <c r="AP1305" s="11" t="str">
        <f>IF(AND(HR_Data[[#This Row],[OverTime]]="Yes",HR_Data[[#This Row],[JobSatisfaction]]&lt;=2,HR_Data[[#This Row],[YearsAtCompany]]&lt;=2),"High Risk","Normal")</f>
        <v>Normal</v>
      </c>
    </row>
    <row r="1306" spans="1:42" x14ac:dyDescent="0.25">
      <c r="A1306" s="6">
        <v>40</v>
      </c>
      <c r="B1306" s="4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s="11" t="str">
        <f>IF(HR_Data[[#This Row],[Age]]&lt;=25,"18-25",IF(HR_Data[[#This Row],[Age]]&lt;=35,"26-35",IF(HR_Data[[#This Row],[Age]]&lt;=45,"36-45",IF(HR_Data[[#This Row],[Age]]&lt;=55,"46-55","56+"))))</f>
        <v>36-45</v>
      </c>
      <c r="AK1306" s="11" t="str">
        <f>IF(HR_Data[[#This Row],[MonthlyIncome]]&lt;3000,"Low",IF(HR_Data[[#This Row],[MonthlyIncome]]&lt;6000,"Medium",IF(HR_Data[[#This Row],[MonthlyIncome]]&lt;10000,"High","Very High")))</f>
        <v>Medium</v>
      </c>
      <c r="AL130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06" t="str">
        <f>IF(HR_Data[[#This Row],[TotalWorkingYears]]&lt;=5,"Junior",IF(HR_Data[[#This Row],[TotalWorkingYears]]&lt;=15,"Mid-Level","Senior"))</f>
        <v>Mid-Level</v>
      </c>
      <c r="AN1306" s="11" t="str">
        <f>IF(HR_Data[[#This Row],[PerformanceRating]]=3,"Standard","Excellent")</f>
        <v>Standard</v>
      </c>
      <c r="AO1306" s="11" t="str">
        <f>IF(HR_Data[[#This Row],[JobSatisfaction]]&lt;=2,"Low","High")</f>
        <v>Low</v>
      </c>
      <c r="AP1306" s="11" t="str">
        <f>IF(AND(HR_Data[[#This Row],[OverTime]]="Yes",HR_Data[[#This Row],[JobSatisfaction]]&lt;=2,HR_Data[[#This Row],[YearsAtCompany]]&lt;=2),"High Risk","Normal")</f>
        <v>Normal</v>
      </c>
    </row>
    <row r="1307" spans="1:42" x14ac:dyDescent="0.25">
      <c r="A1307" s="6">
        <v>54</v>
      </c>
      <c r="B1307" s="4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s="11" t="str">
        <f>IF(HR_Data[[#This Row],[Age]]&lt;=25,"18-25",IF(HR_Data[[#This Row],[Age]]&lt;=35,"26-35",IF(HR_Data[[#This Row],[Age]]&lt;=45,"36-45",IF(HR_Data[[#This Row],[Age]]&lt;=55,"46-55","56+"))))</f>
        <v>46-55</v>
      </c>
      <c r="AK1307" s="11" t="str">
        <f>IF(HR_Data[[#This Row],[MonthlyIncome]]&lt;3000,"Low",IF(HR_Data[[#This Row],[MonthlyIncome]]&lt;6000,"Medium",IF(HR_Data[[#This Row],[MonthlyIncome]]&lt;10000,"High","Very High")))</f>
        <v>High</v>
      </c>
      <c r="AL130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07" t="str">
        <f>IF(HR_Data[[#This Row],[TotalWorkingYears]]&lt;=5,"Junior",IF(HR_Data[[#This Row],[TotalWorkingYears]]&lt;=15,"Mid-Level","Senior"))</f>
        <v>Mid-Level</v>
      </c>
      <c r="AN1307" s="11" t="str">
        <f>IF(HR_Data[[#This Row],[PerformanceRating]]=3,"Standard","Excellent")</f>
        <v>Standard</v>
      </c>
      <c r="AO1307" s="11" t="str">
        <f>IF(HR_Data[[#This Row],[JobSatisfaction]]&lt;=2,"Low","High")</f>
        <v>High</v>
      </c>
      <c r="AP1307" s="11" t="str">
        <f>IF(AND(HR_Data[[#This Row],[OverTime]]="Yes",HR_Data[[#This Row],[JobSatisfaction]]&lt;=2,HR_Data[[#This Row],[YearsAtCompany]]&lt;=2),"High Risk","Normal")</f>
        <v>Normal</v>
      </c>
    </row>
    <row r="1308" spans="1:42" x14ac:dyDescent="0.25">
      <c r="A1308" s="6">
        <v>31</v>
      </c>
      <c r="B1308" s="4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s="11" t="str">
        <f>IF(HR_Data[[#This Row],[Age]]&lt;=25,"18-25",IF(HR_Data[[#This Row],[Age]]&lt;=35,"26-35",IF(HR_Data[[#This Row],[Age]]&lt;=45,"36-45",IF(HR_Data[[#This Row],[Age]]&lt;=55,"46-55","56+"))))</f>
        <v>26-35</v>
      </c>
      <c r="AK1308" s="11" t="str">
        <f>IF(HR_Data[[#This Row],[MonthlyIncome]]&lt;3000,"Low",IF(HR_Data[[#This Row],[MonthlyIncome]]&lt;6000,"Medium",IF(HR_Data[[#This Row],[MonthlyIncome]]&lt;10000,"High","Very High")))</f>
        <v>High</v>
      </c>
      <c r="AL130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08" t="str">
        <f>IF(HR_Data[[#This Row],[TotalWorkingYears]]&lt;=5,"Junior",IF(HR_Data[[#This Row],[TotalWorkingYears]]&lt;=15,"Mid-Level","Senior"))</f>
        <v>Mid-Level</v>
      </c>
      <c r="AN1308" s="11" t="str">
        <f>IF(HR_Data[[#This Row],[PerformanceRating]]=3,"Standard","Excellent")</f>
        <v>Standard</v>
      </c>
      <c r="AO1308" s="11" t="str">
        <f>IF(HR_Data[[#This Row],[JobSatisfaction]]&lt;=2,"Low","High")</f>
        <v>Low</v>
      </c>
      <c r="AP1308" s="11" t="str">
        <f>IF(AND(HR_Data[[#This Row],[OverTime]]="Yes",HR_Data[[#This Row],[JobSatisfaction]]&lt;=2,HR_Data[[#This Row],[YearsAtCompany]]&lt;=2),"High Risk","Normal")</f>
        <v>Normal</v>
      </c>
    </row>
    <row r="1309" spans="1:42" x14ac:dyDescent="0.25">
      <c r="A1309" s="6">
        <v>28</v>
      </c>
      <c r="B1309" s="4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s="11" t="str">
        <f>IF(HR_Data[[#This Row],[Age]]&lt;=25,"18-25",IF(HR_Data[[#This Row],[Age]]&lt;=35,"26-35",IF(HR_Data[[#This Row],[Age]]&lt;=45,"36-45",IF(HR_Data[[#This Row],[Age]]&lt;=55,"46-55","56+"))))</f>
        <v>26-35</v>
      </c>
      <c r="AK1309" s="11" t="str">
        <f>IF(HR_Data[[#This Row],[MonthlyIncome]]&lt;3000,"Low",IF(HR_Data[[#This Row],[MonthlyIncome]]&lt;6000,"Medium",IF(HR_Data[[#This Row],[MonthlyIncome]]&lt;10000,"High","Very High")))</f>
        <v>Medium</v>
      </c>
      <c r="AL130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09" t="str">
        <f>IF(HR_Data[[#This Row],[TotalWorkingYears]]&lt;=5,"Junior",IF(HR_Data[[#This Row],[TotalWorkingYears]]&lt;=15,"Mid-Level","Senior"))</f>
        <v>Junior</v>
      </c>
      <c r="AN1309" s="11" t="str">
        <f>IF(HR_Data[[#This Row],[PerformanceRating]]=3,"Standard","Excellent")</f>
        <v>Excellent</v>
      </c>
      <c r="AO1309" s="11" t="str">
        <f>IF(HR_Data[[#This Row],[JobSatisfaction]]&lt;=2,"Low","High")</f>
        <v>Low</v>
      </c>
      <c r="AP1309" s="11" t="str">
        <f>IF(AND(HR_Data[[#This Row],[OverTime]]="Yes",HR_Data[[#This Row],[JobSatisfaction]]&lt;=2,HR_Data[[#This Row],[YearsAtCompany]]&lt;=2),"High Risk","Normal")</f>
        <v>Normal</v>
      </c>
    </row>
    <row r="1310" spans="1:42" x14ac:dyDescent="0.25">
      <c r="A1310" s="6">
        <v>38</v>
      </c>
      <c r="B1310" s="4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s="11" t="str">
        <f>IF(HR_Data[[#This Row],[Age]]&lt;=25,"18-25",IF(HR_Data[[#This Row],[Age]]&lt;=35,"26-35",IF(HR_Data[[#This Row],[Age]]&lt;=45,"36-45",IF(HR_Data[[#This Row],[Age]]&lt;=55,"46-55","56+"))))</f>
        <v>36-45</v>
      </c>
      <c r="AK1310" s="11" t="str">
        <f>IF(HR_Data[[#This Row],[MonthlyIncome]]&lt;3000,"Low",IF(HR_Data[[#This Row],[MonthlyIncome]]&lt;6000,"Medium",IF(HR_Data[[#This Row],[MonthlyIncome]]&lt;10000,"High","Very High")))</f>
        <v>Medium</v>
      </c>
      <c r="AL131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10" t="str">
        <f>IF(HR_Data[[#This Row],[TotalWorkingYears]]&lt;=5,"Junior",IF(HR_Data[[#This Row],[TotalWorkingYears]]&lt;=15,"Mid-Level","Senior"))</f>
        <v>Senior</v>
      </c>
      <c r="AN1310" s="11" t="str">
        <f>IF(HR_Data[[#This Row],[PerformanceRating]]=3,"Standard","Excellent")</f>
        <v>Excellent</v>
      </c>
      <c r="AO1310" s="11" t="str">
        <f>IF(HR_Data[[#This Row],[JobSatisfaction]]&lt;=2,"Low","High")</f>
        <v>High</v>
      </c>
      <c r="AP1310" s="11" t="str">
        <f>IF(AND(HR_Data[[#This Row],[OverTime]]="Yes",HR_Data[[#This Row],[JobSatisfaction]]&lt;=2,HR_Data[[#This Row],[YearsAtCompany]]&lt;=2),"High Risk","Normal")</f>
        <v>Normal</v>
      </c>
    </row>
    <row r="1311" spans="1:42" x14ac:dyDescent="0.25">
      <c r="A1311" s="6">
        <v>26</v>
      </c>
      <c r="B1311" s="4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s="11" t="str">
        <f>IF(HR_Data[[#This Row],[Age]]&lt;=25,"18-25",IF(HR_Data[[#This Row],[Age]]&lt;=35,"26-35",IF(HR_Data[[#This Row],[Age]]&lt;=45,"36-45",IF(HR_Data[[#This Row],[Age]]&lt;=55,"46-55","56+"))))</f>
        <v>26-35</v>
      </c>
      <c r="AK1311" s="11" t="str">
        <f>IF(HR_Data[[#This Row],[MonthlyIncome]]&lt;3000,"Low",IF(HR_Data[[#This Row],[MonthlyIncome]]&lt;6000,"Medium",IF(HR_Data[[#This Row],[MonthlyIncome]]&lt;10000,"High","Very High")))</f>
        <v>Medium</v>
      </c>
      <c r="AL131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11" t="str">
        <f>IF(HR_Data[[#This Row],[TotalWorkingYears]]&lt;=5,"Junior",IF(HR_Data[[#This Row],[TotalWorkingYears]]&lt;=15,"Mid-Level","Senior"))</f>
        <v>Junior</v>
      </c>
      <c r="AN1311" s="11" t="str">
        <f>IF(HR_Data[[#This Row],[PerformanceRating]]=3,"Standard","Excellent")</f>
        <v>Standard</v>
      </c>
      <c r="AO1311" s="11" t="str">
        <f>IF(HR_Data[[#This Row],[JobSatisfaction]]&lt;=2,"Low","High")</f>
        <v>High</v>
      </c>
      <c r="AP1311" s="11" t="str">
        <f>IF(AND(HR_Data[[#This Row],[OverTime]]="Yes",HR_Data[[#This Row],[JobSatisfaction]]&lt;=2,HR_Data[[#This Row],[YearsAtCompany]]&lt;=2),"High Risk","Normal")</f>
        <v>Normal</v>
      </c>
    </row>
    <row r="1312" spans="1:42" x14ac:dyDescent="0.25">
      <c r="A1312" s="6">
        <v>58</v>
      </c>
      <c r="B1312" s="4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s="11" t="str">
        <f>IF(HR_Data[[#This Row],[Age]]&lt;=25,"18-25",IF(HR_Data[[#This Row],[Age]]&lt;=35,"26-35",IF(HR_Data[[#This Row],[Age]]&lt;=45,"36-45",IF(HR_Data[[#This Row],[Age]]&lt;=55,"46-55","56+"))))</f>
        <v>56+</v>
      </c>
      <c r="AK1312" s="11" t="str">
        <f>IF(HR_Data[[#This Row],[MonthlyIncome]]&lt;3000,"Low",IF(HR_Data[[#This Row],[MonthlyIncome]]&lt;6000,"Medium",IF(HR_Data[[#This Row],[MonthlyIncome]]&lt;10000,"High","Very High")))</f>
        <v>Very High</v>
      </c>
      <c r="AL131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12" t="str">
        <f>IF(HR_Data[[#This Row],[TotalWorkingYears]]&lt;=5,"Junior",IF(HR_Data[[#This Row],[TotalWorkingYears]]&lt;=15,"Mid-Level","Senior"))</f>
        <v>Senior</v>
      </c>
      <c r="AN1312" s="11" t="str">
        <f>IF(HR_Data[[#This Row],[PerformanceRating]]=3,"Standard","Excellent")</f>
        <v>Standard</v>
      </c>
      <c r="AO1312" s="11" t="str">
        <f>IF(HR_Data[[#This Row],[JobSatisfaction]]&lt;=2,"Low","High")</f>
        <v>High</v>
      </c>
      <c r="AP1312" s="11" t="str">
        <f>IF(AND(HR_Data[[#This Row],[OverTime]]="Yes",HR_Data[[#This Row],[JobSatisfaction]]&lt;=2,HR_Data[[#This Row],[YearsAtCompany]]&lt;=2),"High Risk","Normal")</f>
        <v>Normal</v>
      </c>
    </row>
    <row r="1313" spans="1:42" x14ac:dyDescent="0.25">
      <c r="A1313" s="6">
        <v>18</v>
      </c>
      <c r="B1313" s="4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s="11" t="str">
        <f>IF(HR_Data[[#This Row],[Age]]&lt;=25,"18-25",IF(HR_Data[[#This Row],[Age]]&lt;=35,"26-35",IF(HR_Data[[#This Row],[Age]]&lt;=45,"36-45",IF(HR_Data[[#This Row],[Age]]&lt;=55,"46-55","56+"))))</f>
        <v>18-25</v>
      </c>
      <c r="AK1313" s="11" t="str">
        <f>IF(HR_Data[[#This Row],[MonthlyIncome]]&lt;3000,"Low",IF(HR_Data[[#This Row],[MonthlyIncome]]&lt;6000,"Medium",IF(HR_Data[[#This Row],[MonthlyIncome]]&lt;10000,"High","Very High")))</f>
        <v>Low</v>
      </c>
      <c r="AL131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13" t="str">
        <f>IF(HR_Data[[#This Row],[TotalWorkingYears]]&lt;=5,"Junior",IF(HR_Data[[#This Row],[TotalWorkingYears]]&lt;=15,"Mid-Level","Senior"))</f>
        <v>Junior</v>
      </c>
      <c r="AN1313" s="11" t="str">
        <f>IF(HR_Data[[#This Row],[PerformanceRating]]=3,"Standard","Excellent")</f>
        <v>Standard</v>
      </c>
      <c r="AO1313" s="11" t="str">
        <f>IF(HR_Data[[#This Row],[JobSatisfaction]]&lt;=2,"Low","High")</f>
        <v>High</v>
      </c>
      <c r="AP1313" s="11" t="str">
        <f>IF(AND(HR_Data[[#This Row],[OverTime]]="Yes",HR_Data[[#This Row],[JobSatisfaction]]&lt;=2,HR_Data[[#This Row],[YearsAtCompany]]&lt;=2),"High Risk","Normal")</f>
        <v>Normal</v>
      </c>
    </row>
    <row r="1314" spans="1:42" x14ac:dyDescent="0.25">
      <c r="A1314" s="6">
        <v>31</v>
      </c>
      <c r="B1314" s="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s="11" t="str">
        <f>IF(HR_Data[[#This Row],[Age]]&lt;=25,"18-25",IF(HR_Data[[#This Row],[Age]]&lt;=35,"26-35",IF(HR_Data[[#This Row],[Age]]&lt;=45,"36-45",IF(HR_Data[[#This Row],[Age]]&lt;=55,"46-55","56+"))))</f>
        <v>26-35</v>
      </c>
      <c r="AK1314" s="11" t="str">
        <f>IF(HR_Data[[#This Row],[MonthlyIncome]]&lt;3000,"Low",IF(HR_Data[[#This Row],[MonthlyIncome]]&lt;6000,"Medium",IF(HR_Data[[#This Row],[MonthlyIncome]]&lt;10000,"High","Very High")))</f>
        <v>Low</v>
      </c>
      <c r="AL131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14" t="str">
        <f>IF(HR_Data[[#This Row],[TotalWorkingYears]]&lt;=5,"Junior",IF(HR_Data[[#This Row],[TotalWorkingYears]]&lt;=15,"Mid-Level","Senior"))</f>
        <v>Junior</v>
      </c>
      <c r="AN1314" s="11" t="str">
        <f>IF(HR_Data[[#This Row],[PerformanceRating]]=3,"Standard","Excellent")</f>
        <v>Standard</v>
      </c>
      <c r="AO1314" s="11" t="str">
        <f>IF(HR_Data[[#This Row],[JobSatisfaction]]&lt;=2,"Low","High")</f>
        <v>Low</v>
      </c>
      <c r="AP1314" s="11" t="str">
        <f>IF(AND(HR_Data[[#This Row],[OverTime]]="Yes",HR_Data[[#This Row],[JobSatisfaction]]&lt;=2,HR_Data[[#This Row],[YearsAtCompany]]&lt;=2),"High Risk","Normal")</f>
        <v>Normal</v>
      </c>
    </row>
    <row r="1315" spans="1:42" x14ac:dyDescent="0.25">
      <c r="A1315" s="6">
        <v>29</v>
      </c>
      <c r="B1315" s="4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s="11" t="str">
        <f>IF(HR_Data[[#This Row],[Age]]&lt;=25,"18-25",IF(HR_Data[[#This Row],[Age]]&lt;=35,"26-35",IF(HR_Data[[#This Row],[Age]]&lt;=45,"36-45",IF(HR_Data[[#This Row],[Age]]&lt;=55,"46-55","56+"))))</f>
        <v>26-35</v>
      </c>
      <c r="AK1315" s="11" t="str">
        <f>IF(HR_Data[[#This Row],[MonthlyIncome]]&lt;3000,"Low",IF(HR_Data[[#This Row],[MonthlyIncome]]&lt;6000,"Medium",IF(HR_Data[[#This Row],[MonthlyIncome]]&lt;10000,"High","Very High")))</f>
        <v>Low</v>
      </c>
      <c r="AL131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15" t="str">
        <f>IF(HR_Data[[#This Row],[TotalWorkingYears]]&lt;=5,"Junior",IF(HR_Data[[#This Row],[TotalWorkingYears]]&lt;=15,"Mid-Level","Senior"))</f>
        <v>Junior</v>
      </c>
      <c r="AN1315" s="11" t="str">
        <f>IF(HR_Data[[#This Row],[PerformanceRating]]=3,"Standard","Excellent")</f>
        <v>Standard</v>
      </c>
      <c r="AO1315" s="11" t="str">
        <f>IF(HR_Data[[#This Row],[JobSatisfaction]]&lt;=2,"Low","High")</f>
        <v>Low</v>
      </c>
      <c r="AP1315" s="11" t="str">
        <f>IF(AND(HR_Data[[#This Row],[OverTime]]="Yes",HR_Data[[#This Row],[JobSatisfaction]]&lt;=2,HR_Data[[#This Row],[YearsAtCompany]]&lt;=2),"High Risk","Normal")</f>
        <v>High Risk</v>
      </c>
    </row>
    <row r="1316" spans="1:42" x14ac:dyDescent="0.25">
      <c r="A1316" s="6">
        <v>45</v>
      </c>
      <c r="B1316" s="4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s="11" t="str">
        <f>IF(HR_Data[[#This Row],[Age]]&lt;=25,"18-25",IF(HR_Data[[#This Row],[Age]]&lt;=35,"26-35",IF(HR_Data[[#This Row],[Age]]&lt;=45,"36-45",IF(HR_Data[[#This Row],[Age]]&lt;=55,"46-55","56+"))))</f>
        <v>36-45</v>
      </c>
      <c r="AK1316" s="11" t="str">
        <f>IF(HR_Data[[#This Row],[MonthlyIncome]]&lt;3000,"Low",IF(HR_Data[[#This Row],[MonthlyIncome]]&lt;6000,"Medium",IF(HR_Data[[#This Row],[MonthlyIncome]]&lt;10000,"High","Very High")))</f>
        <v>Medium</v>
      </c>
      <c r="AL131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16" t="str">
        <f>IF(HR_Data[[#This Row],[TotalWorkingYears]]&lt;=5,"Junior",IF(HR_Data[[#This Row],[TotalWorkingYears]]&lt;=15,"Mid-Level","Senior"))</f>
        <v>Mid-Level</v>
      </c>
      <c r="AN1316" s="11" t="str">
        <f>IF(HR_Data[[#This Row],[PerformanceRating]]=3,"Standard","Excellent")</f>
        <v>Excellent</v>
      </c>
      <c r="AO1316" s="11" t="str">
        <f>IF(HR_Data[[#This Row],[JobSatisfaction]]&lt;=2,"Low","High")</f>
        <v>High</v>
      </c>
      <c r="AP1316" s="11" t="str">
        <f>IF(AND(HR_Data[[#This Row],[OverTime]]="Yes",HR_Data[[#This Row],[JobSatisfaction]]&lt;=2,HR_Data[[#This Row],[YearsAtCompany]]&lt;=2),"High Risk","Normal")</f>
        <v>Normal</v>
      </c>
    </row>
    <row r="1317" spans="1:42" x14ac:dyDescent="0.25">
      <c r="A1317" s="6">
        <v>36</v>
      </c>
      <c r="B1317" s="4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s="11" t="str">
        <f>IF(HR_Data[[#This Row],[Age]]&lt;=25,"18-25",IF(HR_Data[[#This Row],[Age]]&lt;=35,"26-35",IF(HR_Data[[#This Row],[Age]]&lt;=45,"36-45",IF(HR_Data[[#This Row],[Age]]&lt;=55,"46-55","56+"))))</f>
        <v>36-45</v>
      </c>
      <c r="AK1317" s="11" t="str">
        <f>IF(HR_Data[[#This Row],[MonthlyIncome]]&lt;3000,"Low",IF(HR_Data[[#This Row],[MonthlyIncome]]&lt;6000,"Medium",IF(HR_Data[[#This Row],[MonthlyIncome]]&lt;10000,"High","Very High")))</f>
        <v>High</v>
      </c>
      <c r="AL131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17" t="str">
        <f>IF(HR_Data[[#This Row],[TotalWorkingYears]]&lt;=5,"Junior",IF(HR_Data[[#This Row],[TotalWorkingYears]]&lt;=15,"Mid-Level","Senior"))</f>
        <v>Mid-Level</v>
      </c>
      <c r="AN1317" s="11" t="str">
        <f>IF(HR_Data[[#This Row],[PerformanceRating]]=3,"Standard","Excellent")</f>
        <v>Excellent</v>
      </c>
      <c r="AO1317" s="11" t="str">
        <f>IF(HR_Data[[#This Row],[JobSatisfaction]]&lt;=2,"Low","High")</f>
        <v>Low</v>
      </c>
      <c r="AP1317" s="11" t="str">
        <f>IF(AND(HR_Data[[#This Row],[OverTime]]="Yes",HR_Data[[#This Row],[JobSatisfaction]]&lt;=2,HR_Data[[#This Row],[YearsAtCompany]]&lt;=2),"High Risk","Normal")</f>
        <v>High Risk</v>
      </c>
    </row>
    <row r="1318" spans="1:42" x14ac:dyDescent="0.25">
      <c r="A1318" s="6">
        <v>43</v>
      </c>
      <c r="B1318" s="4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s="11" t="str">
        <f>IF(HR_Data[[#This Row],[Age]]&lt;=25,"18-25",IF(HR_Data[[#This Row],[Age]]&lt;=35,"26-35",IF(HR_Data[[#This Row],[Age]]&lt;=45,"36-45",IF(HR_Data[[#This Row],[Age]]&lt;=55,"46-55","56+"))))</f>
        <v>36-45</v>
      </c>
      <c r="AK1318" s="11" t="str">
        <f>IF(HR_Data[[#This Row],[MonthlyIncome]]&lt;3000,"Low",IF(HR_Data[[#This Row],[MonthlyIncome]]&lt;6000,"Medium",IF(HR_Data[[#This Row],[MonthlyIncome]]&lt;10000,"High","Very High")))</f>
        <v>Medium</v>
      </c>
      <c r="AL131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18" t="str">
        <f>IF(HR_Data[[#This Row],[TotalWorkingYears]]&lt;=5,"Junior",IF(HR_Data[[#This Row],[TotalWorkingYears]]&lt;=15,"Mid-Level","Senior"))</f>
        <v>Mid-Level</v>
      </c>
      <c r="AN1318" s="11" t="str">
        <f>IF(HR_Data[[#This Row],[PerformanceRating]]=3,"Standard","Excellent")</f>
        <v>Excellent</v>
      </c>
      <c r="AO1318" s="11" t="str">
        <f>IF(HR_Data[[#This Row],[JobSatisfaction]]&lt;=2,"Low","High")</f>
        <v>High</v>
      </c>
      <c r="AP1318" s="11" t="str">
        <f>IF(AND(HR_Data[[#This Row],[OverTime]]="Yes",HR_Data[[#This Row],[JobSatisfaction]]&lt;=2,HR_Data[[#This Row],[YearsAtCompany]]&lt;=2),"High Risk","Normal")</f>
        <v>Normal</v>
      </c>
    </row>
    <row r="1319" spans="1:42" x14ac:dyDescent="0.25">
      <c r="A1319" s="6">
        <v>27</v>
      </c>
      <c r="B1319" s="4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s="11" t="str">
        <f>IF(HR_Data[[#This Row],[Age]]&lt;=25,"18-25",IF(HR_Data[[#This Row],[Age]]&lt;=35,"26-35",IF(HR_Data[[#This Row],[Age]]&lt;=45,"36-45",IF(HR_Data[[#This Row],[Age]]&lt;=55,"46-55","56+"))))</f>
        <v>26-35</v>
      </c>
      <c r="AK1319" s="11" t="str">
        <f>IF(HR_Data[[#This Row],[MonthlyIncome]]&lt;3000,"Low",IF(HR_Data[[#This Row],[MonthlyIncome]]&lt;6000,"Medium",IF(HR_Data[[#This Row],[MonthlyIncome]]&lt;10000,"High","Very High")))</f>
        <v>Low</v>
      </c>
      <c r="AL131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19" t="str">
        <f>IF(HR_Data[[#This Row],[TotalWorkingYears]]&lt;=5,"Junior",IF(HR_Data[[#This Row],[TotalWorkingYears]]&lt;=15,"Mid-Level","Senior"))</f>
        <v>Mid-Level</v>
      </c>
      <c r="AN1319" s="11" t="str">
        <f>IF(HR_Data[[#This Row],[PerformanceRating]]=3,"Standard","Excellent")</f>
        <v>Standard</v>
      </c>
      <c r="AO1319" s="11" t="str">
        <f>IF(HR_Data[[#This Row],[JobSatisfaction]]&lt;=2,"Low","High")</f>
        <v>High</v>
      </c>
      <c r="AP1319" s="11" t="str">
        <f>IF(AND(HR_Data[[#This Row],[OverTime]]="Yes",HR_Data[[#This Row],[JobSatisfaction]]&lt;=2,HR_Data[[#This Row],[YearsAtCompany]]&lt;=2),"High Risk","Normal")</f>
        <v>Normal</v>
      </c>
    </row>
    <row r="1320" spans="1:42" x14ac:dyDescent="0.25">
      <c r="A1320" s="6">
        <v>29</v>
      </c>
      <c r="B1320" s="4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s="11" t="str">
        <f>IF(HR_Data[[#This Row],[Age]]&lt;=25,"18-25",IF(HR_Data[[#This Row],[Age]]&lt;=35,"26-35",IF(HR_Data[[#This Row],[Age]]&lt;=45,"36-45",IF(HR_Data[[#This Row],[Age]]&lt;=55,"46-55","56+"))))</f>
        <v>26-35</v>
      </c>
      <c r="AK1320" s="11" t="str">
        <f>IF(HR_Data[[#This Row],[MonthlyIncome]]&lt;3000,"Low",IF(HR_Data[[#This Row],[MonthlyIncome]]&lt;6000,"Medium",IF(HR_Data[[#This Row],[MonthlyIncome]]&lt;10000,"High","Very High")))</f>
        <v>Medium</v>
      </c>
      <c r="AL132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320" t="str">
        <f>IF(HR_Data[[#This Row],[TotalWorkingYears]]&lt;=5,"Junior",IF(HR_Data[[#This Row],[TotalWorkingYears]]&lt;=15,"Mid-Level","Senior"))</f>
        <v>Mid-Level</v>
      </c>
      <c r="AN1320" s="11" t="str">
        <f>IF(HR_Data[[#This Row],[PerformanceRating]]=3,"Standard","Excellent")</f>
        <v>Standard</v>
      </c>
      <c r="AO1320" s="11" t="str">
        <f>IF(HR_Data[[#This Row],[JobSatisfaction]]&lt;=2,"Low","High")</f>
        <v>High</v>
      </c>
      <c r="AP1320" s="11" t="str">
        <f>IF(AND(HR_Data[[#This Row],[OverTime]]="Yes",HR_Data[[#This Row],[JobSatisfaction]]&lt;=2,HR_Data[[#This Row],[YearsAtCompany]]&lt;=2),"High Risk","Normal")</f>
        <v>Normal</v>
      </c>
    </row>
    <row r="1321" spans="1:42" x14ac:dyDescent="0.25">
      <c r="A1321" s="6">
        <v>32</v>
      </c>
      <c r="B1321" s="4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s="11" t="str">
        <f>IF(HR_Data[[#This Row],[Age]]&lt;=25,"18-25",IF(HR_Data[[#This Row],[Age]]&lt;=35,"26-35",IF(HR_Data[[#This Row],[Age]]&lt;=45,"36-45",IF(HR_Data[[#This Row],[Age]]&lt;=55,"46-55","56+"))))</f>
        <v>26-35</v>
      </c>
      <c r="AK1321" s="11" t="str">
        <f>IF(HR_Data[[#This Row],[MonthlyIncome]]&lt;3000,"Low",IF(HR_Data[[#This Row],[MonthlyIncome]]&lt;6000,"Medium",IF(HR_Data[[#This Row],[MonthlyIncome]]&lt;10000,"High","Very High")))</f>
        <v>Medium</v>
      </c>
      <c r="AL132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21" t="str">
        <f>IF(HR_Data[[#This Row],[TotalWorkingYears]]&lt;=5,"Junior",IF(HR_Data[[#This Row],[TotalWorkingYears]]&lt;=15,"Mid-Level","Senior"))</f>
        <v>Junior</v>
      </c>
      <c r="AN1321" s="11" t="str">
        <f>IF(HR_Data[[#This Row],[PerformanceRating]]=3,"Standard","Excellent")</f>
        <v>Standard</v>
      </c>
      <c r="AO1321" s="11" t="str">
        <f>IF(HR_Data[[#This Row],[JobSatisfaction]]&lt;=2,"Low","High")</f>
        <v>High</v>
      </c>
      <c r="AP1321" s="11" t="str">
        <f>IF(AND(HR_Data[[#This Row],[OverTime]]="Yes",HR_Data[[#This Row],[JobSatisfaction]]&lt;=2,HR_Data[[#This Row],[YearsAtCompany]]&lt;=2),"High Risk","Normal")</f>
        <v>Normal</v>
      </c>
    </row>
    <row r="1322" spans="1:42" x14ac:dyDescent="0.25">
      <c r="A1322" s="6">
        <v>42</v>
      </c>
      <c r="B1322" s="4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s="11" t="str">
        <f>IF(HR_Data[[#This Row],[Age]]&lt;=25,"18-25",IF(HR_Data[[#This Row],[Age]]&lt;=35,"26-35",IF(HR_Data[[#This Row],[Age]]&lt;=45,"36-45",IF(HR_Data[[#This Row],[Age]]&lt;=55,"46-55","56+"))))</f>
        <v>36-45</v>
      </c>
      <c r="AK1322" s="11" t="str">
        <f>IF(HR_Data[[#This Row],[MonthlyIncome]]&lt;3000,"Low",IF(HR_Data[[#This Row],[MonthlyIncome]]&lt;6000,"Medium",IF(HR_Data[[#This Row],[MonthlyIncome]]&lt;10000,"High","Very High")))</f>
        <v>Low</v>
      </c>
      <c r="AL132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22" t="str">
        <f>IF(HR_Data[[#This Row],[TotalWorkingYears]]&lt;=5,"Junior",IF(HR_Data[[#This Row],[TotalWorkingYears]]&lt;=15,"Mid-Level","Senior"))</f>
        <v>Mid-Level</v>
      </c>
      <c r="AN1322" s="11" t="str">
        <f>IF(HR_Data[[#This Row],[PerformanceRating]]=3,"Standard","Excellent")</f>
        <v>Excellent</v>
      </c>
      <c r="AO1322" s="11" t="str">
        <f>IF(HR_Data[[#This Row],[JobSatisfaction]]&lt;=2,"Low","High")</f>
        <v>High</v>
      </c>
      <c r="AP1322" s="11" t="str">
        <f>IF(AND(HR_Data[[#This Row],[OverTime]]="Yes",HR_Data[[#This Row],[JobSatisfaction]]&lt;=2,HR_Data[[#This Row],[YearsAtCompany]]&lt;=2),"High Risk","Normal")</f>
        <v>Normal</v>
      </c>
    </row>
    <row r="1323" spans="1:42" x14ac:dyDescent="0.25">
      <c r="A1323" s="6">
        <v>47</v>
      </c>
      <c r="B1323" s="4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s="11" t="str">
        <f>IF(HR_Data[[#This Row],[Age]]&lt;=25,"18-25",IF(HR_Data[[#This Row],[Age]]&lt;=35,"26-35",IF(HR_Data[[#This Row],[Age]]&lt;=45,"36-45",IF(HR_Data[[#This Row],[Age]]&lt;=55,"46-55","56+"))))</f>
        <v>46-55</v>
      </c>
      <c r="AK1323" s="11" t="str">
        <f>IF(HR_Data[[#This Row],[MonthlyIncome]]&lt;3000,"Low",IF(HR_Data[[#This Row],[MonthlyIncome]]&lt;6000,"Medium",IF(HR_Data[[#This Row],[MonthlyIncome]]&lt;10000,"High","Very High")))</f>
        <v>Low</v>
      </c>
      <c r="AL132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23" t="str">
        <f>IF(HR_Data[[#This Row],[TotalWorkingYears]]&lt;=5,"Junior",IF(HR_Data[[#This Row],[TotalWorkingYears]]&lt;=15,"Mid-Level","Senior"))</f>
        <v>Mid-Level</v>
      </c>
      <c r="AN1323" s="11" t="str">
        <f>IF(HR_Data[[#This Row],[PerformanceRating]]=3,"Standard","Excellent")</f>
        <v>Standard</v>
      </c>
      <c r="AO1323" s="11" t="str">
        <f>IF(HR_Data[[#This Row],[JobSatisfaction]]&lt;=2,"Low","High")</f>
        <v>High</v>
      </c>
      <c r="AP1323" s="11" t="str">
        <f>IF(AND(HR_Data[[#This Row],[OverTime]]="Yes",HR_Data[[#This Row],[JobSatisfaction]]&lt;=2,HR_Data[[#This Row],[YearsAtCompany]]&lt;=2),"High Risk","Normal")</f>
        <v>Normal</v>
      </c>
    </row>
    <row r="1324" spans="1:42" x14ac:dyDescent="0.25">
      <c r="A1324" s="6">
        <v>46</v>
      </c>
      <c r="B1324" s="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s="11" t="str">
        <f>IF(HR_Data[[#This Row],[Age]]&lt;=25,"18-25",IF(HR_Data[[#This Row],[Age]]&lt;=35,"26-35",IF(HR_Data[[#This Row],[Age]]&lt;=45,"36-45",IF(HR_Data[[#This Row],[Age]]&lt;=55,"46-55","56+"))))</f>
        <v>46-55</v>
      </c>
      <c r="AK1324" s="11" t="str">
        <f>IF(HR_Data[[#This Row],[MonthlyIncome]]&lt;3000,"Low",IF(HR_Data[[#This Row],[MonthlyIncome]]&lt;6000,"Medium",IF(HR_Data[[#This Row],[MonthlyIncome]]&lt;10000,"High","Very High")))</f>
        <v>High</v>
      </c>
      <c r="AL132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24" t="str">
        <f>IF(HR_Data[[#This Row],[TotalWorkingYears]]&lt;=5,"Junior",IF(HR_Data[[#This Row],[TotalWorkingYears]]&lt;=15,"Mid-Level","Senior"))</f>
        <v>Mid-Level</v>
      </c>
      <c r="AN1324" s="11" t="str">
        <f>IF(HR_Data[[#This Row],[PerformanceRating]]=3,"Standard","Excellent")</f>
        <v>Standard</v>
      </c>
      <c r="AO1324" s="11" t="str">
        <f>IF(HR_Data[[#This Row],[JobSatisfaction]]&lt;=2,"Low","High")</f>
        <v>High</v>
      </c>
      <c r="AP1324" s="11" t="str">
        <f>IF(AND(HR_Data[[#This Row],[OverTime]]="Yes",HR_Data[[#This Row],[JobSatisfaction]]&lt;=2,HR_Data[[#This Row],[YearsAtCompany]]&lt;=2),"High Risk","Normal")</f>
        <v>Normal</v>
      </c>
    </row>
    <row r="1325" spans="1:42" x14ac:dyDescent="0.25">
      <c r="A1325" s="6">
        <v>28</v>
      </c>
      <c r="B1325" s="4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s="11" t="str">
        <f>IF(HR_Data[[#This Row],[Age]]&lt;=25,"18-25",IF(HR_Data[[#This Row],[Age]]&lt;=35,"26-35",IF(HR_Data[[#This Row],[Age]]&lt;=45,"36-45",IF(HR_Data[[#This Row],[Age]]&lt;=55,"46-55","56+"))))</f>
        <v>26-35</v>
      </c>
      <c r="AK1325" s="11" t="str">
        <f>IF(HR_Data[[#This Row],[MonthlyIncome]]&lt;3000,"Low",IF(HR_Data[[#This Row],[MonthlyIncome]]&lt;6000,"Medium",IF(HR_Data[[#This Row],[MonthlyIncome]]&lt;10000,"High","Very High")))</f>
        <v>Low</v>
      </c>
      <c r="AL132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25" t="str">
        <f>IF(HR_Data[[#This Row],[TotalWorkingYears]]&lt;=5,"Junior",IF(HR_Data[[#This Row],[TotalWorkingYears]]&lt;=15,"Mid-Level","Senior"))</f>
        <v>Junior</v>
      </c>
      <c r="AN1325" s="11" t="str">
        <f>IF(HR_Data[[#This Row],[PerformanceRating]]=3,"Standard","Excellent")</f>
        <v>Standard</v>
      </c>
      <c r="AO1325" s="11" t="str">
        <f>IF(HR_Data[[#This Row],[JobSatisfaction]]&lt;=2,"Low","High")</f>
        <v>High</v>
      </c>
      <c r="AP1325" s="11" t="str">
        <f>IF(AND(HR_Data[[#This Row],[OverTime]]="Yes",HR_Data[[#This Row],[JobSatisfaction]]&lt;=2,HR_Data[[#This Row],[YearsAtCompany]]&lt;=2),"High Risk","Normal")</f>
        <v>Normal</v>
      </c>
    </row>
    <row r="1326" spans="1:42" x14ac:dyDescent="0.25">
      <c r="A1326" s="6">
        <v>29</v>
      </c>
      <c r="B1326" s="4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s="11" t="str">
        <f>IF(HR_Data[[#This Row],[Age]]&lt;=25,"18-25",IF(HR_Data[[#This Row],[Age]]&lt;=35,"26-35",IF(HR_Data[[#This Row],[Age]]&lt;=45,"36-45",IF(HR_Data[[#This Row],[Age]]&lt;=55,"46-55","56+"))))</f>
        <v>26-35</v>
      </c>
      <c r="AK1326" s="11" t="str">
        <f>IF(HR_Data[[#This Row],[MonthlyIncome]]&lt;3000,"Low",IF(HR_Data[[#This Row],[MonthlyIncome]]&lt;6000,"Medium",IF(HR_Data[[#This Row],[MonthlyIncome]]&lt;10000,"High","Very High")))</f>
        <v>High</v>
      </c>
      <c r="AL132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26" t="str">
        <f>IF(HR_Data[[#This Row],[TotalWorkingYears]]&lt;=5,"Junior",IF(HR_Data[[#This Row],[TotalWorkingYears]]&lt;=15,"Mid-Level","Senior"))</f>
        <v>Mid-Level</v>
      </c>
      <c r="AN1326" s="11" t="str">
        <f>IF(HR_Data[[#This Row],[PerformanceRating]]=3,"Standard","Excellent")</f>
        <v>Standard</v>
      </c>
      <c r="AO1326" s="11" t="str">
        <f>IF(HR_Data[[#This Row],[JobSatisfaction]]&lt;=2,"Low","High")</f>
        <v>High</v>
      </c>
      <c r="AP1326" s="11" t="str">
        <f>IF(AND(HR_Data[[#This Row],[OverTime]]="Yes",HR_Data[[#This Row],[JobSatisfaction]]&lt;=2,HR_Data[[#This Row],[YearsAtCompany]]&lt;=2),"High Risk","Normal")</f>
        <v>Normal</v>
      </c>
    </row>
    <row r="1327" spans="1:42" x14ac:dyDescent="0.25">
      <c r="A1327" s="6">
        <v>42</v>
      </c>
      <c r="B1327" s="4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s="11" t="str">
        <f>IF(HR_Data[[#This Row],[Age]]&lt;=25,"18-25",IF(HR_Data[[#This Row],[Age]]&lt;=35,"26-35",IF(HR_Data[[#This Row],[Age]]&lt;=45,"36-45",IF(HR_Data[[#This Row],[Age]]&lt;=55,"46-55","56+"))))</f>
        <v>36-45</v>
      </c>
      <c r="AK1327" s="11" t="str">
        <f>IF(HR_Data[[#This Row],[MonthlyIncome]]&lt;3000,"Low",IF(HR_Data[[#This Row],[MonthlyIncome]]&lt;6000,"Medium",IF(HR_Data[[#This Row],[MonthlyIncome]]&lt;10000,"High","Very High")))</f>
        <v>Medium</v>
      </c>
      <c r="AL132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27" t="str">
        <f>IF(HR_Data[[#This Row],[TotalWorkingYears]]&lt;=5,"Junior",IF(HR_Data[[#This Row],[TotalWorkingYears]]&lt;=15,"Mid-Level","Senior"))</f>
        <v>Mid-Level</v>
      </c>
      <c r="AN1327" s="11" t="str">
        <f>IF(HR_Data[[#This Row],[PerformanceRating]]=3,"Standard","Excellent")</f>
        <v>Standard</v>
      </c>
      <c r="AO1327" s="11" t="str">
        <f>IF(HR_Data[[#This Row],[JobSatisfaction]]&lt;=2,"Low","High")</f>
        <v>High</v>
      </c>
      <c r="AP1327" s="11" t="str">
        <f>IF(AND(HR_Data[[#This Row],[OverTime]]="Yes",HR_Data[[#This Row],[JobSatisfaction]]&lt;=2,HR_Data[[#This Row],[YearsAtCompany]]&lt;=2),"High Risk","Normal")</f>
        <v>Normal</v>
      </c>
    </row>
    <row r="1328" spans="1:42" x14ac:dyDescent="0.25">
      <c r="A1328" s="6">
        <v>32</v>
      </c>
      <c r="B1328" s="4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s="11" t="str">
        <f>IF(HR_Data[[#This Row],[Age]]&lt;=25,"18-25",IF(HR_Data[[#This Row],[Age]]&lt;=35,"26-35",IF(HR_Data[[#This Row],[Age]]&lt;=45,"36-45",IF(HR_Data[[#This Row],[Age]]&lt;=55,"46-55","56+"))))</f>
        <v>26-35</v>
      </c>
      <c r="AK1328" s="11" t="str">
        <f>IF(HR_Data[[#This Row],[MonthlyIncome]]&lt;3000,"Low",IF(HR_Data[[#This Row],[MonthlyIncome]]&lt;6000,"Medium",IF(HR_Data[[#This Row],[MonthlyIncome]]&lt;10000,"High","Very High")))</f>
        <v>High</v>
      </c>
      <c r="AL132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28" t="str">
        <f>IF(HR_Data[[#This Row],[TotalWorkingYears]]&lt;=5,"Junior",IF(HR_Data[[#This Row],[TotalWorkingYears]]&lt;=15,"Mid-Level","Senior"))</f>
        <v>Mid-Level</v>
      </c>
      <c r="AN1328" s="11" t="str">
        <f>IF(HR_Data[[#This Row],[PerformanceRating]]=3,"Standard","Excellent")</f>
        <v>Standard</v>
      </c>
      <c r="AO1328" s="11" t="str">
        <f>IF(HR_Data[[#This Row],[JobSatisfaction]]&lt;=2,"Low","High")</f>
        <v>Low</v>
      </c>
      <c r="AP1328" s="11" t="str">
        <f>IF(AND(HR_Data[[#This Row],[OverTime]]="Yes",HR_Data[[#This Row],[JobSatisfaction]]&lt;=2,HR_Data[[#This Row],[YearsAtCompany]]&lt;=2),"High Risk","Normal")</f>
        <v>High Risk</v>
      </c>
    </row>
    <row r="1329" spans="1:42" x14ac:dyDescent="0.25">
      <c r="A1329" s="6">
        <v>46</v>
      </c>
      <c r="B1329" s="4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s="11" t="str">
        <f>IF(HR_Data[[#This Row],[Age]]&lt;=25,"18-25",IF(HR_Data[[#This Row],[Age]]&lt;=35,"26-35",IF(HR_Data[[#This Row],[Age]]&lt;=45,"36-45",IF(HR_Data[[#This Row],[Age]]&lt;=55,"46-55","56+"))))</f>
        <v>46-55</v>
      </c>
      <c r="AK1329" s="11" t="str">
        <f>IF(HR_Data[[#This Row],[MonthlyIncome]]&lt;3000,"Low",IF(HR_Data[[#This Row],[MonthlyIncome]]&lt;6000,"Medium",IF(HR_Data[[#This Row],[MonthlyIncome]]&lt;10000,"High","Very High")))</f>
        <v>Very High</v>
      </c>
      <c r="AL1329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329" t="str">
        <f>IF(HR_Data[[#This Row],[TotalWorkingYears]]&lt;=5,"Junior",IF(HR_Data[[#This Row],[TotalWorkingYears]]&lt;=15,"Mid-Level","Senior"))</f>
        <v>Senior</v>
      </c>
      <c r="AN1329" s="11" t="str">
        <f>IF(HR_Data[[#This Row],[PerformanceRating]]=3,"Standard","Excellent")</f>
        <v>Standard</v>
      </c>
      <c r="AO1329" s="11" t="str">
        <f>IF(HR_Data[[#This Row],[JobSatisfaction]]&lt;=2,"Low","High")</f>
        <v>Low</v>
      </c>
      <c r="AP1329" s="11" t="str">
        <f>IF(AND(HR_Data[[#This Row],[OverTime]]="Yes",HR_Data[[#This Row],[JobSatisfaction]]&lt;=2,HR_Data[[#This Row],[YearsAtCompany]]&lt;=2),"High Risk","Normal")</f>
        <v>Normal</v>
      </c>
    </row>
    <row r="1330" spans="1:42" x14ac:dyDescent="0.25">
      <c r="A1330" s="6">
        <v>27</v>
      </c>
      <c r="B1330" s="4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s="11" t="str">
        <f>IF(HR_Data[[#This Row],[Age]]&lt;=25,"18-25",IF(HR_Data[[#This Row],[Age]]&lt;=35,"26-35",IF(HR_Data[[#This Row],[Age]]&lt;=45,"36-45",IF(HR_Data[[#This Row],[Age]]&lt;=55,"46-55","56+"))))</f>
        <v>26-35</v>
      </c>
      <c r="AK1330" s="11" t="str">
        <f>IF(HR_Data[[#This Row],[MonthlyIncome]]&lt;3000,"Low",IF(HR_Data[[#This Row],[MonthlyIncome]]&lt;6000,"Medium",IF(HR_Data[[#This Row],[MonthlyIncome]]&lt;10000,"High","Very High")))</f>
        <v>Medium</v>
      </c>
      <c r="AL133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30" t="str">
        <f>IF(HR_Data[[#This Row],[TotalWorkingYears]]&lt;=5,"Junior",IF(HR_Data[[#This Row],[TotalWorkingYears]]&lt;=15,"Mid-Level","Senior"))</f>
        <v>Mid-Level</v>
      </c>
      <c r="AN1330" s="11" t="str">
        <f>IF(HR_Data[[#This Row],[PerformanceRating]]=3,"Standard","Excellent")</f>
        <v>Excellent</v>
      </c>
      <c r="AO1330" s="11" t="str">
        <f>IF(HR_Data[[#This Row],[JobSatisfaction]]&lt;=2,"Low","High")</f>
        <v>High</v>
      </c>
      <c r="AP1330" s="11" t="str">
        <f>IF(AND(HR_Data[[#This Row],[OverTime]]="Yes",HR_Data[[#This Row],[JobSatisfaction]]&lt;=2,HR_Data[[#This Row],[YearsAtCompany]]&lt;=2),"High Risk","Normal")</f>
        <v>Normal</v>
      </c>
    </row>
    <row r="1331" spans="1:42" x14ac:dyDescent="0.25">
      <c r="A1331" s="6">
        <v>29</v>
      </c>
      <c r="B1331" s="4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s="11" t="str">
        <f>IF(HR_Data[[#This Row],[Age]]&lt;=25,"18-25",IF(HR_Data[[#This Row],[Age]]&lt;=35,"26-35",IF(HR_Data[[#This Row],[Age]]&lt;=45,"36-45",IF(HR_Data[[#This Row],[Age]]&lt;=55,"46-55","56+"))))</f>
        <v>26-35</v>
      </c>
      <c r="AK1331" s="11" t="str">
        <f>IF(HR_Data[[#This Row],[MonthlyIncome]]&lt;3000,"Low",IF(HR_Data[[#This Row],[MonthlyIncome]]&lt;6000,"Medium",IF(HR_Data[[#This Row],[MonthlyIncome]]&lt;10000,"High","Very High")))</f>
        <v>Low</v>
      </c>
      <c r="AL133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31" t="str">
        <f>IF(HR_Data[[#This Row],[TotalWorkingYears]]&lt;=5,"Junior",IF(HR_Data[[#This Row],[TotalWorkingYears]]&lt;=15,"Mid-Level","Senior"))</f>
        <v>Junior</v>
      </c>
      <c r="AN1331" s="11" t="str">
        <f>IF(HR_Data[[#This Row],[PerformanceRating]]=3,"Standard","Excellent")</f>
        <v>Standard</v>
      </c>
      <c r="AO1331" s="11" t="str">
        <f>IF(HR_Data[[#This Row],[JobSatisfaction]]&lt;=2,"Low","High")</f>
        <v>Low</v>
      </c>
      <c r="AP1331" s="11" t="str">
        <f>IF(AND(HR_Data[[#This Row],[OverTime]]="Yes",HR_Data[[#This Row],[JobSatisfaction]]&lt;=2,HR_Data[[#This Row],[YearsAtCompany]]&lt;=2),"High Risk","Normal")</f>
        <v>Normal</v>
      </c>
    </row>
    <row r="1332" spans="1:42" x14ac:dyDescent="0.25">
      <c r="A1332" s="6">
        <v>43</v>
      </c>
      <c r="B1332" s="4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s="11" t="str">
        <f>IF(HR_Data[[#This Row],[Age]]&lt;=25,"18-25",IF(HR_Data[[#This Row],[Age]]&lt;=35,"26-35",IF(HR_Data[[#This Row],[Age]]&lt;=45,"36-45",IF(HR_Data[[#This Row],[Age]]&lt;=55,"46-55","56+"))))</f>
        <v>36-45</v>
      </c>
      <c r="AK1332" s="11" t="str">
        <f>IF(HR_Data[[#This Row],[MonthlyIncome]]&lt;3000,"Low",IF(HR_Data[[#This Row],[MonthlyIncome]]&lt;6000,"Medium",IF(HR_Data[[#This Row],[MonthlyIncome]]&lt;10000,"High","Very High")))</f>
        <v>Very High</v>
      </c>
      <c r="AL1332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332" t="str">
        <f>IF(HR_Data[[#This Row],[TotalWorkingYears]]&lt;=5,"Junior",IF(HR_Data[[#This Row],[TotalWorkingYears]]&lt;=15,"Mid-Level","Senior"))</f>
        <v>Senior</v>
      </c>
      <c r="AN1332" s="11" t="str">
        <f>IF(HR_Data[[#This Row],[PerformanceRating]]=3,"Standard","Excellent")</f>
        <v>Standard</v>
      </c>
      <c r="AO1332" s="11" t="str">
        <f>IF(HR_Data[[#This Row],[JobSatisfaction]]&lt;=2,"Low","High")</f>
        <v>High</v>
      </c>
      <c r="AP1332" s="11" t="str">
        <f>IF(AND(HR_Data[[#This Row],[OverTime]]="Yes",HR_Data[[#This Row],[JobSatisfaction]]&lt;=2,HR_Data[[#This Row],[YearsAtCompany]]&lt;=2),"High Risk","Normal")</f>
        <v>Normal</v>
      </c>
    </row>
    <row r="1333" spans="1:42" x14ac:dyDescent="0.25">
      <c r="A1333" s="6">
        <v>48</v>
      </c>
      <c r="B1333" s="4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s="11" t="str">
        <f>IF(HR_Data[[#This Row],[Age]]&lt;=25,"18-25",IF(HR_Data[[#This Row],[Age]]&lt;=35,"26-35",IF(HR_Data[[#This Row],[Age]]&lt;=45,"36-45",IF(HR_Data[[#This Row],[Age]]&lt;=55,"46-55","56+"))))</f>
        <v>46-55</v>
      </c>
      <c r="AK1333" s="11" t="str">
        <f>IF(HR_Data[[#This Row],[MonthlyIncome]]&lt;3000,"Low",IF(HR_Data[[#This Row],[MonthlyIncome]]&lt;6000,"Medium",IF(HR_Data[[#This Row],[MonthlyIncome]]&lt;10000,"High","Very High")))</f>
        <v>Very High</v>
      </c>
      <c r="AL133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333" t="str">
        <f>IF(HR_Data[[#This Row],[TotalWorkingYears]]&lt;=5,"Junior",IF(HR_Data[[#This Row],[TotalWorkingYears]]&lt;=15,"Mid-Level","Senior"))</f>
        <v>Senior</v>
      </c>
      <c r="AN1333" s="11" t="str">
        <f>IF(HR_Data[[#This Row],[PerformanceRating]]=3,"Standard","Excellent")</f>
        <v>Standard</v>
      </c>
      <c r="AO1333" s="11" t="str">
        <f>IF(HR_Data[[#This Row],[JobSatisfaction]]&lt;=2,"Low","High")</f>
        <v>Low</v>
      </c>
      <c r="AP1333" s="11" t="str">
        <f>IF(AND(HR_Data[[#This Row],[OverTime]]="Yes",HR_Data[[#This Row],[JobSatisfaction]]&lt;=2,HR_Data[[#This Row],[YearsAtCompany]]&lt;=2),"High Risk","Normal")</f>
        <v>Normal</v>
      </c>
    </row>
    <row r="1334" spans="1:42" x14ac:dyDescent="0.25">
      <c r="A1334" s="6">
        <v>29</v>
      </c>
      <c r="B1334" s="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s="11" t="str">
        <f>IF(HR_Data[[#This Row],[Age]]&lt;=25,"18-25",IF(HR_Data[[#This Row],[Age]]&lt;=35,"26-35",IF(HR_Data[[#This Row],[Age]]&lt;=45,"36-45",IF(HR_Data[[#This Row],[Age]]&lt;=55,"46-55","56+"))))</f>
        <v>26-35</v>
      </c>
      <c r="AK1334" s="11" t="str">
        <f>IF(HR_Data[[#This Row],[MonthlyIncome]]&lt;3000,"Low",IF(HR_Data[[#This Row],[MonthlyIncome]]&lt;6000,"Medium",IF(HR_Data[[#This Row],[MonthlyIncome]]&lt;10000,"High","Very High")))</f>
        <v>Low</v>
      </c>
      <c r="AL133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34" t="str">
        <f>IF(HR_Data[[#This Row],[TotalWorkingYears]]&lt;=5,"Junior",IF(HR_Data[[#This Row],[TotalWorkingYears]]&lt;=15,"Mid-Level","Senior"))</f>
        <v>Junior</v>
      </c>
      <c r="AN1334" s="11" t="str">
        <f>IF(HR_Data[[#This Row],[PerformanceRating]]=3,"Standard","Excellent")</f>
        <v>Excellent</v>
      </c>
      <c r="AO1334" s="11" t="str">
        <f>IF(HR_Data[[#This Row],[JobSatisfaction]]&lt;=2,"Low","High")</f>
        <v>High</v>
      </c>
      <c r="AP1334" s="11" t="str">
        <f>IF(AND(HR_Data[[#This Row],[OverTime]]="Yes",HR_Data[[#This Row],[JobSatisfaction]]&lt;=2,HR_Data[[#This Row],[YearsAtCompany]]&lt;=2),"High Risk","Normal")</f>
        <v>Normal</v>
      </c>
    </row>
    <row r="1335" spans="1:42" x14ac:dyDescent="0.25">
      <c r="A1335" s="6">
        <v>46</v>
      </c>
      <c r="B1335" s="4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s="11" t="str">
        <f>IF(HR_Data[[#This Row],[Age]]&lt;=25,"18-25",IF(HR_Data[[#This Row],[Age]]&lt;=35,"26-35",IF(HR_Data[[#This Row],[Age]]&lt;=45,"36-45",IF(HR_Data[[#This Row],[Age]]&lt;=55,"46-55","56+"))))</f>
        <v>46-55</v>
      </c>
      <c r="AK1335" s="11" t="str">
        <f>IF(HR_Data[[#This Row],[MonthlyIncome]]&lt;3000,"Low",IF(HR_Data[[#This Row],[MonthlyIncome]]&lt;6000,"Medium",IF(HR_Data[[#This Row],[MonthlyIncome]]&lt;10000,"High","Very High")))</f>
        <v>High</v>
      </c>
      <c r="AL133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35" t="str">
        <f>IF(HR_Data[[#This Row],[TotalWorkingYears]]&lt;=5,"Junior",IF(HR_Data[[#This Row],[TotalWorkingYears]]&lt;=15,"Mid-Level","Senior"))</f>
        <v>Mid-Level</v>
      </c>
      <c r="AN1335" s="11" t="str">
        <f>IF(HR_Data[[#This Row],[PerformanceRating]]=3,"Standard","Excellent")</f>
        <v>Excellent</v>
      </c>
      <c r="AO1335" s="11" t="str">
        <f>IF(HR_Data[[#This Row],[JobSatisfaction]]&lt;=2,"Low","High")</f>
        <v>Low</v>
      </c>
      <c r="AP1335" s="11" t="str">
        <f>IF(AND(HR_Data[[#This Row],[OverTime]]="Yes",HR_Data[[#This Row],[JobSatisfaction]]&lt;=2,HR_Data[[#This Row],[YearsAtCompany]]&lt;=2),"High Risk","Normal")</f>
        <v>Normal</v>
      </c>
    </row>
    <row r="1336" spans="1:42" x14ac:dyDescent="0.25">
      <c r="A1336" s="6">
        <v>27</v>
      </c>
      <c r="B1336" s="4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s="11" t="str">
        <f>IF(HR_Data[[#This Row],[Age]]&lt;=25,"18-25",IF(HR_Data[[#This Row],[Age]]&lt;=35,"26-35",IF(HR_Data[[#This Row],[Age]]&lt;=45,"36-45",IF(HR_Data[[#This Row],[Age]]&lt;=55,"46-55","56+"))))</f>
        <v>26-35</v>
      </c>
      <c r="AK1336" s="11" t="str">
        <f>IF(HR_Data[[#This Row],[MonthlyIncome]]&lt;3000,"Low",IF(HR_Data[[#This Row],[MonthlyIncome]]&lt;6000,"Medium",IF(HR_Data[[#This Row],[MonthlyIncome]]&lt;10000,"High","Very High")))</f>
        <v>Medium</v>
      </c>
      <c r="AL133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36" t="str">
        <f>IF(HR_Data[[#This Row],[TotalWorkingYears]]&lt;=5,"Junior",IF(HR_Data[[#This Row],[TotalWorkingYears]]&lt;=15,"Mid-Level","Senior"))</f>
        <v>Mid-Level</v>
      </c>
      <c r="AN1336" s="11" t="str">
        <f>IF(HR_Data[[#This Row],[PerformanceRating]]=3,"Standard","Excellent")</f>
        <v>Standard</v>
      </c>
      <c r="AO1336" s="11" t="str">
        <f>IF(HR_Data[[#This Row],[JobSatisfaction]]&lt;=2,"Low","High")</f>
        <v>Low</v>
      </c>
      <c r="AP1336" s="11" t="str">
        <f>IF(AND(HR_Data[[#This Row],[OverTime]]="Yes",HR_Data[[#This Row],[JobSatisfaction]]&lt;=2,HR_Data[[#This Row],[YearsAtCompany]]&lt;=2),"High Risk","Normal")</f>
        <v>Normal</v>
      </c>
    </row>
    <row r="1337" spans="1:42" x14ac:dyDescent="0.25">
      <c r="A1337" s="6">
        <v>39</v>
      </c>
      <c r="B1337" s="4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s="11" t="str">
        <f>IF(HR_Data[[#This Row],[Age]]&lt;=25,"18-25",IF(HR_Data[[#This Row],[Age]]&lt;=35,"26-35",IF(HR_Data[[#This Row],[Age]]&lt;=45,"36-45",IF(HR_Data[[#This Row],[Age]]&lt;=55,"46-55","56+"))))</f>
        <v>36-45</v>
      </c>
      <c r="AK1337" s="11" t="str">
        <f>IF(HR_Data[[#This Row],[MonthlyIncome]]&lt;3000,"Low",IF(HR_Data[[#This Row],[MonthlyIncome]]&lt;6000,"Medium",IF(HR_Data[[#This Row],[MonthlyIncome]]&lt;10000,"High","Very High")))</f>
        <v>Medium</v>
      </c>
      <c r="AL133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37" t="str">
        <f>IF(HR_Data[[#This Row],[TotalWorkingYears]]&lt;=5,"Junior",IF(HR_Data[[#This Row],[TotalWorkingYears]]&lt;=15,"Mid-Level","Senior"))</f>
        <v>Mid-Level</v>
      </c>
      <c r="AN1337" s="11" t="str">
        <f>IF(HR_Data[[#This Row],[PerformanceRating]]=3,"Standard","Excellent")</f>
        <v>Standard</v>
      </c>
      <c r="AO1337" s="11" t="str">
        <f>IF(HR_Data[[#This Row],[JobSatisfaction]]&lt;=2,"Low","High")</f>
        <v>High</v>
      </c>
      <c r="AP1337" s="11" t="str">
        <f>IF(AND(HR_Data[[#This Row],[OverTime]]="Yes",HR_Data[[#This Row],[JobSatisfaction]]&lt;=2,HR_Data[[#This Row],[YearsAtCompany]]&lt;=2),"High Risk","Normal")</f>
        <v>Normal</v>
      </c>
    </row>
    <row r="1338" spans="1:42" x14ac:dyDescent="0.25">
      <c r="A1338" s="6">
        <v>55</v>
      </c>
      <c r="B1338" s="4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s="11" t="str">
        <f>IF(HR_Data[[#This Row],[Age]]&lt;=25,"18-25",IF(HR_Data[[#This Row],[Age]]&lt;=35,"26-35",IF(HR_Data[[#This Row],[Age]]&lt;=45,"36-45",IF(HR_Data[[#This Row],[Age]]&lt;=55,"46-55","56+"))))</f>
        <v>46-55</v>
      </c>
      <c r="AK1338" s="11" t="str">
        <f>IF(HR_Data[[#This Row],[MonthlyIncome]]&lt;3000,"Low",IF(HR_Data[[#This Row],[MonthlyIncome]]&lt;6000,"Medium",IF(HR_Data[[#This Row],[MonthlyIncome]]&lt;10000,"High","Very High")))</f>
        <v>Low</v>
      </c>
      <c r="AL133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38" t="str">
        <f>IF(HR_Data[[#This Row],[TotalWorkingYears]]&lt;=5,"Junior",IF(HR_Data[[#This Row],[TotalWorkingYears]]&lt;=15,"Mid-Level","Senior"))</f>
        <v>Senior</v>
      </c>
      <c r="AN1338" s="11" t="str">
        <f>IF(HR_Data[[#This Row],[PerformanceRating]]=3,"Standard","Excellent")</f>
        <v>Excellent</v>
      </c>
      <c r="AO1338" s="11" t="str">
        <f>IF(HR_Data[[#This Row],[JobSatisfaction]]&lt;=2,"Low","High")</f>
        <v>High</v>
      </c>
      <c r="AP1338" s="11" t="str">
        <f>IF(AND(HR_Data[[#This Row],[OverTime]]="Yes",HR_Data[[#This Row],[JobSatisfaction]]&lt;=2,HR_Data[[#This Row],[YearsAtCompany]]&lt;=2),"High Risk","Normal")</f>
        <v>Normal</v>
      </c>
    </row>
    <row r="1339" spans="1:42" x14ac:dyDescent="0.25">
      <c r="A1339" s="6">
        <v>28</v>
      </c>
      <c r="B1339" s="4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s="11" t="str">
        <f>IF(HR_Data[[#This Row],[Age]]&lt;=25,"18-25",IF(HR_Data[[#This Row],[Age]]&lt;=35,"26-35",IF(HR_Data[[#This Row],[Age]]&lt;=45,"36-45",IF(HR_Data[[#This Row],[Age]]&lt;=55,"46-55","56+"))))</f>
        <v>26-35</v>
      </c>
      <c r="AK1339" s="11" t="str">
        <f>IF(HR_Data[[#This Row],[MonthlyIncome]]&lt;3000,"Low",IF(HR_Data[[#This Row],[MonthlyIncome]]&lt;6000,"Medium",IF(HR_Data[[#This Row],[MonthlyIncome]]&lt;10000,"High","Very High")))</f>
        <v>Low</v>
      </c>
      <c r="AL133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39" t="str">
        <f>IF(HR_Data[[#This Row],[TotalWorkingYears]]&lt;=5,"Junior",IF(HR_Data[[#This Row],[TotalWorkingYears]]&lt;=15,"Mid-Level","Senior"))</f>
        <v>Junior</v>
      </c>
      <c r="AN1339" s="11" t="str">
        <f>IF(HR_Data[[#This Row],[PerformanceRating]]=3,"Standard","Excellent")</f>
        <v>Standard</v>
      </c>
      <c r="AO1339" s="11" t="str">
        <f>IF(HR_Data[[#This Row],[JobSatisfaction]]&lt;=2,"Low","High")</f>
        <v>Low</v>
      </c>
      <c r="AP1339" s="11" t="str">
        <f>IF(AND(HR_Data[[#This Row],[OverTime]]="Yes",HR_Data[[#This Row],[JobSatisfaction]]&lt;=2,HR_Data[[#This Row],[YearsAtCompany]]&lt;=2),"High Risk","Normal")</f>
        <v>Normal</v>
      </c>
    </row>
    <row r="1340" spans="1:42" x14ac:dyDescent="0.25">
      <c r="A1340" s="6">
        <v>30</v>
      </c>
      <c r="B1340" s="4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s="11" t="str">
        <f>IF(HR_Data[[#This Row],[Age]]&lt;=25,"18-25",IF(HR_Data[[#This Row],[Age]]&lt;=35,"26-35",IF(HR_Data[[#This Row],[Age]]&lt;=45,"36-45",IF(HR_Data[[#This Row],[Age]]&lt;=55,"46-55","56+"))))</f>
        <v>26-35</v>
      </c>
      <c r="AK1340" s="11" t="str">
        <f>IF(HR_Data[[#This Row],[MonthlyIncome]]&lt;3000,"Low",IF(HR_Data[[#This Row],[MonthlyIncome]]&lt;6000,"Medium",IF(HR_Data[[#This Row],[MonthlyIncome]]&lt;10000,"High","Very High")))</f>
        <v>Low</v>
      </c>
      <c r="AL134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40" t="str">
        <f>IF(HR_Data[[#This Row],[TotalWorkingYears]]&lt;=5,"Junior",IF(HR_Data[[#This Row],[TotalWorkingYears]]&lt;=15,"Mid-Level","Senior"))</f>
        <v>Junior</v>
      </c>
      <c r="AN1340" s="11" t="str">
        <f>IF(HR_Data[[#This Row],[PerformanceRating]]=3,"Standard","Excellent")</f>
        <v>Standard</v>
      </c>
      <c r="AO1340" s="11" t="str">
        <f>IF(HR_Data[[#This Row],[JobSatisfaction]]&lt;=2,"Low","High")</f>
        <v>High</v>
      </c>
      <c r="AP1340" s="11" t="str">
        <f>IF(AND(HR_Data[[#This Row],[OverTime]]="Yes",HR_Data[[#This Row],[JobSatisfaction]]&lt;=2,HR_Data[[#This Row],[YearsAtCompany]]&lt;=2),"High Risk","Normal")</f>
        <v>Normal</v>
      </c>
    </row>
    <row r="1341" spans="1:42" x14ac:dyDescent="0.25">
      <c r="A1341" s="6">
        <v>22</v>
      </c>
      <c r="B1341" s="4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s="11" t="str">
        <f>IF(HR_Data[[#This Row],[Age]]&lt;=25,"18-25",IF(HR_Data[[#This Row],[Age]]&lt;=35,"26-35",IF(HR_Data[[#This Row],[Age]]&lt;=45,"36-45",IF(HR_Data[[#This Row],[Age]]&lt;=55,"46-55","56+"))))</f>
        <v>18-25</v>
      </c>
      <c r="AK1341" s="11" t="str">
        <f>IF(HR_Data[[#This Row],[MonthlyIncome]]&lt;3000,"Low",IF(HR_Data[[#This Row],[MonthlyIncome]]&lt;6000,"Medium",IF(HR_Data[[#This Row],[MonthlyIncome]]&lt;10000,"High","Very High")))</f>
        <v>Low</v>
      </c>
      <c r="AL134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41" t="str">
        <f>IF(HR_Data[[#This Row],[TotalWorkingYears]]&lt;=5,"Junior",IF(HR_Data[[#This Row],[TotalWorkingYears]]&lt;=15,"Mid-Level","Senior"))</f>
        <v>Junior</v>
      </c>
      <c r="AN1341" s="11" t="str">
        <f>IF(HR_Data[[#This Row],[PerformanceRating]]=3,"Standard","Excellent")</f>
        <v>Excellent</v>
      </c>
      <c r="AO1341" s="11" t="str">
        <f>IF(HR_Data[[#This Row],[JobSatisfaction]]&lt;=2,"Low","High")</f>
        <v>Low</v>
      </c>
      <c r="AP1341" s="11" t="str">
        <f>IF(AND(HR_Data[[#This Row],[OverTime]]="Yes",HR_Data[[#This Row],[JobSatisfaction]]&lt;=2,HR_Data[[#This Row],[YearsAtCompany]]&lt;=2),"High Risk","Normal")</f>
        <v>High Risk</v>
      </c>
    </row>
    <row r="1342" spans="1:42" x14ac:dyDescent="0.25">
      <c r="A1342" s="6">
        <v>36</v>
      </c>
      <c r="B1342" s="4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s="11" t="str">
        <f>IF(HR_Data[[#This Row],[Age]]&lt;=25,"18-25",IF(HR_Data[[#This Row],[Age]]&lt;=35,"26-35",IF(HR_Data[[#This Row],[Age]]&lt;=45,"36-45",IF(HR_Data[[#This Row],[Age]]&lt;=55,"46-55","56+"))))</f>
        <v>36-45</v>
      </c>
      <c r="AK1342" s="11" t="str">
        <f>IF(HR_Data[[#This Row],[MonthlyIncome]]&lt;3000,"Low",IF(HR_Data[[#This Row],[MonthlyIncome]]&lt;6000,"Medium",IF(HR_Data[[#This Row],[MonthlyIncome]]&lt;10000,"High","Very High")))</f>
        <v>Medium</v>
      </c>
      <c r="AL134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42" t="str">
        <f>IF(HR_Data[[#This Row],[TotalWorkingYears]]&lt;=5,"Junior",IF(HR_Data[[#This Row],[TotalWorkingYears]]&lt;=15,"Mid-Level","Senior"))</f>
        <v>Mid-Level</v>
      </c>
      <c r="AN1342" s="11" t="str">
        <f>IF(HR_Data[[#This Row],[PerformanceRating]]=3,"Standard","Excellent")</f>
        <v>Standard</v>
      </c>
      <c r="AO1342" s="11" t="str">
        <f>IF(HR_Data[[#This Row],[JobSatisfaction]]&lt;=2,"Low","High")</f>
        <v>High</v>
      </c>
      <c r="AP1342" s="11" t="str">
        <f>IF(AND(HR_Data[[#This Row],[OverTime]]="Yes",HR_Data[[#This Row],[JobSatisfaction]]&lt;=2,HR_Data[[#This Row],[YearsAtCompany]]&lt;=2),"High Risk","Normal")</f>
        <v>Normal</v>
      </c>
    </row>
    <row r="1343" spans="1:42" x14ac:dyDescent="0.25">
      <c r="A1343" s="6">
        <v>31</v>
      </c>
      <c r="B1343" s="4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s="11" t="str">
        <f>IF(HR_Data[[#This Row],[Age]]&lt;=25,"18-25",IF(HR_Data[[#This Row],[Age]]&lt;=35,"26-35",IF(HR_Data[[#This Row],[Age]]&lt;=45,"36-45",IF(HR_Data[[#This Row],[Age]]&lt;=55,"46-55","56+"))))</f>
        <v>26-35</v>
      </c>
      <c r="AK1343" s="11" t="str">
        <f>IF(HR_Data[[#This Row],[MonthlyIncome]]&lt;3000,"Low",IF(HR_Data[[#This Row],[MonthlyIncome]]&lt;6000,"Medium",IF(HR_Data[[#This Row],[MonthlyIncome]]&lt;10000,"High","Very High")))</f>
        <v>Medium</v>
      </c>
      <c r="AL134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43" t="str">
        <f>IF(HR_Data[[#This Row],[TotalWorkingYears]]&lt;=5,"Junior",IF(HR_Data[[#This Row],[TotalWorkingYears]]&lt;=15,"Mid-Level","Senior"))</f>
        <v>Mid-Level</v>
      </c>
      <c r="AN1343" s="11" t="str">
        <f>IF(HR_Data[[#This Row],[PerformanceRating]]=3,"Standard","Excellent")</f>
        <v>Standard</v>
      </c>
      <c r="AO1343" s="11" t="str">
        <f>IF(HR_Data[[#This Row],[JobSatisfaction]]&lt;=2,"Low","High")</f>
        <v>High</v>
      </c>
      <c r="AP1343" s="11" t="str">
        <f>IF(AND(HR_Data[[#This Row],[OverTime]]="Yes",HR_Data[[#This Row],[JobSatisfaction]]&lt;=2,HR_Data[[#This Row],[YearsAtCompany]]&lt;=2),"High Risk","Normal")</f>
        <v>Normal</v>
      </c>
    </row>
    <row r="1344" spans="1:42" x14ac:dyDescent="0.25">
      <c r="A1344" s="6">
        <v>34</v>
      </c>
      <c r="B1344" s="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s="11" t="str">
        <f>IF(HR_Data[[#This Row],[Age]]&lt;=25,"18-25",IF(HR_Data[[#This Row],[Age]]&lt;=35,"26-35",IF(HR_Data[[#This Row],[Age]]&lt;=45,"36-45",IF(HR_Data[[#This Row],[Age]]&lt;=55,"46-55","56+"))))</f>
        <v>26-35</v>
      </c>
      <c r="AK1344" s="11" t="str">
        <f>IF(HR_Data[[#This Row],[MonthlyIncome]]&lt;3000,"Low",IF(HR_Data[[#This Row],[MonthlyIncome]]&lt;6000,"Medium",IF(HR_Data[[#This Row],[MonthlyIncome]]&lt;10000,"High","Very High")))</f>
        <v>High</v>
      </c>
      <c r="AL134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44" t="str">
        <f>IF(HR_Data[[#This Row],[TotalWorkingYears]]&lt;=5,"Junior",IF(HR_Data[[#This Row],[TotalWorkingYears]]&lt;=15,"Mid-Level","Senior"))</f>
        <v>Mid-Level</v>
      </c>
      <c r="AN1344" s="11" t="str">
        <f>IF(HR_Data[[#This Row],[PerformanceRating]]=3,"Standard","Excellent")</f>
        <v>Standard</v>
      </c>
      <c r="AO1344" s="11" t="str">
        <f>IF(HR_Data[[#This Row],[JobSatisfaction]]&lt;=2,"Low","High")</f>
        <v>High</v>
      </c>
      <c r="AP1344" s="11" t="str">
        <f>IF(AND(HR_Data[[#This Row],[OverTime]]="Yes",HR_Data[[#This Row],[JobSatisfaction]]&lt;=2,HR_Data[[#This Row],[YearsAtCompany]]&lt;=2),"High Risk","Normal")</f>
        <v>Normal</v>
      </c>
    </row>
    <row r="1345" spans="1:42" x14ac:dyDescent="0.25">
      <c r="A1345" s="6">
        <v>29</v>
      </c>
      <c r="B1345" s="4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s="11" t="str">
        <f>IF(HR_Data[[#This Row],[Age]]&lt;=25,"18-25",IF(HR_Data[[#This Row],[Age]]&lt;=35,"26-35",IF(HR_Data[[#This Row],[Age]]&lt;=45,"36-45",IF(HR_Data[[#This Row],[Age]]&lt;=55,"46-55","56+"))))</f>
        <v>26-35</v>
      </c>
      <c r="AK1345" s="11" t="str">
        <f>IF(HR_Data[[#This Row],[MonthlyIncome]]&lt;3000,"Low",IF(HR_Data[[#This Row],[MonthlyIncome]]&lt;6000,"Medium",IF(HR_Data[[#This Row],[MonthlyIncome]]&lt;10000,"High","Very High")))</f>
        <v>Low</v>
      </c>
      <c r="AL134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45" t="str">
        <f>IF(HR_Data[[#This Row],[TotalWorkingYears]]&lt;=5,"Junior",IF(HR_Data[[#This Row],[TotalWorkingYears]]&lt;=15,"Mid-Level","Senior"))</f>
        <v>Mid-Level</v>
      </c>
      <c r="AN1345" s="11" t="str">
        <f>IF(HR_Data[[#This Row],[PerformanceRating]]=3,"Standard","Excellent")</f>
        <v>Standard</v>
      </c>
      <c r="AO1345" s="11" t="str">
        <f>IF(HR_Data[[#This Row],[JobSatisfaction]]&lt;=2,"Low","High")</f>
        <v>Low</v>
      </c>
      <c r="AP1345" s="11" t="str">
        <f>IF(AND(HR_Data[[#This Row],[OverTime]]="Yes",HR_Data[[#This Row],[JobSatisfaction]]&lt;=2,HR_Data[[#This Row],[YearsAtCompany]]&lt;=2),"High Risk","Normal")</f>
        <v>Normal</v>
      </c>
    </row>
    <row r="1346" spans="1:42" x14ac:dyDescent="0.25">
      <c r="A1346" s="6">
        <v>37</v>
      </c>
      <c r="B1346" s="4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s="11" t="str">
        <f>IF(HR_Data[[#This Row],[Age]]&lt;=25,"18-25",IF(HR_Data[[#This Row],[Age]]&lt;=35,"26-35",IF(HR_Data[[#This Row],[Age]]&lt;=45,"36-45",IF(HR_Data[[#This Row],[Age]]&lt;=55,"46-55","56+"))))</f>
        <v>36-45</v>
      </c>
      <c r="AK1346" s="11" t="str">
        <f>IF(HR_Data[[#This Row],[MonthlyIncome]]&lt;3000,"Low",IF(HR_Data[[#This Row],[MonthlyIncome]]&lt;6000,"Medium",IF(HR_Data[[#This Row],[MonthlyIncome]]&lt;10000,"High","Very High")))</f>
        <v>Medium</v>
      </c>
      <c r="AL134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46" t="str">
        <f>IF(HR_Data[[#This Row],[TotalWorkingYears]]&lt;=5,"Junior",IF(HR_Data[[#This Row],[TotalWorkingYears]]&lt;=15,"Mid-Level","Senior"))</f>
        <v>Senior</v>
      </c>
      <c r="AN1346" s="11" t="str">
        <f>IF(HR_Data[[#This Row],[PerformanceRating]]=3,"Standard","Excellent")</f>
        <v>Excellent</v>
      </c>
      <c r="AO1346" s="11" t="str">
        <f>IF(HR_Data[[#This Row],[JobSatisfaction]]&lt;=2,"Low","High")</f>
        <v>Low</v>
      </c>
      <c r="AP1346" s="11" t="str">
        <f>IF(AND(HR_Data[[#This Row],[OverTime]]="Yes",HR_Data[[#This Row],[JobSatisfaction]]&lt;=2,HR_Data[[#This Row],[YearsAtCompany]]&lt;=2),"High Risk","Normal")</f>
        <v>Normal</v>
      </c>
    </row>
    <row r="1347" spans="1:42" x14ac:dyDescent="0.25">
      <c r="A1347" s="6">
        <v>35</v>
      </c>
      <c r="B1347" s="4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s="11" t="str">
        <f>IF(HR_Data[[#This Row],[Age]]&lt;=25,"18-25",IF(HR_Data[[#This Row],[Age]]&lt;=35,"26-35",IF(HR_Data[[#This Row],[Age]]&lt;=45,"36-45",IF(HR_Data[[#This Row],[Age]]&lt;=55,"46-55","56+"))))</f>
        <v>26-35</v>
      </c>
      <c r="AK1347" s="11" t="str">
        <f>IF(HR_Data[[#This Row],[MonthlyIncome]]&lt;3000,"Low",IF(HR_Data[[#This Row],[MonthlyIncome]]&lt;6000,"Medium",IF(HR_Data[[#This Row],[MonthlyIncome]]&lt;10000,"High","Very High")))</f>
        <v>Medium</v>
      </c>
      <c r="AL134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47" t="str">
        <f>IF(HR_Data[[#This Row],[TotalWorkingYears]]&lt;=5,"Junior",IF(HR_Data[[#This Row],[TotalWorkingYears]]&lt;=15,"Mid-Level","Senior"))</f>
        <v>Junior</v>
      </c>
      <c r="AN1347" s="11" t="str">
        <f>IF(HR_Data[[#This Row],[PerformanceRating]]=3,"Standard","Excellent")</f>
        <v>Standard</v>
      </c>
      <c r="AO1347" s="11" t="str">
        <f>IF(HR_Data[[#This Row],[JobSatisfaction]]&lt;=2,"Low","High")</f>
        <v>Low</v>
      </c>
      <c r="AP1347" s="11" t="str">
        <f>IF(AND(HR_Data[[#This Row],[OverTime]]="Yes",HR_Data[[#This Row],[JobSatisfaction]]&lt;=2,HR_Data[[#This Row],[YearsAtCompany]]&lt;=2),"High Risk","Normal")</f>
        <v>Normal</v>
      </c>
    </row>
    <row r="1348" spans="1:42" x14ac:dyDescent="0.25">
      <c r="A1348" s="6">
        <v>45</v>
      </c>
      <c r="B1348" s="4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s="11" t="str">
        <f>IF(HR_Data[[#This Row],[Age]]&lt;=25,"18-25",IF(HR_Data[[#This Row],[Age]]&lt;=35,"26-35",IF(HR_Data[[#This Row],[Age]]&lt;=45,"36-45",IF(HR_Data[[#This Row],[Age]]&lt;=55,"46-55","56+"))))</f>
        <v>36-45</v>
      </c>
      <c r="AK1348" s="11" t="str">
        <f>IF(HR_Data[[#This Row],[MonthlyIncome]]&lt;3000,"Low",IF(HR_Data[[#This Row],[MonthlyIncome]]&lt;6000,"Medium",IF(HR_Data[[#This Row],[MonthlyIncome]]&lt;10000,"High","Very High")))</f>
        <v>Medium</v>
      </c>
      <c r="AL134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48" t="str">
        <f>IF(HR_Data[[#This Row],[TotalWorkingYears]]&lt;=5,"Junior",IF(HR_Data[[#This Row],[TotalWorkingYears]]&lt;=15,"Mid-Level","Senior"))</f>
        <v>Mid-Level</v>
      </c>
      <c r="AN1348" s="11" t="str">
        <f>IF(HR_Data[[#This Row],[PerformanceRating]]=3,"Standard","Excellent")</f>
        <v>Standard</v>
      </c>
      <c r="AO1348" s="11" t="str">
        <f>IF(HR_Data[[#This Row],[JobSatisfaction]]&lt;=2,"Low","High")</f>
        <v>High</v>
      </c>
      <c r="AP1348" s="11" t="str">
        <f>IF(AND(HR_Data[[#This Row],[OverTime]]="Yes",HR_Data[[#This Row],[JobSatisfaction]]&lt;=2,HR_Data[[#This Row],[YearsAtCompany]]&lt;=2),"High Risk","Normal")</f>
        <v>Normal</v>
      </c>
    </row>
    <row r="1349" spans="1:42" x14ac:dyDescent="0.25">
      <c r="A1349" s="6">
        <v>36</v>
      </c>
      <c r="B1349" s="4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s="11" t="str">
        <f>IF(HR_Data[[#This Row],[Age]]&lt;=25,"18-25",IF(HR_Data[[#This Row],[Age]]&lt;=35,"26-35",IF(HR_Data[[#This Row],[Age]]&lt;=45,"36-45",IF(HR_Data[[#This Row],[Age]]&lt;=55,"46-55","56+"))))</f>
        <v>36-45</v>
      </c>
      <c r="AK1349" s="11" t="str">
        <f>IF(HR_Data[[#This Row],[MonthlyIncome]]&lt;3000,"Low",IF(HR_Data[[#This Row],[MonthlyIncome]]&lt;6000,"Medium",IF(HR_Data[[#This Row],[MonthlyIncome]]&lt;10000,"High","Very High")))</f>
        <v>Medium</v>
      </c>
      <c r="AL134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49" t="str">
        <f>IF(HR_Data[[#This Row],[TotalWorkingYears]]&lt;=5,"Junior",IF(HR_Data[[#This Row],[TotalWorkingYears]]&lt;=15,"Mid-Level","Senior"))</f>
        <v>Mid-Level</v>
      </c>
      <c r="AN1349" s="11" t="str">
        <f>IF(HR_Data[[#This Row],[PerformanceRating]]=3,"Standard","Excellent")</f>
        <v>Excellent</v>
      </c>
      <c r="AO1349" s="11" t="str">
        <f>IF(HR_Data[[#This Row],[JobSatisfaction]]&lt;=2,"Low","High")</f>
        <v>High</v>
      </c>
      <c r="AP1349" s="11" t="str">
        <f>IF(AND(HR_Data[[#This Row],[OverTime]]="Yes",HR_Data[[#This Row],[JobSatisfaction]]&lt;=2,HR_Data[[#This Row],[YearsAtCompany]]&lt;=2),"High Risk","Normal")</f>
        <v>Normal</v>
      </c>
    </row>
    <row r="1350" spans="1:42" x14ac:dyDescent="0.25">
      <c r="A1350" s="6">
        <v>40</v>
      </c>
      <c r="B1350" s="4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s="11" t="str">
        <f>IF(HR_Data[[#This Row],[Age]]&lt;=25,"18-25",IF(HR_Data[[#This Row],[Age]]&lt;=35,"26-35",IF(HR_Data[[#This Row],[Age]]&lt;=45,"36-45",IF(HR_Data[[#This Row],[Age]]&lt;=55,"46-55","56+"))))</f>
        <v>36-45</v>
      </c>
      <c r="AK1350" s="11" t="str">
        <f>IF(HR_Data[[#This Row],[MonthlyIncome]]&lt;3000,"Low",IF(HR_Data[[#This Row],[MonthlyIncome]]&lt;6000,"Medium",IF(HR_Data[[#This Row],[MonthlyIncome]]&lt;10000,"High","Very High")))</f>
        <v>Very High</v>
      </c>
      <c r="AL1350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350" t="str">
        <f>IF(HR_Data[[#This Row],[TotalWorkingYears]]&lt;=5,"Junior",IF(HR_Data[[#This Row],[TotalWorkingYears]]&lt;=15,"Mid-Level","Senior"))</f>
        <v>Senior</v>
      </c>
      <c r="AN1350" s="11" t="str">
        <f>IF(HR_Data[[#This Row],[PerformanceRating]]=3,"Standard","Excellent")</f>
        <v>Standard</v>
      </c>
      <c r="AO1350" s="11" t="str">
        <f>IF(HR_Data[[#This Row],[JobSatisfaction]]&lt;=2,"Low","High")</f>
        <v>Low</v>
      </c>
      <c r="AP1350" s="11" t="str">
        <f>IF(AND(HR_Data[[#This Row],[OverTime]]="Yes",HR_Data[[#This Row],[JobSatisfaction]]&lt;=2,HR_Data[[#This Row],[YearsAtCompany]]&lt;=2),"High Risk","Normal")</f>
        <v>Normal</v>
      </c>
    </row>
    <row r="1351" spans="1:42" x14ac:dyDescent="0.25">
      <c r="A1351" s="6">
        <v>26</v>
      </c>
      <c r="B1351" s="4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s="11" t="str">
        <f>IF(HR_Data[[#This Row],[Age]]&lt;=25,"18-25",IF(HR_Data[[#This Row],[Age]]&lt;=35,"26-35",IF(HR_Data[[#This Row],[Age]]&lt;=45,"36-45",IF(HR_Data[[#This Row],[Age]]&lt;=55,"46-55","56+"))))</f>
        <v>26-35</v>
      </c>
      <c r="AK1351" s="11" t="str">
        <f>IF(HR_Data[[#This Row],[MonthlyIncome]]&lt;3000,"Low",IF(HR_Data[[#This Row],[MonthlyIncome]]&lt;6000,"Medium",IF(HR_Data[[#This Row],[MonthlyIncome]]&lt;10000,"High","Very High")))</f>
        <v>Low</v>
      </c>
      <c r="AL135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51" t="str">
        <f>IF(HR_Data[[#This Row],[TotalWorkingYears]]&lt;=5,"Junior",IF(HR_Data[[#This Row],[TotalWorkingYears]]&lt;=15,"Mid-Level","Senior"))</f>
        <v>Junior</v>
      </c>
      <c r="AN1351" s="11" t="str">
        <f>IF(HR_Data[[#This Row],[PerformanceRating]]=3,"Standard","Excellent")</f>
        <v>Standard</v>
      </c>
      <c r="AO1351" s="11" t="str">
        <f>IF(HR_Data[[#This Row],[JobSatisfaction]]&lt;=2,"Low","High")</f>
        <v>High</v>
      </c>
      <c r="AP1351" s="11" t="str">
        <f>IF(AND(HR_Data[[#This Row],[OverTime]]="Yes",HR_Data[[#This Row],[JobSatisfaction]]&lt;=2,HR_Data[[#This Row],[YearsAtCompany]]&lt;=2),"High Risk","Normal")</f>
        <v>Normal</v>
      </c>
    </row>
    <row r="1352" spans="1:42" x14ac:dyDescent="0.25">
      <c r="A1352" s="6">
        <v>27</v>
      </c>
      <c r="B1352" s="4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s="11" t="str">
        <f>IF(HR_Data[[#This Row],[Age]]&lt;=25,"18-25",IF(HR_Data[[#This Row],[Age]]&lt;=35,"26-35",IF(HR_Data[[#This Row],[Age]]&lt;=45,"36-45",IF(HR_Data[[#This Row],[Age]]&lt;=55,"46-55","56+"))))</f>
        <v>26-35</v>
      </c>
      <c r="AK1352" s="11" t="str">
        <f>IF(HR_Data[[#This Row],[MonthlyIncome]]&lt;3000,"Low",IF(HR_Data[[#This Row],[MonthlyIncome]]&lt;6000,"Medium",IF(HR_Data[[#This Row],[MonthlyIncome]]&lt;10000,"High","Very High")))</f>
        <v>High</v>
      </c>
      <c r="AL135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52" t="str">
        <f>IF(HR_Data[[#This Row],[TotalWorkingYears]]&lt;=5,"Junior",IF(HR_Data[[#This Row],[TotalWorkingYears]]&lt;=15,"Mid-Level","Senior"))</f>
        <v>Mid-Level</v>
      </c>
      <c r="AN1352" s="11" t="str">
        <f>IF(HR_Data[[#This Row],[PerformanceRating]]=3,"Standard","Excellent")</f>
        <v>Standard</v>
      </c>
      <c r="AO1352" s="11" t="str">
        <f>IF(HR_Data[[#This Row],[JobSatisfaction]]&lt;=2,"Low","High")</f>
        <v>High</v>
      </c>
      <c r="AP1352" s="11" t="str">
        <f>IF(AND(HR_Data[[#This Row],[OverTime]]="Yes",HR_Data[[#This Row],[JobSatisfaction]]&lt;=2,HR_Data[[#This Row],[YearsAtCompany]]&lt;=2),"High Risk","Normal")</f>
        <v>Normal</v>
      </c>
    </row>
    <row r="1353" spans="1:42" x14ac:dyDescent="0.25">
      <c r="A1353" s="6">
        <v>48</v>
      </c>
      <c r="B1353" s="4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s="11" t="str">
        <f>IF(HR_Data[[#This Row],[Age]]&lt;=25,"18-25",IF(HR_Data[[#This Row],[Age]]&lt;=35,"26-35",IF(HR_Data[[#This Row],[Age]]&lt;=45,"36-45",IF(HR_Data[[#This Row],[Age]]&lt;=55,"46-55","56+"))))</f>
        <v>46-55</v>
      </c>
      <c r="AK1353" s="11" t="str">
        <f>IF(HR_Data[[#This Row],[MonthlyIncome]]&lt;3000,"Low",IF(HR_Data[[#This Row],[MonthlyIncome]]&lt;6000,"Medium",IF(HR_Data[[#This Row],[MonthlyIncome]]&lt;10000,"High","Very High")))</f>
        <v>Very High</v>
      </c>
      <c r="AL1353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353" t="str">
        <f>IF(HR_Data[[#This Row],[TotalWorkingYears]]&lt;=5,"Junior",IF(HR_Data[[#This Row],[TotalWorkingYears]]&lt;=15,"Mid-Level","Senior"))</f>
        <v>Senior</v>
      </c>
      <c r="AN1353" s="11" t="str">
        <f>IF(HR_Data[[#This Row],[PerformanceRating]]=3,"Standard","Excellent")</f>
        <v>Standard</v>
      </c>
      <c r="AO1353" s="11" t="str">
        <f>IF(HR_Data[[#This Row],[JobSatisfaction]]&lt;=2,"Low","High")</f>
        <v>High</v>
      </c>
      <c r="AP1353" s="11" t="str">
        <f>IF(AND(HR_Data[[#This Row],[OverTime]]="Yes",HR_Data[[#This Row],[JobSatisfaction]]&lt;=2,HR_Data[[#This Row],[YearsAtCompany]]&lt;=2),"High Risk","Normal")</f>
        <v>Normal</v>
      </c>
    </row>
    <row r="1354" spans="1:42" x14ac:dyDescent="0.25">
      <c r="A1354" s="6">
        <v>44</v>
      </c>
      <c r="B1354" s="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s="11" t="str">
        <f>IF(HR_Data[[#This Row],[Age]]&lt;=25,"18-25",IF(HR_Data[[#This Row],[Age]]&lt;=35,"26-35",IF(HR_Data[[#This Row],[Age]]&lt;=45,"36-45",IF(HR_Data[[#This Row],[Age]]&lt;=55,"46-55","56+"))))</f>
        <v>36-45</v>
      </c>
      <c r="AK1354" s="11" t="str">
        <f>IF(HR_Data[[#This Row],[MonthlyIncome]]&lt;3000,"Low",IF(HR_Data[[#This Row],[MonthlyIncome]]&lt;6000,"Medium",IF(HR_Data[[#This Row],[MonthlyIncome]]&lt;10000,"High","Very High")))</f>
        <v>Medium</v>
      </c>
      <c r="AL135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54" t="str">
        <f>IF(HR_Data[[#This Row],[TotalWorkingYears]]&lt;=5,"Junior",IF(HR_Data[[#This Row],[TotalWorkingYears]]&lt;=15,"Mid-Level","Senior"))</f>
        <v>Mid-Level</v>
      </c>
      <c r="AN1354" s="11" t="str">
        <f>IF(HR_Data[[#This Row],[PerformanceRating]]=3,"Standard","Excellent")</f>
        <v>Standard</v>
      </c>
      <c r="AO1354" s="11" t="str">
        <f>IF(HR_Data[[#This Row],[JobSatisfaction]]&lt;=2,"Low","High")</f>
        <v>Low</v>
      </c>
      <c r="AP1354" s="11" t="str">
        <f>IF(AND(HR_Data[[#This Row],[OverTime]]="Yes",HR_Data[[#This Row],[JobSatisfaction]]&lt;=2,HR_Data[[#This Row],[YearsAtCompany]]&lt;=2),"High Risk","Normal")</f>
        <v>Normal</v>
      </c>
    </row>
    <row r="1355" spans="1:42" x14ac:dyDescent="0.25">
      <c r="A1355" s="6">
        <v>34</v>
      </c>
      <c r="B1355" s="4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s="11" t="str">
        <f>IF(HR_Data[[#This Row],[Age]]&lt;=25,"18-25",IF(HR_Data[[#This Row],[Age]]&lt;=35,"26-35",IF(HR_Data[[#This Row],[Age]]&lt;=45,"36-45",IF(HR_Data[[#This Row],[Age]]&lt;=55,"46-55","56+"))))</f>
        <v>26-35</v>
      </c>
      <c r="AK1355" s="11" t="str">
        <f>IF(HR_Data[[#This Row],[MonthlyIncome]]&lt;3000,"Low",IF(HR_Data[[#This Row],[MonthlyIncome]]&lt;6000,"Medium",IF(HR_Data[[#This Row],[MonthlyIncome]]&lt;10000,"High","Very High")))</f>
        <v>Low</v>
      </c>
      <c r="AL135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55" t="str">
        <f>IF(HR_Data[[#This Row],[TotalWorkingYears]]&lt;=5,"Junior",IF(HR_Data[[#This Row],[TotalWorkingYears]]&lt;=15,"Mid-Level","Senior"))</f>
        <v>Junior</v>
      </c>
      <c r="AN1355" s="11" t="str">
        <f>IF(HR_Data[[#This Row],[PerformanceRating]]=3,"Standard","Excellent")</f>
        <v>Excellent</v>
      </c>
      <c r="AO1355" s="11" t="str">
        <f>IF(HR_Data[[#This Row],[JobSatisfaction]]&lt;=2,"Low","High")</f>
        <v>Low</v>
      </c>
      <c r="AP1355" s="11" t="str">
        <f>IF(AND(HR_Data[[#This Row],[OverTime]]="Yes",HR_Data[[#This Row],[JobSatisfaction]]&lt;=2,HR_Data[[#This Row],[YearsAtCompany]]&lt;=2),"High Risk","Normal")</f>
        <v>Normal</v>
      </c>
    </row>
    <row r="1356" spans="1:42" x14ac:dyDescent="0.25">
      <c r="A1356" s="6">
        <v>56</v>
      </c>
      <c r="B1356" s="4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s="11" t="str">
        <f>IF(HR_Data[[#This Row],[Age]]&lt;=25,"18-25",IF(HR_Data[[#This Row],[Age]]&lt;=35,"26-35",IF(HR_Data[[#This Row],[Age]]&lt;=45,"36-45",IF(HR_Data[[#This Row],[Age]]&lt;=55,"46-55","56+"))))</f>
        <v>56+</v>
      </c>
      <c r="AK1356" s="11" t="str">
        <f>IF(HR_Data[[#This Row],[MonthlyIncome]]&lt;3000,"Low",IF(HR_Data[[#This Row],[MonthlyIncome]]&lt;6000,"Medium",IF(HR_Data[[#This Row],[MonthlyIncome]]&lt;10000,"High","Very High")))</f>
        <v>Low</v>
      </c>
      <c r="AL135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56" t="str">
        <f>IF(HR_Data[[#This Row],[TotalWorkingYears]]&lt;=5,"Junior",IF(HR_Data[[#This Row],[TotalWorkingYears]]&lt;=15,"Mid-Level","Senior"))</f>
        <v>Junior</v>
      </c>
      <c r="AN1356" s="11" t="str">
        <f>IF(HR_Data[[#This Row],[PerformanceRating]]=3,"Standard","Excellent")</f>
        <v>Standard</v>
      </c>
      <c r="AO1356" s="11" t="str">
        <f>IF(HR_Data[[#This Row],[JobSatisfaction]]&lt;=2,"Low","High")</f>
        <v>High</v>
      </c>
      <c r="AP1356" s="11" t="str">
        <f>IF(AND(HR_Data[[#This Row],[OverTime]]="Yes",HR_Data[[#This Row],[JobSatisfaction]]&lt;=2,HR_Data[[#This Row],[YearsAtCompany]]&lt;=2),"High Risk","Normal")</f>
        <v>Normal</v>
      </c>
    </row>
    <row r="1357" spans="1:42" x14ac:dyDescent="0.25">
      <c r="A1357" s="6">
        <v>36</v>
      </c>
      <c r="B1357" s="4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s="11" t="str">
        <f>IF(HR_Data[[#This Row],[Age]]&lt;=25,"18-25",IF(HR_Data[[#This Row],[Age]]&lt;=35,"26-35",IF(HR_Data[[#This Row],[Age]]&lt;=45,"36-45",IF(HR_Data[[#This Row],[Age]]&lt;=55,"46-55","56+"))))</f>
        <v>36-45</v>
      </c>
      <c r="AK1357" s="11" t="str">
        <f>IF(HR_Data[[#This Row],[MonthlyIncome]]&lt;3000,"Low",IF(HR_Data[[#This Row],[MonthlyIncome]]&lt;6000,"Medium",IF(HR_Data[[#This Row],[MonthlyIncome]]&lt;10000,"High","Very High")))</f>
        <v>Medium</v>
      </c>
      <c r="AL135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57" t="str">
        <f>IF(HR_Data[[#This Row],[TotalWorkingYears]]&lt;=5,"Junior",IF(HR_Data[[#This Row],[TotalWorkingYears]]&lt;=15,"Mid-Level","Senior"))</f>
        <v>Mid-Level</v>
      </c>
      <c r="AN1357" s="11" t="str">
        <f>IF(HR_Data[[#This Row],[PerformanceRating]]=3,"Standard","Excellent")</f>
        <v>Standard</v>
      </c>
      <c r="AO1357" s="11" t="str">
        <f>IF(HR_Data[[#This Row],[JobSatisfaction]]&lt;=2,"Low","High")</f>
        <v>Low</v>
      </c>
      <c r="AP1357" s="11" t="str">
        <f>IF(AND(HR_Data[[#This Row],[OverTime]]="Yes",HR_Data[[#This Row],[JobSatisfaction]]&lt;=2,HR_Data[[#This Row],[YearsAtCompany]]&lt;=2),"High Risk","Normal")</f>
        <v>Normal</v>
      </c>
    </row>
    <row r="1358" spans="1:42" x14ac:dyDescent="0.25">
      <c r="A1358" s="6">
        <v>41</v>
      </c>
      <c r="B1358" s="4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s="11" t="str">
        <f>IF(HR_Data[[#This Row],[Age]]&lt;=25,"18-25",IF(HR_Data[[#This Row],[Age]]&lt;=35,"26-35",IF(HR_Data[[#This Row],[Age]]&lt;=45,"36-45",IF(HR_Data[[#This Row],[Age]]&lt;=55,"46-55","56+"))))</f>
        <v>36-45</v>
      </c>
      <c r="AK1358" s="11" t="str">
        <f>IF(HR_Data[[#This Row],[MonthlyIncome]]&lt;3000,"Low",IF(HR_Data[[#This Row],[MonthlyIncome]]&lt;6000,"Medium",IF(HR_Data[[#This Row],[MonthlyIncome]]&lt;10000,"High","Very High")))</f>
        <v>Medium</v>
      </c>
      <c r="AL135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58" t="str">
        <f>IF(HR_Data[[#This Row],[TotalWorkingYears]]&lt;=5,"Junior",IF(HR_Data[[#This Row],[TotalWorkingYears]]&lt;=15,"Mid-Level","Senior"))</f>
        <v>Mid-Level</v>
      </c>
      <c r="AN1358" s="11" t="str">
        <f>IF(HR_Data[[#This Row],[PerformanceRating]]=3,"Standard","Excellent")</f>
        <v>Excellent</v>
      </c>
      <c r="AO1358" s="11" t="str">
        <f>IF(HR_Data[[#This Row],[JobSatisfaction]]&lt;=2,"Low","High")</f>
        <v>Low</v>
      </c>
      <c r="AP1358" s="11" t="str">
        <f>IF(AND(HR_Data[[#This Row],[OverTime]]="Yes",HR_Data[[#This Row],[JobSatisfaction]]&lt;=2,HR_Data[[#This Row],[YearsAtCompany]]&lt;=2),"High Risk","Normal")</f>
        <v>Normal</v>
      </c>
    </row>
    <row r="1359" spans="1:42" x14ac:dyDescent="0.25">
      <c r="A1359" s="6">
        <v>42</v>
      </c>
      <c r="B1359" s="4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s="11" t="str">
        <f>IF(HR_Data[[#This Row],[Age]]&lt;=25,"18-25",IF(HR_Data[[#This Row],[Age]]&lt;=35,"26-35",IF(HR_Data[[#This Row],[Age]]&lt;=45,"36-45",IF(HR_Data[[#This Row],[Age]]&lt;=55,"46-55","56+"))))</f>
        <v>36-45</v>
      </c>
      <c r="AK1359" s="11" t="str">
        <f>IF(HR_Data[[#This Row],[MonthlyIncome]]&lt;3000,"Low",IF(HR_Data[[#This Row],[MonthlyIncome]]&lt;6000,"Medium",IF(HR_Data[[#This Row],[MonthlyIncome]]&lt;10000,"High","Very High")))</f>
        <v>Very High</v>
      </c>
      <c r="AL135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359" t="str">
        <f>IF(HR_Data[[#This Row],[TotalWorkingYears]]&lt;=5,"Junior",IF(HR_Data[[#This Row],[TotalWorkingYears]]&lt;=15,"Mid-Level","Senior"))</f>
        <v>Senior</v>
      </c>
      <c r="AN1359" s="11" t="str">
        <f>IF(HR_Data[[#This Row],[PerformanceRating]]=3,"Standard","Excellent")</f>
        <v>Standard</v>
      </c>
      <c r="AO1359" s="11" t="str">
        <f>IF(HR_Data[[#This Row],[JobSatisfaction]]&lt;=2,"Low","High")</f>
        <v>Low</v>
      </c>
      <c r="AP1359" s="11" t="str">
        <f>IF(AND(HR_Data[[#This Row],[OverTime]]="Yes",HR_Data[[#This Row],[JobSatisfaction]]&lt;=2,HR_Data[[#This Row],[YearsAtCompany]]&lt;=2),"High Risk","Normal")</f>
        <v>Normal</v>
      </c>
    </row>
    <row r="1360" spans="1:42" x14ac:dyDescent="0.25">
      <c r="A1360" s="6">
        <v>31</v>
      </c>
      <c r="B1360" s="4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s="11" t="str">
        <f>IF(HR_Data[[#This Row],[Age]]&lt;=25,"18-25",IF(HR_Data[[#This Row],[Age]]&lt;=35,"26-35",IF(HR_Data[[#This Row],[Age]]&lt;=45,"36-45",IF(HR_Data[[#This Row],[Age]]&lt;=55,"46-55","56+"))))</f>
        <v>26-35</v>
      </c>
      <c r="AK1360" s="11" t="str">
        <f>IF(HR_Data[[#This Row],[MonthlyIncome]]&lt;3000,"Low",IF(HR_Data[[#This Row],[MonthlyIncome]]&lt;6000,"Medium",IF(HR_Data[[#This Row],[MonthlyIncome]]&lt;10000,"High","Very High")))</f>
        <v>High</v>
      </c>
      <c r="AL136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60" t="str">
        <f>IF(HR_Data[[#This Row],[TotalWorkingYears]]&lt;=5,"Junior",IF(HR_Data[[#This Row],[TotalWorkingYears]]&lt;=15,"Mid-Level","Senior"))</f>
        <v>Mid-Level</v>
      </c>
      <c r="AN1360" s="11" t="str">
        <f>IF(HR_Data[[#This Row],[PerformanceRating]]=3,"Standard","Excellent")</f>
        <v>Standard</v>
      </c>
      <c r="AO1360" s="11" t="str">
        <f>IF(HR_Data[[#This Row],[JobSatisfaction]]&lt;=2,"Low","High")</f>
        <v>High</v>
      </c>
      <c r="AP1360" s="11" t="str">
        <f>IF(AND(HR_Data[[#This Row],[OverTime]]="Yes",HR_Data[[#This Row],[JobSatisfaction]]&lt;=2,HR_Data[[#This Row],[YearsAtCompany]]&lt;=2),"High Risk","Normal")</f>
        <v>Normal</v>
      </c>
    </row>
    <row r="1361" spans="1:42" x14ac:dyDescent="0.25">
      <c r="A1361" s="6">
        <v>34</v>
      </c>
      <c r="B1361" s="4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s="11" t="str">
        <f>IF(HR_Data[[#This Row],[Age]]&lt;=25,"18-25",IF(HR_Data[[#This Row],[Age]]&lt;=35,"26-35",IF(HR_Data[[#This Row],[Age]]&lt;=45,"36-45",IF(HR_Data[[#This Row],[Age]]&lt;=55,"46-55","56+"))))</f>
        <v>26-35</v>
      </c>
      <c r="AK1361" s="11" t="str">
        <f>IF(HR_Data[[#This Row],[MonthlyIncome]]&lt;3000,"Low",IF(HR_Data[[#This Row],[MonthlyIncome]]&lt;6000,"Medium",IF(HR_Data[[#This Row],[MonthlyIncome]]&lt;10000,"High","Very High")))</f>
        <v>High</v>
      </c>
      <c r="AL136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61" t="str">
        <f>IF(HR_Data[[#This Row],[TotalWorkingYears]]&lt;=5,"Junior",IF(HR_Data[[#This Row],[TotalWorkingYears]]&lt;=15,"Mid-Level","Senior"))</f>
        <v>Mid-Level</v>
      </c>
      <c r="AN1361" s="11" t="str">
        <f>IF(HR_Data[[#This Row],[PerformanceRating]]=3,"Standard","Excellent")</f>
        <v>Standard</v>
      </c>
      <c r="AO1361" s="11" t="str">
        <f>IF(HR_Data[[#This Row],[JobSatisfaction]]&lt;=2,"Low","High")</f>
        <v>High</v>
      </c>
      <c r="AP1361" s="11" t="str">
        <f>IF(AND(HR_Data[[#This Row],[OverTime]]="Yes",HR_Data[[#This Row],[JobSatisfaction]]&lt;=2,HR_Data[[#This Row],[YearsAtCompany]]&lt;=2),"High Risk","Normal")</f>
        <v>Normal</v>
      </c>
    </row>
    <row r="1362" spans="1:42" x14ac:dyDescent="0.25">
      <c r="A1362" s="6">
        <v>31</v>
      </c>
      <c r="B1362" s="4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s="11" t="str">
        <f>IF(HR_Data[[#This Row],[Age]]&lt;=25,"18-25",IF(HR_Data[[#This Row],[Age]]&lt;=35,"26-35",IF(HR_Data[[#This Row],[Age]]&lt;=45,"36-45",IF(HR_Data[[#This Row],[Age]]&lt;=55,"46-55","56+"))))</f>
        <v>26-35</v>
      </c>
      <c r="AK1362" s="11" t="str">
        <f>IF(HR_Data[[#This Row],[MonthlyIncome]]&lt;3000,"Low",IF(HR_Data[[#This Row],[MonthlyIncome]]&lt;6000,"Medium",IF(HR_Data[[#This Row],[MonthlyIncome]]&lt;10000,"High","Very High")))</f>
        <v>Medium</v>
      </c>
      <c r="AL1362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62" t="str">
        <f>IF(HR_Data[[#This Row],[TotalWorkingYears]]&lt;=5,"Junior",IF(HR_Data[[#This Row],[TotalWorkingYears]]&lt;=15,"Mid-Level","Senior"))</f>
        <v>Junior</v>
      </c>
      <c r="AN1362" s="11" t="str">
        <f>IF(HR_Data[[#This Row],[PerformanceRating]]=3,"Standard","Excellent")</f>
        <v>Standard</v>
      </c>
      <c r="AO1362" s="11" t="str">
        <f>IF(HR_Data[[#This Row],[JobSatisfaction]]&lt;=2,"Low","High")</f>
        <v>High</v>
      </c>
      <c r="AP1362" s="11" t="str">
        <f>IF(AND(HR_Data[[#This Row],[OverTime]]="Yes",HR_Data[[#This Row],[JobSatisfaction]]&lt;=2,HR_Data[[#This Row],[YearsAtCompany]]&lt;=2),"High Risk","Normal")</f>
        <v>Normal</v>
      </c>
    </row>
    <row r="1363" spans="1:42" x14ac:dyDescent="0.25">
      <c r="A1363" s="6">
        <v>26</v>
      </c>
      <c r="B1363" s="4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s="11" t="str">
        <f>IF(HR_Data[[#This Row],[Age]]&lt;=25,"18-25",IF(HR_Data[[#This Row],[Age]]&lt;=35,"26-35",IF(HR_Data[[#This Row],[Age]]&lt;=45,"36-45",IF(HR_Data[[#This Row],[Age]]&lt;=55,"46-55","56+"))))</f>
        <v>26-35</v>
      </c>
      <c r="AK1363" s="11" t="str">
        <f>IF(HR_Data[[#This Row],[MonthlyIncome]]&lt;3000,"Low",IF(HR_Data[[#This Row],[MonthlyIncome]]&lt;6000,"Medium",IF(HR_Data[[#This Row],[MonthlyIncome]]&lt;10000,"High","Very High")))</f>
        <v>Low</v>
      </c>
      <c r="AL136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63" t="str">
        <f>IF(HR_Data[[#This Row],[TotalWorkingYears]]&lt;=5,"Junior",IF(HR_Data[[#This Row],[TotalWorkingYears]]&lt;=15,"Mid-Level","Senior"))</f>
        <v>Mid-Level</v>
      </c>
      <c r="AN1363" s="11" t="str">
        <f>IF(HR_Data[[#This Row],[PerformanceRating]]=3,"Standard","Excellent")</f>
        <v>Standard</v>
      </c>
      <c r="AO1363" s="11" t="str">
        <f>IF(HR_Data[[#This Row],[JobSatisfaction]]&lt;=2,"Low","High")</f>
        <v>High</v>
      </c>
      <c r="AP1363" s="11" t="str">
        <f>IF(AND(HR_Data[[#This Row],[OverTime]]="Yes",HR_Data[[#This Row],[JobSatisfaction]]&lt;=2,HR_Data[[#This Row],[YearsAtCompany]]&lt;=2),"High Risk","Normal")</f>
        <v>Normal</v>
      </c>
    </row>
    <row r="1364" spans="1:42" x14ac:dyDescent="0.25">
      <c r="A1364" s="6">
        <v>45</v>
      </c>
      <c r="B1364" s="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s="11" t="str">
        <f>IF(HR_Data[[#This Row],[Age]]&lt;=25,"18-25",IF(HR_Data[[#This Row],[Age]]&lt;=35,"26-35",IF(HR_Data[[#This Row],[Age]]&lt;=45,"36-45",IF(HR_Data[[#This Row],[Age]]&lt;=55,"46-55","56+"))))</f>
        <v>36-45</v>
      </c>
      <c r="AK1364" s="11" t="str">
        <f>IF(HR_Data[[#This Row],[MonthlyIncome]]&lt;3000,"Low",IF(HR_Data[[#This Row],[MonthlyIncome]]&lt;6000,"Medium",IF(HR_Data[[#This Row],[MonthlyIncome]]&lt;10000,"High","Very High")))</f>
        <v>Medium</v>
      </c>
      <c r="AL136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64" t="str">
        <f>IF(HR_Data[[#This Row],[TotalWorkingYears]]&lt;=5,"Junior",IF(HR_Data[[#This Row],[TotalWorkingYears]]&lt;=15,"Mid-Level","Senior"))</f>
        <v>Mid-Level</v>
      </c>
      <c r="AN1364" s="11" t="str">
        <f>IF(HR_Data[[#This Row],[PerformanceRating]]=3,"Standard","Excellent")</f>
        <v>Standard</v>
      </c>
      <c r="AO1364" s="11" t="str">
        <f>IF(HR_Data[[#This Row],[JobSatisfaction]]&lt;=2,"Low","High")</f>
        <v>High</v>
      </c>
      <c r="AP1364" s="11" t="str">
        <f>IF(AND(HR_Data[[#This Row],[OverTime]]="Yes",HR_Data[[#This Row],[JobSatisfaction]]&lt;=2,HR_Data[[#This Row],[YearsAtCompany]]&lt;=2),"High Risk","Normal")</f>
        <v>Normal</v>
      </c>
    </row>
    <row r="1365" spans="1:42" x14ac:dyDescent="0.25">
      <c r="A1365" s="6">
        <v>33</v>
      </c>
      <c r="B1365" s="4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s="11" t="str">
        <f>IF(HR_Data[[#This Row],[Age]]&lt;=25,"18-25",IF(HR_Data[[#This Row],[Age]]&lt;=35,"26-35",IF(HR_Data[[#This Row],[Age]]&lt;=45,"36-45",IF(HR_Data[[#This Row],[Age]]&lt;=55,"46-55","56+"))))</f>
        <v>26-35</v>
      </c>
      <c r="AK1365" s="11" t="str">
        <f>IF(HR_Data[[#This Row],[MonthlyIncome]]&lt;3000,"Low",IF(HR_Data[[#This Row],[MonthlyIncome]]&lt;6000,"Medium",IF(HR_Data[[#This Row],[MonthlyIncome]]&lt;10000,"High","Very High")))</f>
        <v>Medium</v>
      </c>
      <c r="AL136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65" t="str">
        <f>IF(HR_Data[[#This Row],[TotalWorkingYears]]&lt;=5,"Junior",IF(HR_Data[[#This Row],[TotalWorkingYears]]&lt;=15,"Mid-Level","Senior"))</f>
        <v>Mid-Level</v>
      </c>
      <c r="AN1365" s="11" t="str">
        <f>IF(HR_Data[[#This Row],[PerformanceRating]]=3,"Standard","Excellent")</f>
        <v>Standard</v>
      </c>
      <c r="AO1365" s="11" t="str">
        <f>IF(HR_Data[[#This Row],[JobSatisfaction]]&lt;=2,"Low","High")</f>
        <v>High</v>
      </c>
      <c r="AP1365" s="11" t="str">
        <f>IF(AND(HR_Data[[#This Row],[OverTime]]="Yes",HR_Data[[#This Row],[JobSatisfaction]]&lt;=2,HR_Data[[#This Row],[YearsAtCompany]]&lt;=2),"High Risk","Normal")</f>
        <v>Normal</v>
      </c>
    </row>
    <row r="1366" spans="1:42" x14ac:dyDescent="0.25">
      <c r="A1366" s="6">
        <v>28</v>
      </c>
      <c r="B1366" s="4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s="11" t="str">
        <f>IF(HR_Data[[#This Row],[Age]]&lt;=25,"18-25",IF(HR_Data[[#This Row],[Age]]&lt;=35,"26-35",IF(HR_Data[[#This Row],[Age]]&lt;=45,"36-45",IF(HR_Data[[#This Row],[Age]]&lt;=55,"46-55","56+"))))</f>
        <v>26-35</v>
      </c>
      <c r="AK1366" s="11" t="str">
        <f>IF(HR_Data[[#This Row],[MonthlyIncome]]&lt;3000,"Low",IF(HR_Data[[#This Row],[MonthlyIncome]]&lt;6000,"Medium",IF(HR_Data[[#This Row],[MonthlyIncome]]&lt;10000,"High","Very High")))</f>
        <v>High</v>
      </c>
      <c r="AL136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66" t="str">
        <f>IF(HR_Data[[#This Row],[TotalWorkingYears]]&lt;=5,"Junior",IF(HR_Data[[#This Row],[TotalWorkingYears]]&lt;=15,"Mid-Level","Senior"))</f>
        <v>Mid-Level</v>
      </c>
      <c r="AN1366" s="11" t="str">
        <f>IF(HR_Data[[#This Row],[PerformanceRating]]=3,"Standard","Excellent")</f>
        <v>Standard</v>
      </c>
      <c r="AO1366" s="11" t="str">
        <f>IF(HR_Data[[#This Row],[JobSatisfaction]]&lt;=2,"Low","High")</f>
        <v>High</v>
      </c>
      <c r="AP1366" s="11" t="str">
        <f>IF(AND(HR_Data[[#This Row],[OverTime]]="Yes",HR_Data[[#This Row],[JobSatisfaction]]&lt;=2,HR_Data[[#This Row],[YearsAtCompany]]&lt;=2),"High Risk","Normal")</f>
        <v>Normal</v>
      </c>
    </row>
    <row r="1367" spans="1:42" x14ac:dyDescent="0.25">
      <c r="A1367" s="6">
        <v>29</v>
      </c>
      <c r="B1367" s="4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s="11" t="str">
        <f>IF(HR_Data[[#This Row],[Age]]&lt;=25,"18-25",IF(HR_Data[[#This Row],[Age]]&lt;=35,"26-35",IF(HR_Data[[#This Row],[Age]]&lt;=45,"36-45",IF(HR_Data[[#This Row],[Age]]&lt;=55,"46-55","56+"))))</f>
        <v>26-35</v>
      </c>
      <c r="AK1367" s="11" t="str">
        <f>IF(HR_Data[[#This Row],[MonthlyIncome]]&lt;3000,"Low",IF(HR_Data[[#This Row],[MonthlyIncome]]&lt;6000,"Medium",IF(HR_Data[[#This Row],[MonthlyIncome]]&lt;10000,"High","Very High")))</f>
        <v>Low</v>
      </c>
      <c r="AL136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67" t="str">
        <f>IF(HR_Data[[#This Row],[TotalWorkingYears]]&lt;=5,"Junior",IF(HR_Data[[#This Row],[TotalWorkingYears]]&lt;=15,"Mid-Level","Senior"))</f>
        <v>Junior</v>
      </c>
      <c r="AN1367" s="11" t="str">
        <f>IF(HR_Data[[#This Row],[PerformanceRating]]=3,"Standard","Excellent")</f>
        <v>Standard</v>
      </c>
      <c r="AO1367" s="11" t="str">
        <f>IF(HR_Data[[#This Row],[JobSatisfaction]]&lt;=2,"Low","High")</f>
        <v>Low</v>
      </c>
      <c r="AP1367" s="11" t="str">
        <f>IF(AND(HR_Data[[#This Row],[OverTime]]="Yes",HR_Data[[#This Row],[JobSatisfaction]]&lt;=2,HR_Data[[#This Row],[YearsAtCompany]]&lt;=2),"High Risk","Normal")</f>
        <v>Normal</v>
      </c>
    </row>
    <row r="1368" spans="1:42" x14ac:dyDescent="0.25">
      <c r="A1368" s="6">
        <v>39</v>
      </c>
      <c r="B1368" s="4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s="11" t="str">
        <f>IF(HR_Data[[#This Row],[Age]]&lt;=25,"18-25",IF(HR_Data[[#This Row],[Age]]&lt;=35,"26-35",IF(HR_Data[[#This Row],[Age]]&lt;=45,"36-45",IF(HR_Data[[#This Row],[Age]]&lt;=55,"46-55","56+"))))</f>
        <v>36-45</v>
      </c>
      <c r="AK1368" s="11" t="str">
        <f>IF(HR_Data[[#This Row],[MonthlyIncome]]&lt;3000,"Low",IF(HR_Data[[#This Row],[MonthlyIncome]]&lt;6000,"Medium",IF(HR_Data[[#This Row],[MonthlyIncome]]&lt;10000,"High","Very High")))</f>
        <v>Medium</v>
      </c>
      <c r="AL136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68" t="str">
        <f>IF(HR_Data[[#This Row],[TotalWorkingYears]]&lt;=5,"Junior",IF(HR_Data[[#This Row],[TotalWorkingYears]]&lt;=15,"Mid-Level","Senior"))</f>
        <v>Mid-Level</v>
      </c>
      <c r="AN1368" s="11" t="str">
        <f>IF(HR_Data[[#This Row],[PerformanceRating]]=3,"Standard","Excellent")</f>
        <v>Standard</v>
      </c>
      <c r="AO1368" s="11" t="str">
        <f>IF(HR_Data[[#This Row],[JobSatisfaction]]&lt;=2,"Low","High")</f>
        <v>High</v>
      </c>
      <c r="AP1368" s="11" t="str">
        <f>IF(AND(HR_Data[[#This Row],[OverTime]]="Yes",HR_Data[[#This Row],[JobSatisfaction]]&lt;=2,HR_Data[[#This Row],[YearsAtCompany]]&lt;=2),"High Risk","Normal")</f>
        <v>Normal</v>
      </c>
    </row>
    <row r="1369" spans="1:42" x14ac:dyDescent="0.25">
      <c r="A1369" s="6">
        <v>27</v>
      </c>
      <c r="B1369" s="4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s="11" t="str">
        <f>IF(HR_Data[[#This Row],[Age]]&lt;=25,"18-25",IF(HR_Data[[#This Row],[Age]]&lt;=35,"26-35",IF(HR_Data[[#This Row],[Age]]&lt;=45,"36-45",IF(HR_Data[[#This Row],[Age]]&lt;=55,"46-55","56+"))))</f>
        <v>26-35</v>
      </c>
      <c r="AK1369" s="11" t="str">
        <f>IF(HR_Data[[#This Row],[MonthlyIncome]]&lt;3000,"Low",IF(HR_Data[[#This Row],[MonthlyIncome]]&lt;6000,"Medium",IF(HR_Data[[#This Row],[MonthlyIncome]]&lt;10000,"High","Very High")))</f>
        <v>Low</v>
      </c>
      <c r="AL136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69" t="str">
        <f>IF(HR_Data[[#This Row],[TotalWorkingYears]]&lt;=5,"Junior",IF(HR_Data[[#This Row],[TotalWorkingYears]]&lt;=15,"Mid-Level","Senior"))</f>
        <v>Mid-Level</v>
      </c>
      <c r="AN1369" s="11" t="str">
        <f>IF(HR_Data[[#This Row],[PerformanceRating]]=3,"Standard","Excellent")</f>
        <v>Standard</v>
      </c>
      <c r="AO1369" s="11" t="str">
        <f>IF(HR_Data[[#This Row],[JobSatisfaction]]&lt;=2,"Low","High")</f>
        <v>Low</v>
      </c>
      <c r="AP1369" s="11" t="str">
        <f>IF(AND(HR_Data[[#This Row],[OverTime]]="Yes",HR_Data[[#This Row],[JobSatisfaction]]&lt;=2,HR_Data[[#This Row],[YearsAtCompany]]&lt;=2),"High Risk","Normal")</f>
        <v>Normal</v>
      </c>
    </row>
    <row r="1370" spans="1:42" x14ac:dyDescent="0.25">
      <c r="A1370" s="6">
        <v>34</v>
      </c>
      <c r="B1370" s="4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s="11" t="str">
        <f>IF(HR_Data[[#This Row],[Age]]&lt;=25,"18-25",IF(HR_Data[[#This Row],[Age]]&lt;=35,"26-35",IF(HR_Data[[#This Row],[Age]]&lt;=45,"36-45",IF(HR_Data[[#This Row],[Age]]&lt;=55,"46-55","56+"))))</f>
        <v>26-35</v>
      </c>
      <c r="AK1370" s="11" t="str">
        <f>IF(HR_Data[[#This Row],[MonthlyIncome]]&lt;3000,"Low",IF(HR_Data[[#This Row],[MonthlyIncome]]&lt;6000,"Medium",IF(HR_Data[[#This Row],[MonthlyIncome]]&lt;10000,"High","Very High")))</f>
        <v>Medium</v>
      </c>
      <c r="AL1370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370" t="str">
        <f>IF(HR_Data[[#This Row],[TotalWorkingYears]]&lt;=5,"Junior",IF(HR_Data[[#This Row],[TotalWorkingYears]]&lt;=15,"Mid-Level","Senior"))</f>
        <v>Senior</v>
      </c>
      <c r="AN1370" s="11" t="str">
        <f>IF(HR_Data[[#This Row],[PerformanceRating]]=3,"Standard","Excellent")</f>
        <v>Standard</v>
      </c>
      <c r="AO1370" s="11" t="str">
        <f>IF(HR_Data[[#This Row],[JobSatisfaction]]&lt;=2,"Low","High")</f>
        <v>High</v>
      </c>
      <c r="AP1370" s="11" t="str">
        <f>IF(AND(HR_Data[[#This Row],[OverTime]]="Yes",HR_Data[[#This Row],[JobSatisfaction]]&lt;=2,HR_Data[[#This Row],[YearsAtCompany]]&lt;=2),"High Risk","Normal")</f>
        <v>Normal</v>
      </c>
    </row>
    <row r="1371" spans="1:42" x14ac:dyDescent="0.25">
      <c r="A1371" s="6">
        <v>28</v>
      </c>
      <c r="B1371" s="4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s="11" t="str">
        <f>IF(HR_Data[[#This Row],[Age]]&lt;=25,"18-25",IF(HR_Data[[#This Row],[Age]]&lt;=35,"26-35",IF(HR_Data[[#This Row],[Age]]&lt;=45,"36-45",IF(HR_Data[[#This Row],[Age]]&lt;=55,"46-55","56+"))))</f>
        <v>26-35</v>
      </c>
      <c r="AK1371" s="11" t="str">
        <f>IF(HR_Data[[#This Row],[MonthlyIncome]]&lt;3000,"Low",IF(HR_Data[[#This Row],[MonthlyIncome]]&lt;6000,"Medium",IF(HR_Data[[#This Row],[MonthlyIncome]]&lt;10000,"High","Very High")))</f>
        <v>High</v>
      </c>
      <c r="AL137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71" t="str">
        <f>IF(HR_Data[[#This Row],[TotalWorkingYears]]&lt;=5,"Junior",IF(HR_Data[[#This Row],[TotalWorkingYears]]&lt;=15,"Mid-Level","Senior"))</f>
        <v>Mid-Level</v>
      </c>
      <c r="AN1371" s="11" t="str">
        <f>IF(HR_Data[[#This Row],[PerformanceRating]]=3,"Standard","Excellent")</f>
        <v>Standard</v>
      </c>
      <c r="AO1371" s="11" t="str">
        <f>IF(HR_Data[[#This Row],[JobSatisfaction]]&lt;=2,"Low","High")</f>
        <v>High</v>
      </c>
      <c r="AP1371" s="11" t="str">
        <f>IF(AND(HR_Data[[#This Row],[OverTime]]="Yes",HR_Data[[#This Row],[JobSatisfaction]]&lt;=2,HR_Data[[#This Row],[YearsAtCompany]]&lt;=2),"High Risk","Normal")</f>
        <v>Normal</v>
      </c>
    </row>
    <row r="1372" spans="1:42" x14ac:dyDescent="0.25">
      <c r="A1372" s="6">
        <v>47</v>
      </c>
      <c r="B1372" s="4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s="11" t="str">
        <f>IF(HR_Data[[#This Row],[Age]]&lt;=25,"18-25",IF(HR_Data[[#This Row],[Age]]&lt;=35,"26-35",IF(HR_Data[[#This Row],[Age]]&lt;=45,"36-45",IF(HR_Data[[#This Row],[Age]]&lt;=55,"46-55","56+"))))</f>
        <v>46-55</v>
      </c>
      <c r="AK1372" s="11" t="str">
        <f>IF(HR_Data[[#This Row],[MonthlyIncome]]&lt;3000,"Low",IF(HR_Data[[#This Row],[MonthlyIncome]]&lt;6000,"Medium",IF(HR_Data[[#This Row],[MonthlyIncome]]&lt;10000,"High","Very High")))</f>
        <v>Medium</v>
      </c>
      <c r="AL137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72" t="str">
        <f>IF(HR_Data[[#This Row],[TotalWorkingYears]]&lt;=5,"Junior",IF(HR_Data[[#This Row],[TotalWorkingYears]]&lt;=15,"Mid-Level","Senior"))</f>
        <v>Senior</v>
      </c>
      <c r="AN1372" s="11" t="str">
        <f>IF(HR_Data[[#This Row],[PerformanceRating]]=3,"Standard","Excellent")</f>
        <v>Standard</v>
      </c>
      <c r="AO1372" s="11" t="str">
        <f>IF(HR_Data[[#This Row],[JobSatisfaction]]&lt;=2,"Low","High")</f>
        <v>Low</v>
      </c>
      <c r="AP1372" s="11" t="str">
        <f>IF(AND(HR_Data[[#This Row],[OverTime]]="Yes",HR_Data[[#This Row],[JobSatisfaction]]&lt;=2,HR_Data[[#This Row],[YearsAtCompany]]&lt;=2),"High Risk","Normal")</f>
        <v>Normal</v>
      </c>
    </row>
    <row r="1373" spans="1:42" x14ac:dyDescent="0.25">
      <c r="A1373" s="6">
        <v>56</v>
      </c>
      <c r="B1373" s="4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s="11" t="str">
        <f>IF(HR_Data[[#This Row],[Age]]&lt;=25,"18-25",IF(HR_Data[[#This Row],[Age]]&lt;=35,"26-35",IF(HR_Data[[#This Row],[Age]]&lt;=45,"36-45",IF(HR_Data[[#This Row],[Age]]&lt;=55,"46-55","56+"))))</f>
        <v>56+</v>
      </c>
      <c r="AK1373" s="11" t="str">
        <f>IF(HR_Data[[#This Row],[MonthlyIncome]]&lt;3000,"Low",IF(HR_Data[[#This Row],[MonthlyIncome]]&lt;6000,"Medium",IF(HR_Data[[#This Row],[MonthlyIncome]]&lt;10000,"High","Very High")))</f>
        <v>Medium</v>
      </c>
      <c r="AL137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73" t="str">
        <f>IF(HR_Data[[#This Row],[TotalWorkingYears]]&lt;=5,"Junior",IF(HR_Data[[#This Row],[TotalWorkingYears]]&lt;=15,"Mid-Level","Senior"))</f>
        <v>Mid-Level</v>
      </c>
      <c r="AN1373" s="11" t="str">
        <f>IF(HR_Data[[#This Row],[PerformanceRating]]=3,"Standard","Excellent")</f>
        <v>Standard</v>
      </c>
      <c r="AO1373" s="11" t="str">
        <f>IF(HR_Data[[#This Row],[JobSatisfaction]]&lt;=2,"Low","High")</f>
        <v>Low</v>
      </c>
      <c r="AP1373" s="11" t="str">
        <f>IF(AND(HR_Data[[#This Row],[OverTime]]="Yes",HR_Data[[#This Row],[JobSatisfaction]]&lt;=2,HR_Data[[#This Row],[YearsAtCompany]]&lt;=2),"High Risk","Normal")</f>
        <v>Normal</v>
      </c>
    </row>
    <row r="1374" spans="1:42" x14ac:dyDescent="0.25">
      <c r="A1374" s="6">
        <v>39</v>
      </c>
      <c r="B1374" s="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s="11" t="str">
        <f>IF(HR_Data[[#This Row],[Age]]&lt;=25,"18-25",IF(HR_Data[[#This Row],[Age]]&lt;=35,"26-35",IF(HR_Data[[#This Row],[Age]]&lt;=45,"36-45",IF(HR_Data[[#This Row],[Age]]&lt;=55,"46-55","56+"))))</f>
        <v>36-45</v>
      </c>
      <c r="AK1374" s="11" t="str">
        <f>IF(HR_Data[[#This Row],[MonthlyIncome]]&lt;3000,"Low",IF(HR_Data[[#This Row],[MonthlyIncome]]&lt;6000,"Medium",IF(HR_Data[[#This Row],[MonthlyIncome]]&lt;10000,"High","Very High")))</f>
        <v>Medium</v>
      </c>
      <c r="AL137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74" t="str">
        <f>IF(HR_Data[[#This Row],[TotalWorkingYears]]&lt;=5,"Junior",IF(HR_Data[[#This Row],[TotalWorkingYears]]&lt;=15,"Mid-Level","Senior"))</f>
        <v>Mid-Level</v>
      </c>
      <c r="AN1374" s="11" t="str">
        <f>IF(HR_Data[[#This Row],[PerformanceRating]]=3,"Standard","Excellent")</f>
        <v>Excellent</v>
      </c>
      <c r="AO1374" s="11" t="str">
        <f>IF(HR_Data[[#This Row],[JobSatisfaction]]&lt;=2,"Low","High")</f>
        <v>Low</v>
      </c>
      <c r="AP1374" s="11" t="str">
        <f>IF(AND(HR_Data[[#This Row],[OverTime]]="Yes",HR_Data[[#This Row],[JobSatisfaction]]&lt;=2,HR_Data[[#This Row],[YearsAtCompany]]&lt;=2),"High Risk","Normal")</f>
        <v>Normal</v>
      </c>
    </row>
    <row r="1375" spans="1:42" x14ac:dyDescent="0.25">
      <c r="A1375" s="6">
        <v>38</v>
      </c>
      <c r="B1375" s="4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s="11" t="str">
        <f>IF(HR_Data[[#This Row],[Age]]&lt;=25,"18-25",IF(HR_Data[[#This Row],[Age]]&lt;=35,"26-35",IF(HR_Data[[#This Row],[Age]]&lt;=45,"36-45",IF(HR_Data[[#This Row],[Age]]&lt;=55,"46-55","56+"))))</f>
        <v>36-45</v>
      </c>
      <c r="AK1375" s="11" t="str">
        <f>IF(HR_Data[[#This Row],[MonthlyIncome]]&lt;3000,"Low",IF(HR_Data[[#This Row],[MonthlyIncome]]&lt;6000,"Medium",IF(HR_Data[[#This Row],[MonthlyIncome]]&lt;10000,"High","Very High")))</f>
        <v>Low</v>
      </c>
      <c r="AL137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375" t="str">
        <f>IF(HR_Data[[#This Row],[TotalWorkingYears]]&lt;=5,"Junior",IF(HR_Data[[#This Row],[TotalWorkingYears]]&lt;=15,"Mid-Level","Senior"))</f>
        <v>Senior</v>
      </c>
      <c r="AN1375" s="11" t="str">
        <f>IF(HR_Data[[#This Row],[PerformanceRating]]=3,"Standard","Excellent")</f>
        <v>Standard</v>
      </c>
      <c r="AO1375" s="11" t="str">
        <f>IF(HR_Data[[#This Row],[JobSatisfaction]]&lt;=2,"Low","High")</f>
        <v>Low</v>
      </c>
      <c r="AP1375" s="11" t="str">
        <f>IF(AND(HR_Data[[#This Row],[OverTime]]="Yes",HR_Data[[#This Row],[JobSatisfaction]]&lt;=2,HR_Data[[#This Row],[YearsAtCompany]]&lt;=2),"High Risk","Normal")</f>
        <v>Normal</v>
      </c>
    </row>
    <row r="1376" spans="1:42" x14ac:dyDescent="0.25">
      <c r="A1376" s="6">
        <v>58</v>
      </c>
      <c r="B1376" s="4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s="11" t="str">
        <f>IF(HR_Data[[#This Row],[Age]]&lt;=25,"18-25",IF(HR_Data[[#This Row],[Age]]&lt;=35,"26-35",IF(HR_Data[[#This Row],[Age]]&lt;=45,"36-45",IF(HR_Data[[#This Row],[Age]]&lt;=55,"46-55","56+"))))</f>
        <v>56+</v>
      </c>
      <c r="AK1376" s="11" t="str">
        <f>IF(HR_Data[[#This Row],[MonthlyIncome]]&lt;3000,"Low",IF(HR_Data[[#This Row],[MonthlyIncome]]&lt;6000,"Medium",IF(HR_Data[[#This Row],[MonthlyIncome]]&lt;10000,"High","Very High")))</f>
        <v>Very High</v>
      </c>
      <c r="AL137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76" t="str">
        <f>IF(HR_Data[[#This Row],[TotalWorkingYears]]&lt;=5,"Junior",IF(HR_Data[[#This Row],[TotalWorkingYears]]&lt;=15,"Mid-Level","Senior"))</f>
        <v>Senior</v>
      </c>
      <c r="AN1376" s="11" t="str">
        <f>IF(HR_Data[[#This Row],[PerformanceRating]]=3,"Standard","Excellent")</f>
        <v>Standard</v>
      </c>
      <c r="AO1376" s="11" t="str">
        <f>IF(HR_Data[[#This Row],[JobSatisfaction]]&lt;=2,"Low","High")</f>
        <v>High</v>
      </c>
      <c r="AP1376" s="11" t="str">
        <f>IF(AND(HR_Data[[#This Row],[OverTime]]="Yes",HR_Data[[#This Row],[JobSatisfaction]]&lt;=2,HR_Data[[#This Row],[YearsAtCompany]]&lt;=2),"High Risk","Normal")</f>
        <v>Normal</v>
      </c>
    </row>
    <row r="1377" spans="1:42" x14ac:dyDescent="0.25">
      <c r="A1377" s="6">
        <v>32</v>
      </c>
      <c r="B1377" s="4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s="11" t="str">
        <f>IF(HR_Data[[#This Row],[Age]]&lt;=25,"18-25",IF(HR_Data[[#This Row],[Age]]&lt;=35,"26-35",IF(HR_Data[[#This Row],[Age]]&lt;=45,"36-45",IF(HR_Data[[#This Row],[Age]]&lt;=55,"46-55","56+"))))</f>
        <v>26-35</v>
      </c>
      <c r="AK1377" s="11" t="str">
        <f>IF(HR_Data[[#This Row],[MonthlyIncome]]&lt;3000,"Low",IF(HR_Data[[#This Row],[MonthlyIncome]]&lt;6000,"Medium",IF(HR_Data[[#This Row],[MonthlyIncome]]&lt;10000,"High","Very High")))</f>
        <v>Low</v>
      </c>
      <c r="AL137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77" t="str">
        <f>IF(HR_Data[[#This Row],[TotalWorkingYears]]&lt;=5,"Junior",IF(HR_Data[[#This Row],[TotalWorkingYears]]&lt;=15,"Mid-Level","Senior"))</f>
        <v>Mid-Level</v>
      </c>
      <c r="AN1377" s="11" t="str">
        <f>IF(HR_Data[[#This Row],[PerformanceRating]]=3,"Standard","Excellent")</f>
        <v>Standard</v>
      </c>
      <c r="AO1377" s="11" t="str">
        <f>IF(HR_Data[[#This Row],[JobSatisfaction]]&lt;=2,"Low","High")</f>
        <v>High</v>
      </c>
      <c r="AP1377" s="11" t="str">
        <f>IF(AND(HR_Data[[#This Row],[OverTime]]="Yes",HR_Data[[#This Row],[JobSatisfaction]]&lt;=2,HR_Data[[#This Row],[YearsAtCompany]]&lt;=2),"High Risk","Normal")</f>
        <v>Normal</v>
      </c>
    </row>
    <row r="1378" spans="1:42" x14ac:dyDescent="0.25">
      <c r="A1378" s="6">
        <v>38</v>
      </c>
      <c r="B1378" s="4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s="11" t="str">
        <f>IF(HR_Data[[#This Row],[Age]]&lt;=25,"18-25",IF(HR_Data[[#This Row],[Age]]&lt;=35,"26-35",IF(HR_Data[[#This Row],[Age]]&lt;=45,"36-45",IF(HR_Data[[#This Row],[Age]]&lt;=55,"46-55","56+"))))</f>
        <v>36-45</v>
      </c>
      <c r="AK1378" s="11" t="str">
        <f>IF(HR_Data[[#This Row],[MonthlyIncome]]&lt;3000,"Low",IF(HR_Data[[#This Row],[MonthlyIncome]]&lt;6000,"Medium",IF(HR_Data[[#This Row],[MonthlyIncome]]&lt;10000,"High","Very High")))</f>
        <v>Medium</v>
      </c>
      <c r="AL137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78" t="str">
        <f>IF(HR_Data[[#This Row],[TotalWorkingYears]]&lt;=5,"Junior",IF(HR_Data[[#This Row],[TotalWorkingYears]]&lt;=15,"Mid-Level","Senior"))</f>
        <v>Mid-Level</v>
      </c>
      <c r="AN1378" s="11" t="str">
        <f>IF(HR_Data[[#This Row],[PerformanceRating]]=3,"Standard","Excellent")</f>
        <v>Standard</v>
      </c>
      <c r="AO1378" s="11" t="str">
        <f>IF(HR_Data[[#This Row],[JobSatisfaction]]&lt;=2,"Low","High")</f>
        <v>High</v>
      </c>
      <c r="AP1378" s="11" t="str">
        <f>IF(AND(HR_Data[[#This Row],[OverTime]]="Yes",HR_Data[[#This Row],[JobSatisfaction]]&lt;=2,HR_Data[[#This Row],[YearsAtCompany]]&lt;=2),"High Risk","Normal")</f>
        <v>Normal</v>
      </c>
    </row>
    <row r="1379" spans="1:42" x14ac:dyDescent="0.25">
      <c r="A1379" s="6">
        <v>49</v>
      </c>
      <c r="B1379" s="4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s="11" t="str">
        <f>IF(HR_Data[[#This Row],[Age]]&lt;=25,"18-25",IF(HR_Data[[#This Row],[Age]]&lt;=35,"26-35",IF(HR_Data[[#This Row],[Age]]&lt;=45,"36-45",IF(HR_Data[[#This Row],[Age]]&lt;=55,"46-55","56+"))))</f>
        <v>46-55</v>
      </c>
      <c r="AK1379" s="11" t="str">
        <f>IF(HR_Data[[#This Row],[MonthlyIncome]]&lt;3000,"Low",IF(HR_Data[[#This Row],[MonthlyIncome]]&lt;6000,"Medium",IF(HR_Data[[#This Row],[MonthlyIncome]]&lt;10000,"High","Very High")))</f>
        <v>Very High</v>
      </c>
      <c r="AL137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79" t="str">
        <f>IF(HR_Data[[#This Row],[TotalWorkingYears]]&lt;=5,"Junior",IF(HR_Data[[#This Row],[TotalWorkingYears]]&lt;=15,"Mid-Level","Senior"))</f>
        <v>Senior</v>
      </c>
      <c r="AN1379" s="11" t="str">
        <f>IF(HR_Data[[#This Row],[PerformanceRating]]=3,"Standard","Excellent")</f>
        <v>Standard</v>
      </c>
      <c r="AO1379" s="11" t="str">
        <f>IF(HR_Data[[#This Row],[JobSatisfaction]]&lt;=2,"Low","High")</f>
        <v>High</v>
      </c>
      <c r="AP1379" s="11" t="str">
        <f>IF(AND(HR_Data[[#This Row],[OverTime]]="Yes",HR_Data[[#This Row],[JobSatisfaction]]&lt;=2,HR_Data[[#This Row],[YearsAtCompany]]&lt;=2),"High Risk","Normal")</f>
        <v>Normal</v>
      </c>
    </row>
    <row r="1380" spans="1:42" x14ac:dyDescent="0.25">
      <c r="A1380" s="6">
        <v>42</v>
      </c>
      <c r="B1380" s="4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s="11" t="str">
        <f>IF(HR_Data[[#This Row],[Age]]&lt;=25,"18-25",IF(HR_Data[[#This Row],[Age]]&lt;=35,"26-35",IF(HR_Data[[#This Row],[Age]]&lt;=45,"36-45",IF(HR_Data[[#This Row],[Age]]&lt;=55,"46-55","56+"))))</f>
        <v>36-45</v>
      </c>
      <c r="AK1380" s="11" t="str">
        <f>IF(HR_Data[[#This Row],[MonthlyIncome]]&lt;3000,"Low",IF(HR_Data[[#This Row],[MonthlyIncome]]&lt;6000,"Medium",IF(HR_Data[[#This Row],[MonthlyIncome]]&lt;10000,"High","Very High")))</f>
        <v>Medium</v>
      </c>
      <c r="AL138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80" t="str">
        <f>IF(HR_Data[[#This Row],[TotalWorkingYears]]&lt;=5,"Junior",IF(HR_Data[[#This Row],[TotalWorkingYears]]&lt;=15,"Mid-Level","Senior"))</f>
        <v>Mid-Level</v>
      </c>
      <c r="AN1380" s="11" t="str">
        <f>IF(HR_Data[[#This Row],[PerformanceRating]]=3,"Standard","Excellent")</f>
        <v>Standard</v>
      </c>
      <c r="AO1380" s="11" t="str">
        <f>IF(HR_Data[[#This Row],[JobSatisfaction]]&lt;=2,"Low","High")</f>
        <v>High</v>
      </c>
      <c r="AP1380" s="11" t="str">
        <f>IF(AND(HR_Data[[#This Row],[OverTime]]="Yes",HR_Data[[#This Row],[JobSatisfaction]]&lt;=2,HR_Data[[#This Row],[YearsAtCompany]]&lt;=2),"High Risk","Normal")</f>
        <v>Normal</v>
      </c>
    </row>
    <row r="1381" spans="1:42" x14ac:dyDescent="0.25">
      <c r="A1381" s="6">
        <v>27</v>
      </c>
      <c r="B1381" s="4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s="11" t="str">
        <f>IF(HR_Data[[#This Row],[Age]]&lt;=25,"18-25",IF(HR_Data[[#This Row],[Age]]&lt;=35,"26-35",IF(HR_Data[[#This Row],[Age]]&lt;=45,"36-45",IF(HR_Data[[#This Row],[Age]]&lt;=55,"46-55","56+"))))</f>
        <v>26-35</v>
      </c>
      <c r="AK1381" s="11" t="str">
        <f>IF(HR_Data[[#This Row],[MonthlyIncome]]&lt;3000,"Low",IF(HR_Data[[#This Row],[MonthlyIncome]]&lt;6000,"Medium",IF(HR_Data[[#This Row],[MonthlyIncome]]&lt;10000,"High","Very High")))</f>
        <v>Low</v>
      </c>
      <c r="AL1381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81" t="str">
        <f>IF(HR_Data[[#This Row],[TotalWorkingYears]]&lt;=5,"Junior",IF(HR_Data[[#This Row],[TotalWorkingYears]]&lt;=15,"Mid-Level","Senior"))</f>
        <v>Junior</v>
      </c>
      <c r="AN1381" s="11" t="str">
        <f>IF(HR_Data[[#This Row],[PerformanceRating]]=3,"Standard","Excellent")</f>
        <v>Standard</v>
      </c>
      <c r="AO1381" s="11" t="str">
        <f>IF(HR_Data[[#This Row],[JobSatisfaction]]&lt;=2,"Low","High")</f>
        <v>Low</v>
      </c>
      <c r="AP1381" s="11" t="str">
        <f>IF(AND(HR_Data[[#This Row],[OverTime]]="Yes",HR_Data[[#This Row],[JobSatisfaction]]&lt;=2,HR_Data[[#This Row],[YearsAtCompany]]&lt;=2),"High Risk","Normal")</f>
        <v>Normal</v>
      </c>
    </row>
    <row r="1382" spans="1:42" x14ac:dyDescent="0.25">
      <c r="A1382" s="6">
        <v>35</v>
      </c>
      <c r="B1382" s="4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s="11" t="str">
        <f>IF(HR_Data[[#This Row],[Age]]&lt;=25,"18-25",IF(HR_Data[[#This Row],[Age]]&lt;=35,"26-35",IF(HR_Data[[#This Row],[Age]]&lt;=45,"36-45",IF(HR_Data[[#This Row],[Age]]&lt;=55,"46-55","56+"))))</f>
        <v>26-35</v>
      </c>
      <c r="AK1382" s="11" t="str">
        <f>IF(HR_Data[[#This Row],[MonthlyIncome]]&lt;3000,"Low",IF(HR_Data[[#This Row],[MonthlyIncome]]&lt;6000,"Medium",IF(HR_Data[[#This Row],[MonthlyIncome]]&lt;10000,"High","Very High")))</f>
        <v>Medium</v>
      </c>
      <c r="AL138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82" t="str">
        <f>IF(HR_Data[[#This Row],[TotalWorkingYears]]&lt;=5,"Junior",IF(HR_Data[[#This Row],[TotalWorkingYears]]&lt;=15,"Mid-Level","Senior"))</f>
        <v>Mid-Level</v>
      </c>
      <c r="AN1382" s="11" t="str">
        <f>IF(HR_Data[[#This Row],[PerformanceRating]]=3,"Standard","Excellent")</f>
        <v>Standard</v>
      </c>
      <c r="AO1382" s="11" t="str">
        <f>IF(HR_Data[[#This Row],[JobSatisfaction]]&lt;=2,"Low","High")</f>
        <v>Low</v>
      </c>
      <c r="AP1382" s="11" t="str">
        <f>IF(AND(HR_Data[[#This Row],[OverTime]]="Yes",HR_Data[[#This Row],[JobSatisfaction]]&lt;=2,HR_Data[[#This Row],[YearsAtCompany]]&lt;=2),"High Risk","Normal")</f>
        <v>Normal</v>
      </c>
    </row>
    <row r="1383" spans="1:42" x14ac:dyDescent="0.25">
      <c r="A1383" s="6">
        <v>28</v>
      </c>
      <c r="B1383" s="4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s="11" t="str">
        <f>IF(HR_Data[[#This Row],[Age]]&lt;=25,"18-25",IF(HR_Data[[#This Row],[Age]]&lt;=35,"26-35",IF(HR_Data[[#This Row],[Age]]&lt;=45,"36-45",IF(HR_Data[[#This Row],[Age]]&lt;=55,"46-55","56+"))))</f>
        <v>26-35</v>
      </c>
      <c r="AK1383" s="11" t="str">
        <f>IF(HR_Data[[#This Row],[MonthlyIncome]]&lt;3000,"Low",IF(HR_Data[[#This Row],[MonthlyIncome]]&lt;6000,"Medium",IF(HR_Data[[#This Row],[MonthlyIncome]]&lt;10000,"High","Very High")))</f>
        <v>Low</v>
      </c>
      <c r="AL138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83" t="str">
        <f>IF(HR_Data[[#This Row],[TotalWorkingYears]]&lt;=5,"Junior",IF(HR_Data[[#This Row],[TotalWorkingYears]]&lt;=15,"Mid-Level","Senior"))</f>
        <v>Junior</v>
      </c>
      <c r="AN1383" s="11" t="str">
        <f>IF(HR_Data[[#This Row],[PerformanceRating]]=3,"Standard","Excellent")</f>
        <v>Standard</v>
      </c>
      <c r="AO1383" s="11" t="str">
        <f>IF(HR_Data[[#This Row],[JobSatisfaction]]&lt;=2,"Low","High")</f>
        <v>High</v>
      </c>
      <c r="AP1383" s="11" t="str">
        <f>IF(AND(HR_Data[[#This Row],[OverTime]]="Yes",HR_Data[[#This Row],[JobSatisfaction]]&lt;=2,HR_Data[[#This Row],[YearsAtCompany]]&lt;=2),"High Risk","Normal")</f>
        <v>Normal</v>
      </c>
    </row>
    <row r="1384" spans="1:42" x14ac:dyDescent="0.25">
      <c r="A1384" s="6">
        <v>31</v>
      </c>
      <c r="B1384" s="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s="11" t="str">
        <f>IF(HR_Data[[#This Row],[Age]]&lt;=25,"18-25",IF(HR_Data[[#This Row],[Age]]&lt;=35,"26-35",IF(HR_Data[[#This Row],[Age]]&lt;=45,"36-45",IF(HR_Data[[#This Row],[Age]]&lt;=55,"46-55","56+"))))</f>
        <v>26-35</v>
      </c>
      <c r="AK1384" s="11" t="str">
        <f>IF(HR_Data[[#This Row],[MonthlyIncome]]&lt;3000,"Low",IF(HR_Data[[#This Row],[MonthlyIncome]]&lt;6000,"Medium",IF(HR_Data[[#This Row],[MonthlyIncome]]&lt;10000,"High","Very High")))</f>
        <v>Medium</v>
      </c>
      <c r="AL1384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84" t="str">
        <f>IF(HR_Data[[#This Row],[TotalWorkingYears]]&lt;=5,"Junior",IF(HR_Data[[#This Row],[TotalWorkingYears]]&lt;=15,"Mid-Level","Senior"))</f>
        <v>Junior</v>
      </c>
      <c r="AN1384" s="11" t="str">
        <f>IF(HR_Data[[#This Row],[PerformanceRating]]=3,"Standard","Excellent")</f>
        <v>Standard</v>
      </c>
      <c r="AO1384" s="11" t="str">
        <f>IF(HR_Data[[#This Row],[JobSatisfaction]]&lt;=2,"Low","High")</f>
        <v>Low</v>
      </c>
      <c r="AP1384" s="11" t="str">
        <f>IF(AND(HR_Data[[#This Row],[OverTime]]="Yes",HR_Data[[#This Row],[JobSatisfaction]]&lt;=2,HR_Data[[#This Row],[YearsAtCompany]]&lt;=2),"High Risk","Normal")</f>
        <v>Normal</v>
      </c>
    </row>
    <row r="1385" spans="1:42" x14ac:dyDescent="0.25">
      <c r="A1385" s="6">
        <v>36</v>
      </c>
      <c r="B1385" s="4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s="11" t="str">
        <f>IF(HR_Data[[#This Row],[Age]]&lt;=25,"18-25",IF(HR_Data[[#This Row],[Age]]&lt;=35,"26-35",IF(HR_Data[[#This Row],[Age]]&lt;=45,"36-45",IF(HR_Data[[#This Row],[Age]]&lt;=55,"46-55","56+"))))</f>
        <v>36-45</v>
      </c>
      <c r="AK1385" s="11" t="str">
        <f>IF(HR_Data[[#This Row],[MonthlyIncome]]&lt;3000,"Low",IF(HR_Data[[#This Row],[MonthlyIncome]]&lt;6000,"Medium",IF(HR_Data[[#This Row],[MonthlyIncome]]&lt;10000,"High","Very High")))</f>
        <v>Low</v>
      </c>
      <c r="AL138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85" t="str">
        <f>IF(HR_Data[[#This Row],[TotalWorkingYears]]&lt;=5,"Junior",IF(HR_Data[[#This Row],[TotalWorkingYears]]&lt;=15,"Mid-Level","Senior"))</f>
        <v>Junior</v>
      </c>
      <c r="AN1385" s="11" t="str">
        <f>IF(HR_Data[[#This Row],[PerformanceRating]]=3,"Standard","Excellent")</f>
        <v>Excellent</v>
      </c>
      <c r="AO1385" s="11" t="str">
        <f>IF(HR_Data[[#This Row],[JobSatisfaction]]&lt;=2,"Low","High")</f>
        <v>Low</v>
      </c>
      <c r="AP1385" s="11" t="str">
        <f>IF(AND(HR_Data[[#This Row],[OverTime]]="Yes",HR_Data[[#This Row],[JobSatisfaction]]&lt;=2,HR_Data[[#This Row],[YearsAtCompany]]&lt;=2),"High Risk","Normal")</f>
        <v>Normal</v>
      </c>
    </row>
    <row r="1386" spans="1:42" x14ac:dyDescent="0.25">
      <c r="A1386" s="6">
        <v>34</v>
      </c>
      <c r="B1386" s="4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s="11" t="str">
        <f>IF(HR_Data[[#This Row],[Age]]&lt;=25,"18-25",IF(HR_Data[[#This Row],[Age]]&lt;=35,"26-35",IF(HR_Data[[#This Row],[Age]]&lt;=45,"36-45",IF(HR_Data[[#This Row],[Age]]&lt;=55,"46-55","56+"))))</f>
        <v>26-35</v>
      </c>
      <c r="AK1386" s="11" t="str">
        <f>IF(HR_Data[[#This Row],[MonthlyIncome]]&lt;3000,"Low",IF(HR_Data[[#This Row],[MonthlyIncome]]&lt;6000,"Medium",IF(HR_Data[[#This Row],[MonthlyIncome]]&lt;10000,"High","Very High")))</f>
        <v>High</v>
      </c>
      <c r="AL1386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386" t="str">
        <f>IF(HR_Data[[#This Row],[TotalWorkingYears]]&lt;=5,"Junior",IF(HR_Data[[#This Row],[TotalWorkingYears]]&lt;=15,"Mid-Level","Senior"))</f>
        <v>Mid-Level</v>
      </c>
      <c r="AN1386" s="11" t="str">
        <f>IF(HR_Data[[#This Row],[PerformanceRating]]=3,"Standard","Excellent")</f>
        <v>Excellent</v>
      </c>
      <c r="AO1386" s="11" t="str">
        <f>IF(HR_Data[[#This Row],[JobSatisfaction]]&lt;=2,"Low","High")</f>
        <v>High</v>
      </c>
      <c r="AP1386" s="11" t="str">
        <f>IF(AND(HR_Data[[#This Row],[OverTime]]="Yes",HR_Data[[#This Row],[JobSatisfaction]]&lt;=2,HR_Data[[#This Row],[YearsAtCompany]]&lt;=2),"High Risk","Normal")</f>
        <v>Normal</v>
      </c>
    </row>
    <row r="1387" spans="1:42" x14ac:dyDescent="0.25">
      <c r="A1387" s="6">
        <v>34</v>
      </c>
      <c r="B1387" s="4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s="11" t="str">
        <f>IF(HR_Data[[#This Row],[Age]]&lt;=25,"18-25",IF(HR_Data[[#This Row],[Age]]&lt;=35,"26-35",IF(HR_Data[[#This Row],[Age]]&lt;=45,"36-45",IF(HR_Data[[#This Row],[Age]]&lt;=55,"46-55","56+"))))</f>
        <v>26-35</v>
      </c>
      <c r="AK1387" s="11" t="str">
        <f>IF(HR_Data[[#This Row],[MonthlyIncome]]&lt;3000,"Low",IF(HR_Data[[#This Row],[MonthlyIncome]]&lt;6000,"Medium",IF(HR_Data[[#This Row],[MonthlyIncome]]&lt;10000,"High","Very High")))</f>
        <v>High</v>
      </c>
      <c r="AL138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87" t="str">
        <f>IF(HR_Data[[#This Row],[TotalWorkingYears]]&lt;=5,"Junior",IF(HR_Data[[#This Row],[TotalWorkingYears]]&lt;=15,"Mid-Level","Senior"))</f>
        <v>Mid-Level</v>
      </c>
      <c r="AN1387" s="11" t="str">
        <f>IF(HR_Data[[#This Row],[PerformanceRating]]=3,"Standard","Excellent")</f>
        <v>Standard</v>
      </c>
      <c r="AO1387" s="11" t="str">
        <f>IF(HR_Data[[#This Row],[JobSatisfaction]]&lt;=2,"Low","High")</f>
        <v>High</v>
      </c>
      <c r="AP1387" s="11" t="str">
        <f>IF(AND(HR_Data[[#This Row],[OverTime]]="Yes",HR_Data[[#This Row],[JobSatisfaction]]&lt;=2,HR_Data[[#This Row],[YearsAtCompany]]&lt;=2),"High Risk","Normal")</f>
        <v>Normal</v>
      </c>
    </row>
    <row r="1388" spans="1:42" x14ac:dyDescent="0.25">
      <c r="A1388" s="6">
        <v>26</v>
      </c>
      <c r="B1388" s="4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s="11" t="str">
        <f>IF(HR_Data[[#This Row],[Age]]&lt;=25,"18-25",IF(HR_Data[[#This Row],[Age]]&lt;=35,"26-35",IF(HR_Data[[#This Row],[Age]]&lt;=45,"36-45",IF(HR_Data[[#This Row],[Age]]&lt;=55,"46-55","56+"))))</f>
        <v>26-35</v>
      </c>
      <c r="AK1388" s="11" t="str">
        <f>IF(HR_Data[[#This Row],[MonthlyIncome]]&lt;3000,"Low",IF(HR_Data[[#This Row],[MonthlyIncome]]&lt;6000,"Medium",IF(HR_Data[[#This Row],[MonthlyIncome]]&lt;10000,"High","Very High")))</f>
        <v>Low</v>
      </c>
      <c r="AL138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88" t="str">
        <f>IF(HR_Data[[#This Row],[TotalWorkingYears]]&lt;=5,"Junior",IF(HR_Data[[#This Row],[TotalWorkingYears]]&lt;=15,"Mid-Level","Senior"))</f>
        <v>Mid-Level</v>
      </c>
      <c r="AN1388" s="11" t="str">
        <f>IF(HR_Data[[#This Row],[PerformanceRating]]=3,"Standard","Excellent")</f>
        <v>Standard</v>
      </c>
      <c r="AO1388" s="11" t="str">
        <f>IF(HR_Data[[#This Row],[JobSatisfaction]]&lt;=2,"Low","High")</f>
        <v>Low</v>
      </c>
      <c r="AP1388" s="11" t="str">
        <f>IF(AND(HR_Data[[#This Row],[OverTime]]="Yes",HR_Data[[#This Row],[JobSatisfaction]]&lt;=2,HR_Data[[#This Row],[YearsAtCompany]]&lt;=2),"High Risk","Normal")</f>
        <v>Normal</v>
      </c>
    </row>
    <row r="1389" spans="1:42" x14ac:dyDescent="0.25">
      <c r="A1389" s="6">
        <v>29</v>
      </c>
      <c r="B1389" s="4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s="11" t="str">
        <f>IF(HR_Data[[#This Row],[Age]]&lt;=25,"18-25",IF(HR_Data[[#This Row],[Age]]&lt;=35,"26-35",IF(HR_Data[[#This Row],[Age]]&lt;=45,"36-45",IF(HR_Data[[#This Row],[Age]]&lt;=55,"46-55","56+"))))</f>
        <v>26-35</v>
      </c>
      <c r="AK1389" s="11" t="str">
        <f>IF(HR_Data[[#This Row],[MonthlyIncome]]&lt;3000,"Low",IF(HR_Data[[#This Row],[MonthlyIncome]]&lt;6000,"Medium",IF(HR_Data[[#This Row],[MonthlyIncome]]&lt;10000,"High","Very High")))</f>
        <v>Medium</v>
      </c>
      <c r="AL138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89" t="str">
        <f>IF(HR_Data[[#This Row],[TotalWorkingYears]]&lt;=5,"Junior",IF(HR_Data[[#This Row],[TotalWorkingYears]]&lt;=15,"Mid-Level","Senior"))</f>
        <v>Mid-Level</v>
      </c>
      <c r="AN1389" s="11" t="str">
        <f>IF(HR_Data[[#This Row],[PerformanceRating]]=3,"Standard","Excellent")</f>
        <v>Standard</v>
      </c>
      <c r="AO1389" s="11" t="str">
        <f>IF(HR_Data[[#This Row],[JobSatisfaction]]&lt;=2,"Low","High")</f>
        <v>Low</v>
      </c>
      <c r="AP1389" s="11" t="str">
        <f>IF(AND(HR_Data[[#This Row],[OverTime]]="Yes",HR_Data[[#This Row],[JobSatisfaction]]&lt;=2,HR_Data[[#This Row],[YearsAtCompany]]&lt;=2),"High Risk","Normal")</f>
        <v>Normal</v>
      </c>
    </row>
    <row r="1390" spans="1:42" x14ac:dyDescent="0.25">
      <c r="A1390" s="6">
        <v>32</v>
      </c>
      <c r="B1390" s="4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s="11" t="str">
        <f>IF(HR_Data[[#This Row],[Age]]&lt;=25,"18-25",IF(HR_Data[[#This Row],[Age]]&lt;=35,"26-35",IF(HR_Data[[#This Row],[Age]]&lt;=45,"36-45",IF(HR_Data[[#This Row],[Age]]&lt;=55,"46-55","56+"))))</f>
        <v>26-35</v>
      </c>
      <c r="AK1390" s="11" t="str">
        <f>IF(HR_Data[[#This Row],[MonthlyIncome]]&lt;3000,"Low",IF(HR_Data[[#This Row],[MonthlyIncome]]&lt;6000,"Medium",IF(HR_Data[[#This Row],[MonthlyIncome]]&lt;10000,"High","Very High")))</f>
        <v>High</v>
      </c>
      <c r="AL139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90" t="str">
        <f>IF(HR_Data[[#This Row],[TotalWorkingYears]]&lt;=5,"Junior",IF(HR_Data[[#This Row],[TotalWorkingYears]]&lt;=15,"Mid-Level","Senior"))</f>
        <v>Mid-Level</v>
      </c>
      <c r="AN1390" s="11" t="str">
        <f>IF(HR_Data[[#This Row],[PerformanceRating]]=3,"Standard","Excellent")</f>
        <v>Standard</v>
      </c>
      <c r="AO1390" s="11" t="str">
        <f>IF(HR_Data[[#This Row],[JobSatisfaction]]&lt;=2,"Low","High")</f>
        <v>High</v>
      </c>
      <c r="AP1390" s="11" t="str">
        <f>IF(AND(HR_Data[[#This Row],[OverTime]]="Yes",HR_Data[[#This Row],[JobSatisfaction]]&lt;=2,HR_Data[[#This Row],[YearsAtCompany]]&lt;=2),"High Risk","Normal")</f>
        <v>Normal</v>
      </c>
    </row>
    <row r="1391" spans="1:42" x14ac:dyDescent="0.25">
      <c r="A1391" s="6">
        <v>31</v>
      </c>
      <c r="B1391" s="4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s="11" t="str">
        <f>IF(HR_Data[[#This Row],[Age]]&lt;=25,"18-25",IF(HR_Data[[#This Row],[Age]]&lt;=35,"26-35",IF(HR_Data[[#This Row],[Age]]&lt;=45,"36-45",IF(HR_Data[[#This Row],[Age]]&lt;=55,"46-55","56+"))))</f>
        <v>26-35</v>
      </c>
      <c r="AK1391" s="11" t="str">
        <f>IF(HR_Data[[#This Row],[MonthlyIncome]]&lt;3000,"Low",IF(HR_Data[[#This Row],[MonthlyIncome]]&lt;6000,"Medium",IF(HR_Data[[#This Row],[MonthlyIncome]]&lt;10000,"High","Very High")))</f>
        <v>Medium</v>
      </c>
      <c r="AL139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91" t="str">
        <f>IF(HR_Data[[#This Row],[TotalWorkingYears]]&lt;=5,"Junior",IF(HR_Data[[#This Row],[TotalWorkingYears]]&lt;=15,"Mid-Level","Senior"))</f>
        <v>Mid-Level</v>
      </c>
      <c r="AN1391" s="11" t="str">
        <f>IF(HR_Data[[#This Row],[PerformanceRating]]=3,"Standard","Excellent")</f>
        <v>Excellent</v>
      </c>
      <c r="AO1391" s="11" t="str">
        <f>IF(HR_Data[[#This Row],[JobSatisfaction]]&lt;=2,"Low","High")</f>
        <v>Low</v>
      </c>
      <c r="AP1391" s="11" t="str">
        <f>IF(AND(HR_Data[[#This Row],[OverTime]]="Yes",HR_Data[[#This Row],[JobSatisfaction]]&lt;=2,HR_Data[[#This Row],[YearsAtCompany]]&lt;=2),"High Risk","Normal")</f>
        <v>Normal</v>
      </c>
    </row>
    <row r="1392" spans="1:42" x14ac:dyDescent="0.25">
      <c r="A1392" s="6">
        <v>28</v>
      </c>
      <c r="B1392" s="4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s="11" t="str">
        <f>IF(HR_Data[[#This Row],[Age]]&lt;=25,"18-25",IF(HR_Data[[#This Row],[Age]]&lt;=35,"26-35",IF(HR_Data[[#This Row],[Age]]&lt;=45,"36-45",IF(HR_Data[[#This Row],[Age]]&lt;=55,"46-55","56+"))))</f>
        <v>26-35</v>
      </c>
      <c r="AK1392" s="11" t="str">
        <f>IF(HR_Data[[#This Row],[MonthlyIncome]]&lt;3000,"Low",IF(HR_Data[[#This Row],[MonthlyIncome]]&lt;6000,"Medium",IF(HR_Data[[#This Row],[MonthlyIncome]]&lt;10000,"High","Very High")))</f>
        <v>Low</v>
      </c>
      <c r="AL139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92" t="str">
        <f>IF(HR_Data[[#This Row],[TotalWorkingYears]]&lt;=5,"Junior",IF(HR_Data[[#This Row],[TotalWorkingYears]]&lt;=15,"Mid-Level","Senior"))</f>
        <v>Mid-Level</v>
      </c>
      <c r="AN1392" s="11" t="str">
        <f>IF(HR_Data[[#This Row],[PerformanceRating]]=3,"Standard","Excellent")</f>
        <v>Standard</v>
      </c>
      <c r="AO1392" s="11" t="str">
        <f>IF(HR_Data[[#This Row],[JobSatisfaction]]&lt;=2,"Low","High")</f>
        <v>High</v>
      </c>
      <c r="AP1392" s="11" t="str">
        <f>IF(AND(HR_Data[[#This Row],[OverTime]]="Yes",HR_Data[[#This Row],[JobSatisfaction]]&lt;=2,HR_Data[[#This Row],[YearsAtCompany]]&lt;=2),"High Risk","Normal")</f>
        <v>Normal</v>
      </c>
    </row>
    <row r="1393" spans="1:42" x14ac:dyDescent="0.25">
      <c r="A1393" s="6">
        <v>38</v>
      </c>
      <c r="B1393" s="4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s="11" t="str">
        <f>IF(HR_Data[[#This Row],[Age]]&lt;=25,"18-25",IF(HR_Data[[#This Row],[Age]]&lt;=35,"26-35",IF(HR_Data[[#This Row],[Age]]&lt;=45,"36-45",IF(HR_Data[[#This Row],[Age]]&lt;=55,"46-55","56+"))))</f>
        <v>36-45</v>
      </c>
      <c r="AK1393" s="11" t="str">
        <f>IF(HR_Data[[#This Row],[MonthlyIncome]]&lt;3000,"Low",IF(HR_Data[[#This Row],[MonthlyIncome]]&lt;6000,"Medium",IF(HR_Data[[#This Row],[MonthlyIncome]]&lt;10000,"High","Very High")))</f>
        <v>Low</v>
      </c>
      <c r="AL139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93" t="str">
        <f>IF(HR_Data[[#This Row],[TotalWorkingYears]]&lt;=5,"Junior",IF(HR_Data[[#This Row],[TotalWorkingYears]]&lt;=15,"Mid-Level","Senior"))</f>
        <v>Senior</v>
      </c>
      <c r="AN1393" s="11" t="str">
        <f>IF(HR_Data[[#This Row],[PerformanceRating]]=3,"Standard","Excellent")</f>
        <v>Standard</v>
      </c>
      <c r="AO1393" s="11" t="str">
        <f>IF(HR_Data[[#This Row],[JobSatisfaction]]&lt;=2,"Low","High")</f>
        <v>Low</v>
      </c>
      <c r="AP1393" s="11" t="str">
        <f>IF(AND(HR_Data[[#This Row],[OverTime]]="Yes",HR_Data[[#This Row],[JobSatisfaction]]&lt;=2,HR_Data[[#This Row],[YearsAtCompany]]&lt;=2),"High Risk","Normal")</f>
        <v>Normal</v>
      </c>
    </row>
    <row r="1394" spans="1:42" x14ac:dyDescent="0.25">
      <c r="A1394" s="6">
        <v>35</v>
      </c>
      <c r="B1394" s="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s="11" t="str">
        <f>IF(HR_Data[[#This Row],[Age]]&lt;=25,"18-25",IF(HR_Data[[#This Row],[Age]]&lt;=35,"26-35",IF(HR_Data[[#This Row],[Age]]&lt;=45,"36-45",IF(HR_Data[[#This Row],[Age]]&lt;=55,"46-55","56+"))))</f>
        <v>26-35</v>
      </c>
      <c r="AK1394" s="11" t="str">
        <f>IF(HR_Data[[#This Row],[MonthlyIncome]]&lt;3000,"Low",IF(HR_Data[[#This Row],[MonthlyIncome]]&lt;6000,"Medium",IF(HR_Data[[#This Row],[MonthlyIncome]]&lt;10000,"High","Very High")))</f>
        <v>Medium</v>
      </c>
      <c r="AL139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94" t="str">
        <f>IF(HR_Data[[#This Row],[TotalWorkingYears]]&lt;=5,"Junior",IF(HR_Data[[#This Row],[TotalWorkingYears]]&lt;=15,"Mid-Level","Senior"))</f>
        <v>Mid-Level</v>
      </c>
      <c r="AN1394" s="11" t="str">
        <f>IF(HR_Data[[#This Row],[PerformanceRating]]=3,"Standard","Excellent")</f>
        <v>Standard</v>
      </c>
      <c r="AO1394" s="11" t="str">
        <f>IF(HR_Data[[#This Row],[JobSatisfaction]]&lt;=2,"Low","High")</f>
        <v>High</v>
      </c>
      <c r="AP1394" s="11" t="str">
        <f>IF(AND(HR_Data[[#This Row],[OverTime]]="Yes",HR_Data[[#This Row],[JobSatisfaction]]&lt;=2,HR_Data[[#This Row],[YearsAtCompany]]&lt;=2),"High Risk","Normal")</f>
        <v>Normal</v>
      </c>
    </row>
    <row r="1395" spans="1:42" x14ac:dyDescent="0.25">
      <c r="A1395" s="6">
        <v>27</v>
      </c>
      <c r="B1395" s="4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s="11" t="str">
        <f>IF(HR_Data[[#This Row],[Age]]&lt;=25,"18-25",IF(HR_Data[[#This Row],[Age]]&lt;=35,"26-35",IF(HR_Data[[#This Row],[Age]]&lt;=45,"36-45",IF(HR_Data[[#This Row],[Age]]&lt;=55,"46-55","56+"))))</f>
        <v>26-35</v>
      </c>
      <c r="AK1395" s="11" t="str">
        <f>IF(HR_Data[[#This Row],[MonthlyIncome]]&lt;3000,"Low",IF(HR_Data[[#This Row],[MonthlyIncome]]&lt;6000,"Medium",IF(HR_Data[[#This Row],[MonthlyIncome]]&lt;10000,"High","Very High")))</f>
        <v>Medium</v>
      </c>
      <c r="AL139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95" t="str">
        <f>IF(HR_Data[[#This Row],[TotalWorkingYears]]&lt;=5,"Junior",IF(HR_Data[[#This Row],[TotalWorkingYears]]&lt;=15,"Mid-Level","Senior"))</f>
        <v>Mid-Level</v>
      </c>
      <c r="AN1395" s="11" t="str">
        <f>IF(HR_Data[[#This Row],[PerformanceRating]]=3,"Standard","Excellent")</f>
        <v>Standard</v>
      </c>
      <c r="AO1395" s="11" t="str">
        <f>IF(HR_Data[[#This Row],[JobSatisfaction]]&lt;=2,"Low","High")</f>
        <v>High</v>
      </c>
      <c r="AP1395" s="11" t="str">
        <f>IF(AND(HR_Data[[#This Row],[OverTime]]="Yes",HR_Data[[#This Row],[JobSatisfaction]]&lt;=2,HR_Data[[#This Row],[YearsAtCompany]]&lt;=2),"High Risk","Normal")</f>
        <v>Normal</v>
      </c>
    </row>
    <row r="1396" spans="1:42" x14ac:dyDescent="0.25">
      <c r="A1396" s="6">
        <v>32</v>
      </c>
      <c r="B1396" s="4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s="11" t="str">
        <f>IF(HR_Data[[#This Row],[Age]]&lt;=25,"18-25",IF(HR_Data[[#This Row],[Age]]&lt;=35,"26-35",IF(HR_Data[[#This Row],[Age]]&lt;=45,"36-45",IF(HR_Data[[#This Row],[Age]]&lt;=55,"46-55","56+"))))</f>
        <v>26-35</v>
      </c>
      <c r="AK1396" s="11" t="str">
        <f>IF(HR_Data[[#This Row],[MonthlyIncome]]&lt;3000,"Low",IF(HR_Data[[#This Row],[MonthlyIncome]]&lt;6000,"Medium",IF(HR_Data[[#This Row],[MonthlyIncome]]&lt;10000,"High","Very High")))</f>
        <v>High</v>
      </c>
      <c r="AL1396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96" t="str">
        <f>IF(HR_Data[[#This Row],[TotalWorkingYears]]&lt;=5,"Junior",IF(HR_Data[[#This Row],[TotalWorkingYears]]&lt;=15,"Mid-Level","Senior"))</f>
        <v>Mid-Level</v>
      </c>
      <c r="AN1396" s="11" t="str">
        <f>IF(HR_Data[[#This Row],[PerformanceRating]]=3,"Standard","Excellent")</f>
        <v>Excellent</v>
      </c>
      <c r="AO1396" s="11" t="str">
        <f>IF(HR_Data[[#This Row],[JobSatisfaction]]&lt;=2,"Low","High")</f>
        <v>High</v>
      </c>
      <c r="AP1396" s="11" t="str">
        <f>IF(AND(HR_Data[[#This Row],[OverTime]]="Yes",HR_Data[[#This Row],[JobSatisfaction]]&lt;=2,HR_Data[[#This Row],[YearsAtCompany]]&lt;=2),"High Risk","Normal")</f>
        <v>Normal</v>
      </c>
    </row>
    <row r="1397" spans="1:42" x14ac:dyDescent="0.25">
      <c r="A1397" s="6">
        <v>31</v>
      </c>
      <c r="B1397" s="4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s="11" t="str">
        <f>IF(HR_Data[[#This Row],[Age]]&lt;=25,"18-25",IF(HR_Data[[#This Row],[Age]]&lt;=35,"26-35",IF(HR_Data[[#This Row],[Age]]&lt;=45,"36-45",IF(HR_Data[[#This Row],[Age]]&lt;=55,"46-55","56+"))))</f>
        <v>26-35</v>
      </c>
      <c r="AK1397" s="11" t="str">
        <f>IF(HR_Data[[#This Row],[MonthlyIncome]]&lt;3000,"Low",IF(HR_Data[[#This Row],[MonthlyIncome]]&lt;6000,"Medium",IF(HR_Data[[#This Row],[MonthlyIncome]]&lt;10000,"High","Very High")))</f>
        <v>Medium</v>
      </c>
      <c r="AL139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397" t="str">
        <f>IF(HR_Data[[#This Row],[TotalWorkingYears]]&lt;=5,"Junior",IF(HR_Data[[#This Row],[TotalWorkingYears]]&lt;=15,"Mid-Level","Senior"))</f>
        <v>Mid-Level</v>
      </c>
      <c r="AN1397" s="11" t="str">
        <f>IF(HR_Data[[#This Row],[PerformanceRating]]=3,"Standard","Excellent")</f>
        <v>Standard</v>
      </c>
      <c r="AO1397" s="11" t="str">
        <f>IF(HR_Data[[#This Row],[JobSatisfaction]]&lt;=2,"Low","High")</f>
        <v>High</v>
      </c>
      <c r="AP1397" s="11" t="str">
        <f>IF(AND(HR_Data[[#This Row],[OverTime]]="Yes",HR_Data[[#This Row],[JobSatisfaction]]&lt;=2,HR_Data[[#This Row],[YearsAtCompany]]&lt;=2),"High Risk","Normal")</f>
        <v>Normal</v>
      </c>
    </row>
    <row r="1398" spans="1:42" x14ac:dyDescent="0.25">
      <c r="A1398" s="6">
        <v>53</v>
      </c>
      <c r="B1398" s="4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s="11" t="str">
        <f>IF(HR_Data[[#This Row],[Age]]&lt;=25,"18-25",IF(HR_Data[[#This Row],[Age]]&lt;=35,"26-35",IF(HR_Data[[#This Row],[Age]]&lt;=45,"36-45",IF(HR_Data[[#This Row],[Age]]&lt;=55,"46-55","56+"))))</f>
        <v>46-55</v>
      </c>
      <c r="AK1398" s="11" t="str">
        <f>IF(HR_Data[[#This Row],[MonthlyIncome]]&lt;3000,"Low",IF(HR_Data[[#This Row],[MonthlyIncome]]&lt;6000,"Medium",IF(HR_Data[[#This Row],[MonthlyIncome]]&lt;10000,"High","Very High")))</f>
        <v>Very High</v>
      </c>
      <c r="AL139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398" t="str">
        <f>IF(HR_Data[[#This Row],[TotalWorkingYears]]&lt;=5,"Junior",IF(HR_Data[[#This Row],[TotalWorkingYears]]&lt;=15,"Mid-Level","Senior"))</f>
        <v>Mid-Level</v>
      </c>
      <c r="AN1398" s="11" t="str">
        <f>IF(HR_Data[[#This Row],[PerformanceRating]]=3,"Standard","Excellent")</f>
        <v>Standard</v>
      </c>
      <c r="AO1398" s="11" t="str">
        <f>IF(HR_Data[[#This Row],[JobSatisfaction]]&lt;=2,"Low","High")</f>
        <v>Low</v>
      </c>
      <c r="AP1398" s="11" t="str">
        <f>IF(AND(HR_Data[[#This Row],[OverTime]]="Yes",HR_Data[[#This Row],[JobSatisfaction]]&lt;=2,HR_Data[[#This Row],[YearsAtCompany]]&lt;=2),"High Risk","Normal")</f>
        <v>High Risk</v>
      </c>
    </row>
    <row r="1399" spans="1:42" x14ac:dyDescent="0.25">
      <c r="A1399" s="6">
        <v>54</v>
      </c>
      <c r="B1399" s="4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s="11" t="str">
        <f>IF(HR_Data[[#This Row],[Age]]&lt;=25,"18-25",IF(HR_Data[[#This Row],[Age]]&lt;=35,"26-35",IF(HR_Data[[#This Row],[Age]]&lt;=45,"36-45",IF(HR_Data[[#This Row],[Age]]&lt;=55,"46-55","56+"))))</f>
        <v>46-55</v>
      </c>
      <c r="AK1399" s="11" t="str">
        <f>IF(HR_Data[[#This Row],[MonthlyIncome]]&lt;3000,"Low",IF(HR_Data[[#This Row],[MonthlyIncome]]&lt;6000,"Medium",IF(HR_Data[[#This Row],[MonthlyIncome]]&lt;10000,"High","Very High")))</f>
        <v>Low</v>
      </c>
      <c r="AL139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399" t="str">
        <f>IF(HR_Data[[#This Row],[TotalWorkingYears]]&lt;=5,"Junior",IF(HR_Data[[#This Row],[TotalWorkingYears]]&lt;=15,"Mid-Level","Senior"))</f>
        <v>Mid-Level</v>
      </c>
      <c r="AN1399" s="11" t="str">
        <f>IF(HR_Data[[#This Row],[PerformanceRating]]=3,"Standard","Excellent")</f>
        <v>Standard</v>
      </c>
      <c r="AO1399" s="11" t="str">
        <f>IF(HR_Data[[#This Row],[JobSatisfaction]]&lt;=2,"Low","High")</f>
        <v>High</v>
      </c>
      <c r="AP1399" s="11" t="str">
        <f>IF(AND(HR_Data[[#This Row],[OverTime]]="Yes",HR_Data[[#This Row],[JobSatisfaction]]&lt;=2,HR_Data[[#This Row],[YearsAtCompany]]&lt;=2),"High Risk","Normal")</f>
        <v>Normal</v>
      </c>
    </row>
    <row r="1400" spans="1:42" x14ac:dyDescent="0.25">
      <c r="A1400" s="6">
        <v>33</v>
      </c>
      <c r="B1400" s="4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s="11" t="str">
        <f>IF(HR_Data[[#This Row],[Age]]&lt;=25,"18-25",IF(HR_Data[[#This Row],[Age]]&lt;=35,"26-35",IF(HR_Data[[#This Row],[Age]]&lt;=45,"36-45",IF(HR_Data[[#This Row],[Age]]&lt;=55,"46-55","56+"))))</f>
        <v>26-35</v>
      </c>
      <c r="AK1400" s="11" t="str">
        <f>IF(HR_Data[[#This Row],[MonthlyIncome]]&lt;3000,"Low",IF(HR_Data[[#This Row],[MonthlyIncome]]&lt;6000,"Medium",IF(HR_Data[[#This Row],[MonthlyIncome]]&lt;10000,"High","Very High")))</f>
        <v>Medium</v>
      </c>
      <c r="AL140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00" t="str">
        <f>IF(HR_Data[[#This Row],[TotalWorkingYears]]&lt;=5,"Junior",IF(HR_Data[[#This Row],[TotalWorkingYears]]&lt;=15,"Mid-Level","Senior"))</f>
        <v>Mid-Level</v>
      </c>
      <c r="AN1400" s="11" t="str">
        <f>IF(HR_Data[[#This Row],[PerformanceRating]]=3,"Standard","Excellent")</f>
        <v>Excellent</v>
      </c>
      <c r="AO1400" s="11" t="str">
        <f>IF(HR_Data[[#This Row],[JobSatisfaction]]&lt;=2,"Low","High")</f>
        <v>High</v>
      </c>
      <c r="AP1400" s="11" t="str">
        <f>IF(AND(HR_Data[[#This Row],[OverTime]]="Yes",HR_Data[[#This Row],[JobSatisfaction]]&lt;=2,HR_Data[[#This Row],[YearsAtCompany]]&lt;=2),"High Risk","Normal")</f>
        <v>Normal</v>
      </c>
    </row>
    <row r="1401" spans="1:42" x14ac:dyDescent="0.25">
      <c r="A1401" s="6">
        <v>43</v>
      </c>
      <c r="B1401" s="4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s="11" t="str">
        <f>IF(HR_Data[[#This Row],[Age]]&lt;=25,"18-25",IF(HR_Data[[#This Row],[Age]]&lt;=35,"26-35",IF(HR_Data[[#This Row],[Age]]&lt;=45,"36-45",IF(HR_Data[[#This Row],[Age]]&lt;=55,"46-55","56+"))))</f>
        <v>36-45</v>
      </c>
      <c r="AK1401" s="11" t="str">
        <f>IF(HR_Data[[#This Row],[MonthlyIncome]]&lt;3000,"Low",IF(HR_Data[[#This Row],[MonthlyIncome]]&lt;6000,"Medium",IF(HR_Data[[#This Row],[MonthlyIncome]]&lt;10000,"High","Very High")))</f>
        <v>High</v>
      </c>
      <c r="AL140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01" t="str">
        <f>IF(HR_Data[[#This Row],[TotalWorkingYears]]&lt;=5,"Junior",IF(HR_Data[[#This Row],[TotalWorkingYears]]&lt;=15,"Mid-Level","Senior"))</f>
        <v>Mid-Level</v>
      </c>
      <c r="AN1401" s="11" t="str">
        <f>IF(HR_Data[[#This Row],[PerformanceRating]]=3,"Standard","Excellent")</f>
        <v>Standard</v>
      </c>
      <c r="AO1401" s="11" t="str">
        <f>IF(HR_Data[[#This Row],[JobSatisfaction]]&lt;=2,"Low","High")</f>
        <v>High</v>
      </c>
      <c r="AP1401" s="11" t="str">
        <f>IF(AND(HR_Data[[#This Row],[OverTime]]="Yes",HR_Data[[#This Row],[JobSatisfaction]]&lt;=2,HR_Data[[#This Row],[YearsAtCompany]]&lt;=2),"High Risk","Normal")</f>
        <v>Normal</v>
      </c>
    </row>
    <row r="1402" spans="1:42" x14ac:dyDescent="0.25">
      <c r="A1402" s="6">
        <v>38</v>
      </c>
      <c r="B1402" s="4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s="11" t="str">
        <f>IF(HR_Data[[#This Row],[Age]]&lt;=25,"18-25",IF(HR_Data[[#This Row],[Age]]&lt;=35,"26-35",IF(HR_Data[[#This Row],[Age]]&lt;=45,"36-45",IF(HR_Data[[#This Row],[Age]]&lt;=55,"46-55","56+"))))</f>
        <v>36-45</v>
      </c>
      <c r="AK1402" s="11" t="str">
        <f>IF(HR_Data[[#This Row],[MonthlyIncome]]&lt;3000,"Low",IF(HR_Data[[#This Row],[MonthlyIncome]]&lt;6000,"Medium",IF(HR_Data[[#This Row],[MonthlyIncome]]&lt;10000,"High","Very High")))</f>
        <v>Low</v>
      </c>
      <c r="AL140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02" t="str">
        <f>IF(HR_Data[[#This Row],[TotalWorkingYears]]&lt;=5,"Junior",IF(HR_Data[[#This Row],[TotalWorkingYears]]&lt;=15,"Mid-Level","Senior"))</f>
        <v>Mid-Level</v>
      </c>
      <c r="AN1402" s="11" t="str">
        <f>IF(HR_Data[[#This Row],[PerformanceRating]]=3,"Standard","Excellent")</f>
        <v>Standard</v>
      </c>
      <c r="AO1402" s="11" t="str">
        <f>IF(HR_Data[[#This Row],[JobSatisfaction]]&lt;=2,"Low","High")</f>
        <v>Low</v>
      </c>
      <c r="AP1402" s="11" t="str">
        <f>IF(AND(HR_Data[[#This Row],[OverTime]]="Yes",HR_Data[[#This Row],[JobSatisfaction]]&lt;=2,HR_Data[[#This Row],[YearsAtCompany]]&lt;=2),"High Risk","Normal")</f>
        <v>Normal</v>
      </c>
    </row>
    <row r="1403" spans="1:42" x14ac:dyDescent="0.25">
      <c r="A1403" s="6">
        <v>55</v>
      </c>
      <c r="B1403" s="4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s="11" t="str">
        <f>IF(HR_Data[[#This Row],[Age]]&lt;=25,"18-25",IF(HR_Data[[#This Row],[Age]]&lt;=35,"26-35",IF(HR_Data[[#This Row],[Age]]&lt;=45,"36-45",IF(HR_Data[[#This Row],[Age]]&lt;=55,"46-55","56+"))))</f>
        <v>46-55</v>
      </c>
      <c r="AK1403" s="11" t="str">
        <f>IF(HR_Data[[#This Row],[MonthlyIncome]]&lt;3000,"Low",IF(HR_Data[[#This Row],[MonthlyIncome]]&lt;6000,"Medium",IF(HR_Data[[#This Row],[MonthlyIncome]]&lt;10000,"High","Very High")))</f>
        <v>Very High</v>
      </c>
      <c r="AL140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03" t="str">
        <f>IF(HR_Data[[#This Row],[TotalWorkingYears]]&lt;=5,"Junior",IF(HR_Data[[#This Row],[TotalWorkingYears]]&lt;=15,"Mid-Level","Senior"))</f>
        <v>Senior</v>
      </c>
      <c r="AN1403" s="11" t="str">
        <f>IF(HR_Data[[#This Row],[PerformanceRating]]=3,"Standard","Excellent")</f>
        <v>Standard</v>
      </c>
      <c r="AO1403" s="11" t="str">
        <f>IF(HR_Data[[#This Row],[JobSatisfaction]]&lt;=2,"Low","High")</f>
        <v>Low</v>
      </c>
      <c r="AP1403" s="11" t="str">
        <f>IF(AND(HR_Data[[#This Row],[OverTime]]="Yes",HR_Data[[#This Row],[JobSatisfaction]]&lt;=2,HR_Data[[#This Row],[YearsAtCompany]]&lt;=2),"High Risk","Normal")</f>
        <v>Normal</v>
      </c>
    </row>
    <row r="1404" spans="1:42" x14ac:dyDescent="0.25">
      <c r="A1404" s="6">
        <v>31</v>
      </c>
      <c r="B1404" s="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s="11" t="str">
        <f>IF(HR_Data[[#This Row],[Age]]&lt;=25,"18-25",IF(HR_Data[[#This Row],[Age]]&lt;=35,"26-35",IF(HR_Data[[#This Row],[Age]]&lt;=45,"36-45",IF(HR_Data[[#This Row],[Age]]&lt;=55,"46-55","56+"))))</f>
        <v>26-35</v>
      </c>
      <c r="AK1404" s="11" t="str">
        <f>IF(HR_Data[[#This Row],[MonthlyIncome]]&lt;3000,"Low",IF(HR_Data[[#This Row],[MonthlyIncome]]&lt;6000,"Medium",IF(HR_Data[[#This Row],[MonthlyIncome]]&lt;10000,"High","Very High")))</f>
        <v>Low</v>
      </c>
      <c r="AL140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04" t="str">
        <f>IF(HR_Data[[#This Row],[TotalWorkingYears]]&lt;=5,"Junior",IF(HR_Data[[#This Row],[TotalWorkingYears]]&lt;=15,"Mid-Level","Senior"))</f>
        <v>Junior</v>
      </c>
      <c r="AN1404" s="11" t="str">
        <f>IF(HR_Data[[#This Row],[PerformanceRating]]=3,"Standard","Excellent")</f>
        <v>Standard</v>
      </c>
      <c r="AO1404" s="11" t="str">
        <f>IF(HR_Data[[#This Row],[JobSatisfaction]]&lt;=2,"Low","High")</f>
        <v>High</v>
      </c>
      <c r="AP1404" s="11" t="str">
        <f>IF(AND(HR_Data[[#This Row],[OverTime]]="Yes",HR_Data[[#This Row],[JobSatisfaction]]&lt;=2,HR_Data[[#This Row],[YearsAtCompany]]&lt;=2),"High Risk","Normal")</f>
        <v>Normal</v>
      </c>
    </row>
    <row r="1405" spans="1:42" x14ac:dyDescent="0.25">
      <c r="A1405" s="6">
        <v>39</v>
      </c>
      <c r="B1405" s="4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s="11" t="str">
        <f>IF(HR_Data[[#This Row],[Age]]&lt;=25,"18-25",IF(HR_Data[[#This Row],[Age]]&lt;=35,"26-35",IF(HR_Data[[#This Row],[Age]]&lt;=45,"36-45",IF(HR_Data[[#This Row],[Age]]&lt;=55,"46-55","56+"))))</f>
        <v>36-45</v>
      </c>
      <c r="AK1405" s="11" t="str">
        <f>IF(HR_Data[[#This Row],[MonthlyIncome]]&lt;3000,"Low",IF(HR_Data[[#This Row],[MonthlyIncome]]&lt;6000,"Medium",IF(HR_Data[[#This Row],[MonthlyIncome]]&lt;10000,"High","Very High")))</f>
        <v>Very High</v>
      </c>
      <c r="AL140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405" t="str">
        <f>IF(HR_Data[[#This Row],[TotalWorkingYears]]&lt;=5,"Junior",IF(HR_Data[[#This Row],[TotalWorkingYears]]&lt;=15,"Mid-Level","Senior"))</f>
        <v>Senior</v>
      </c>
      <c r="AN1405" s="11" t="str">
        <f>IF(HR_Data[[#This Row],[PerformanceRating]]=3,"Standard","Excellent")</f>
        <v>Standard</v>
      </c>
      <c r="AO1405" s="11" t="str">
        <f>IF(HR_Data[[#This Row],[JobSatisfaction]]&lt;=2,"Low","High")</f>
        <v>Low</v>
      </c>
      <c r="AP1405" s="11" t="str">
        <f>IF(AND(HR_Data[[#This Row],[OverTime]]="Yes",HR_Data[[#This Row],[JobSatisfaction]]&lt;=2,HR_Data[[#This Row],[YearsAtCompany]]&lt;=2),"High Risk","Normal")</f>
        <v>Normal</v>
      </c>
    </row>
    <row r="1406" spans="1:42" x14ac:dyDescent="0.25">
      <c r="A1406" s="6">
        <v>42</v>
      </c>
      <c r="B1406" s="4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s="11" t="str">
        <f>IF(HR_Data[[#This Row],[Age]]&lt;=25,"18-25",IF(HR_Data[[#This Row],[Age]]&lt;=35,"26-35",IF(HR_Data[[#This Row],[Age]]&lt;=45,"36-45",IF(HR_Data[[#This Row],[Age]]&lt;=55,"46-55","56+"))))</f>
        <v>36-45</v>
      </c>
      <c r="AK1406" s="11" t="str">
        <f>IF(HR_Data[[#This Row],[MonthlyIncome]]&lt;3000,"Low",IF(HR_Data[[#This Row],[MonthlyIncome]]&lt;6000,"Medium",IF(HR_Data[[#This Row],[MonthlyIncome]]&lt;10000,"High","Very High")))</f>
        <v>Medium</v>
      </c>
      <c r="AL140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406" t="str">
        <f>IF(HR_Data[[#This Row],[TotalWorkingYears]]&lt;=5,"Junior",IF(HR_Data[[#This Row],[TotalWorkingYears]]&lt;=15,"Mid-Level","Senior"))</f>
        <v>Senior</v>
      </c>
      <c r="AN1406" s="11" t="str">
        <f>IF(HR_Data[[#This Row],[PerformanceRating]]=3,"Standard","Excellent")</f>
        <v>Standard</v>
      </c>
      <c r="AO1406" s="11" t="str">
        <f>IF(HR_Data[[#This Row],[JobSatisfaction]]&lt;=2,"Low","High")</f>
        <v>High</v>
      </c>
      <c r="AP1406" s="11" t="str">
        <f>IF(AND(HR_Data[[#This Row],[OverTime]]="Yes",HR_Data[[#This Row],[JobSatisfaction]]&lt;=2,HR_Data[[#This Row],[YearsAtCompany]]&lt;=2),"High Risk","Normal")</f>
        <v>Normal</v>
      </c>
    </row>
    <row r="1407" spans="1:42" x14ac:dyDescent="0.25">
      <c r="A1407" s="6">
        <v>31</v>
      </c>
      <c r="B1407" s="4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s="11" t="str">
        <f>IF(HR_Data[[#This Row],[Age]]&lt;=25,"18-25",IF(HR_Data[[#This Row],[Age]]&lt;=35,"26-35",IF(HR_Data[[#This Row],[Age]]&lt;=45,"36-45",IF(HR_Data[[#This Row],[Age]]&lt;=55,"46-55","56+"))))</f>
        <v>26-35</v>
      </c>
      <c r="AK1407" s="11" t="str">
        <f>IF(HR_Data[[#This Row],[MonthlyIncome]]&lt;3000,"Low",IF(HR_Data[[#This Row],[MonthlyIncome]]&lt;6000,"Medium",IF(HR_Data[[#This Row],[MonthlyIncome]]&lt;10000,"High","Very High")))</f>
        <v>Very High</v>
      </c>
      <c r="AL1407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407" t="str">
        <f>IF(HR_Data[[#This Row],[TotalWorkingYears]]&lt;=5,"Junior",IF(HR_Data[[#This Row],[TotalWorkingYears]]&lt;=15,"Mid-Level","Senior"))</f>
        <v>Mid-Level</v>
      </c>
      <c r="AN1407" s="11" t="str">
        <f>IF(HR_Data[[#This Row],[PerformanceRating]]=3,"Standard","Excellent")</f>
        <v>Excellent</v>
      </c>
      <c r="AO1407" s="11" t="str">
        <f>IF(HR_Data[[#This Row],[JobSatisfaction]]&lt;=2,"Low","High")</f>
        <v>High</v>
      </c>
      <c r="AP1407" s="11" t="str">
        <f>IF(AND(HR_Data[[#This Row],[OverTime]]="Yes",HR_Data[[#This Row],[JobSatisfaction]]&lt;=2,HR_Data[[#This Row],[YearsAtCompany]]&lt;=2),"High Risk","Normal")</f>
        <v>Normal</v>
      </c>
    </row>
    <row r="1408" spans="1:42" x14ac:dyDescent="0.25">
      <c r="A1408" s="6">
        <v>54</v>
      </c>
      <c r="B1408" s="4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s="11" t="str">
        <f>IF(HR_Data[[#This Row],[Age]]&lt;=25,"18-25",IF(HR_Data[[#This Row],[Age]]&lt;=35,"26-35",IF(HR_Data[[#This Row],[Age]]&lt;=45,"36-45",IF(HR_Data[[#This Row],[Age]]&lt;=55,"46-55","56+"))))</f>
        <v>46-55</v>
      </c>
      <c r="AK1408" s="11" t="str">
        <f>IF(HR_Data[[#This Row],[MonthlyIncome]]&lt;3000,"Low",IF(HR_Data[[#This Row],[MonthlyIncome]]&lt;6000,"Medium",IF(HR_Data[[#This Row],[MonthlyIncome]]&lt;10000,"High","Very High")))</f>
        <v>Medium</v>
      </c>
      <c r="AL1408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08" t="str">
        <f>IF(HR_Data[[#This Row],[TotalWorkingYears]]&lt;=5,"Junior",IF(HR_Data[[#This Row],[TotalWorkingYears]]&lt;=15,"Mid-Level","Senior"))</f>
        <v>Mid-Level</v>
      </c>
      <c r="AN1408" s="11" t="str">
        <f>IF(HR_Data[[#This Row],[PerformanceRating]]=3,"Standard","Excellent")</f>
        <v>Standard</v>
      </c>
      <c r="AO1408" s="11" t="str">
        <f>IF(HR_Data[[#This Row],[JobSatisfaction]]&lt;=2,"Low","High")</f>
        <v>Low</v>
      </c>
      <c r="AP1408" s="11" t="str">
        <f>IF(AND(HR_Data[[#This Row],[OverTime]]="Yes",HR_Data[[#This Row],[JobSatisfaction]]&lt;=2,HR_Data[[#This Row],[YearsAtCompany]]&lt;=2),"High Risk","Normal")</f>
        <v>Normal</v>
      </c>
    </row>
    <row r="1409" spans="1:42" x14ac:dyDescent="0.25">
      <c r="A1409" s="6">
        <v>24</v>
      </c>
      <c r="B1409" s="4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s="11" t="str">
        <f>IF(HR_Data[[#This Row],[Age]]&lt;=25,"18-25",IF(HR_Data[[#This Row],[Age]]&lt;=35,"26-35",IF(HR_Data[[#This Row],[Age]]&lt;=45,"36-45",IF(HR_Data[[#This Row],[Age]]&lt;=55,"46-55","56+"))))</f>
        <v>18-25</v>
      </c>
      <c r="AK1409" s="11" t="str">
        <f>IF(HR_Data[[#This Row],[MonthlyIncome]]&lt;3000,"Low",IF(HR_Data[[#This Row],[MonthlyIncome]]&lt;6000,"Medium",IF(HR_Data[[#This Row],[MonthlyIncome]]&lt;10000,"High","Very High")))</f>
        <v>Medium</v>
      </c>
      <c r="AL140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09" t="str">
        <f>IF(HR_Data[[#This Row],[TotalWorkingYears]]&lt;=5,"Junior",IF(HR_Data[[#This Row],[TotalWorkingYears]]&lt;=15,"Mid-Level","Senior"))</f>
        <v>Junior</v>
      </c>
      <c r="AN1409" s="11" t="str">
        <f>IF(HR_Data[[#This Row],[PerformanceRating]]=3,"Standard","Excellent")</f>
        <v>Standard</v>
      </c>
      <c r="AO1409" s="11" t="str">
        <f>IF(HR_Data[[#This Row],[JobSatisfaction]]&lt;=2,"Low","High")</f>
        <v>High</v>
      </c>
      <c r="AP1409" s="11" t="str">
        <f>IF(AND(HR_Data[[#This Row],[OverTime]]="Yes",HR_Data[[#This Row],[JobSatisfaction]]&lt;=2,HR_Data[[#This Row],[YearsAtCompany]]&lt;=2),"High Risk","Normal")</f>
        <v>Normal</v>
      </c>
    </row>
    <row r="1410" spans="1:42" x14ac:dyDescent="0.25">
      <c r="A1410" s="6">
        <v>23</v>
      </c>
      <c r="B1410" s="4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s="11" t="str">
        <f>IF(HR_Data[[#This Row],[Age]]&lt;=25,"18-25",IF(HR_Data[[#This Row],[Age]]&lt;=35,"26-35",IF(HR_Data[[#This Row],[Age]]&lt;=45,"36-45",IF(HR_Data[[#This Row],[Age]]&lt;=55,"46-55","56+"))))</f>
        <v>18-25</v>
      </c>
      <c r="AK1410" s="11" t="str">
        <f>IF(HR_Data[[#This Row],[MonthlyIncome]]&lt;3000,"Low",IF(HR_Data[[#This Row],[MonthlyIncome]]&lt;6000,"Medium",IF(HR_Data[[#This Row],[MonthlyIncome]]&lt;10000,"High","Very High")))</f>
        <v>Low</v>
      </c>
      <c r="AL141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10" t="str">
        <f>IF(HR_Data[[#This Row],[TotalWorkingYears]]&lt;=5,"Junior",IF(HR_Data[[#This Row],[TotalWorkingYears]]&lt;=15,"Mid-Level","Senior"))</f>
        <v>Junior</v>
      </c>
      <c r="AN1410" s="11" t="str">
        <f>IF(HR_Data[[#This Row],[PerformanceRating]]=3,"Standard","Excellent")</f>
        <v>Standard</v>
      </c>
      <c r="AO1410" s="11" t="str">
        <f>IF(HR_Data[[#This Row],[JobSatisfaction]]&lt;=2,"Low","High")</f>
        <v>High</v>
      </c>
      <c r="AP1410" s="11" t="str">
        <f>IF(AND(HR_Data[[#This Row],[OverTime]]="Yes",HR_Data[[#This Row],[JobSatisfaction]]&lt;=2,HR_Data[[#This Row],[YearsAtCompany]]&lt;=2),"High Risk","Normal")</f>
        <v>Normal</v>
      </c>
    </row>
    <row r="1411" spans="1:42" x14ac:dyDescent="0.25">
      <c r="A1411" s="6">
        <v>40</v>
      </c>
      <c r="B1411" s="4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s="11" t="str">
        <f>IF(HR_Data[[#This Row],[Age]]&lt;=25,"18-25",IF(HR_Data[[#This Row],[Age]]&lt;=35,"26-35",IF(HR_Data[[#This Row],[Age]]&lt;=45,"36-45",IF(HR_Data[[#This Row],[Age]]&lt;=55,"46-55","56+"))))</f>
        <v>36-45</v>
      </c>
      <c r="AK1411" s="11" t="str">
        <f>IF(HR_Data[[#This Row],[MonthlyIncome]]&lt;3000,"Low",IF(HR_Data[[#This Row],[MonthlyIncome]]&lt;6000,"Medium",IF(HR_Data[[#This Row],[MonthlyIncome]]&lt;10000,"High","Very High")))</f>
        <v>High</v>
      </c>
      <c r="AL141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11" t="str">
        <f>IF(HR_Data[[#This Row],[TotalWorkingYears]]&lt;=5,"Junior",IF(HR_Data[[#This Row],[TotalWorkingYears]]&lt;=15,"Mid-Level","Senior"))</f>
        <v>Mid-Level</v>
      </c>
      <c r="AN1411" s="11" t="str">
        <f>IF(HR_Data[[#This Row],[PerformanceRating]]=3,"Standard","Excellent")</f>
        <v>Standard</v>
      </c>
      <c r="AO1411" s="11" t="str">
        <f>IF(HR_Data[[#This Row],[JobSatisfaction]]&lt;=2,"Low","High")</f>
        <v>High</v>
      </c>
      <c r="AP1411" s="11" t="str">
        <f>IF(AND(HR_Data[[#This Row],[OverTime]]="Yes",HR_Data[[#This Row],[JobSatisfaction]]&lt;=2,HR_Data[[#This Row],[YearsAtCompany]]&lt;=2),"High Risk","Normal")</f>
        <v>Normal</v>
      </c>
    </row>
    <row r="1412" spans="1:42" x14ac:dyDescent="0.25">
      <c r="A1412" s="6">
        <v>40</v>
      </c>
      <c r="B1412" s="4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s="11" t="str">
        <f>IF(HR_Data[[#This Row],[Age]]&lt;=25,"18-25",IF(HR_Data[[#This Row],[Age]]&lt;=35,"26-35",IF(HR_Data[[#This Row],[Age]]&lt;=45,"36-45",IF(HR_Data[[#This Row],[Age]]&lt;=55,"46-55","56+"))))</f>
        <v>36-45</v>
      </c>
      <c r="AK1412" s="11" t="str">
        <f>IF(HR_Data[[#This Row],[MonthlyIncome]]&lt;3000,"Low",IF(HR_Data[[#This Row],[MonthlyIncome]]&lt;6000,"Medium",IF(HR_Data[[#This Row],[MonthlyIncome]]&lt;10000,"High","Very High")))</f>
        <v>Medium</v>
      </c>
      <c r="AL1412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412" t="str">
        <f>IF(HR_Data[[#This Row],[TotalWorkingYears]]&lt;=5,"Junior",IF(HR_Data[[#This Row],[TotalWorkingYears]]&lt;=15,"Mid-Level","Senior"))</f>
        <v>Mid-Level</v>
      </c>
      <c r="AN1412" s="11" t="str">
        <f>IF(HR_Data[[#This Row],[PerformanceRating]]=3,"Standard","Excellent")</f>
        <v>Standard</v>
      </c>
      <c r="AO1412" s="11" t="str">
        <f>IF(HR_Data[[#This Row],[JobSatisfaction]]&lt;=2,"Low","High")</f>
        <v>Low</v>
      </c>
      <c r="AP1412" s="11" t="str">
        <f>IF(AND(HR_Data[[#This Row],[OverTime]]="Yes",HR_Data[[#This Row],[JobSatisfaction]]&lt;=2,HR_Data[[#This Row],[YearsAtCompany]]&lt;=2),"High Risk","Normal")</f>
        <v>Normal</v>
      </c>
    </row>
    <row r="1413" spans="1:42" x14ac:dyDescent="0.25">
      <c r="A1413" s="6">
        <v>25</v>
      </c>
      <c r="B1413" s="4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s="11" t="str">
        <f>IF(HR_Data[[#This Row],[Age]]&lt;=25,"18-25",IF(HR_Data[[#This Row],[Age]]&lt;=35,"26-35",IF(HR_Data[[#This Row],[Age]]&lt;=45,"36-45",IF(HR_Data[[#This Row],[Age]]&lt;=55,"46-55","56+"))))</f>
        <v>18-25</v>
      </c>
      <c r="AK1413" s="11" t="str">
        <f>IF(HR_Data[[#This Row],[MonthlyIncome]]&lt;3000,"Low",IF(HR_Data[[#This Row],[MonthlyIncome]]&lt;6000,"Medium",IF(HR_Data[[#This Row],[MonthlyIncome]]&lt;10000,"High","Very High")))</f>
        <v>Low</v>
      </c>
      <c r="AL1413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13" t="str">
        <f>IF(HR_Data[[#This Row],[TotalWorkingYears]]&lt;=5,"Junior",IF(HR_Data[[#This Row],[TotalWorkingYears]]&lt;=15,"Mid-Level","Senior"))</f>
        <v>Mid-Level</v>
      </c>
      <c r="AN1413" s="11" t="str">
        <f>IF(HR_Data[[#This Row],[PerformanceRating]]=3,"Standard","Excellent")</f>
        <v>Standard</v>
      </c>
      <c r="AO1413" s="11" t="str">
        <f>IF(HR_Data[[#This Row],[JobSatisfaction]]&lt;=2,"Low","High")</f>
        <v>Low</v>
      </c>
      <c r="AP1413" s="11" t="str">
        <f>IF(AND(HR_Data[[#This Row],[OverTime]]="Yes",HR_Data[[#This Row],[JobSatisfaction]]&lt;=2,HR_Data[[#This Row],[YearsAtCompany]]&lt;=2),"High Risk","Normal")</f>
        <v>Normal</v>
      </c>
    </row>
    <row r="1414" spans="1:42" x14ac:dyDescent="0.25">
      <c r="A1414" s="6">
        <v>30</v>
      </c>
      <c r="B1414" s="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s="11" t="str">
        <f>IF(HR_Data[[#This Row],[Age]]&lt;=25,"18-25",IF(HR_Data[[#This Row],[Age]]&lt;=35,"26-35",IF(HR_Data[[#This Row],[Age]]&lt;=45,"36-45",IF(HR_Data[[#This Row],[Age]]&lt;=55,"46-55","56+"))))</f>
        <v>26-35</v>
      </c>
      <c r="AK1414" s="11" t="str">
        <f>IF(HR_Data[[#This Row],[MonthlyIncome]]&lt;3000,"Low",IF(HR_Data[[#This Row],[MonthlyIncome]]&lt;6000,"Medium",IF(HR_Data[[#This Row],[MonthlyIncome]]&lt;10000,"High","Very High")))</f>
        <v>Medium</v>
      </c>
      <c r="AL1414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414" t="str">
        <f>IF(HR_Data[[#This Row],[TotalWorkingYears]]&lt;=5,"Junior",IF(HR_Data[[#This Row],[TotalWorkingYears]]&lt;=15,"Mid-Level","Senior"))</f>
        <v>Mid-Level</v>
      </c>
      <c r="AN1414" s="11" t="str">
        <f>IF(HR_Data[[#This Row],[PerformanceRating]]=3,"Standard","Excellent")</f>
        <v>Standard</v>
      </c>
      <c r="AO1414" s="11" t="str">
        <f>IF(HR_Data[[#This Row],[JobSatisfaction]]&lt;=2,"Low","High")</f>
        <v>Low</v>
      </c>
      <c r="AP1414" s="11" t="str">
        <f>IF(AND(HR_Data[[#This Row],[OverTime]]="Yes",HR_Data[[#This Row],[JobSatisfaction]]&lt;=2,HR_Data[[#This Row],[YearsAtCompany]]&lt;=2),"High Risk","Normal")</f>
        <v>Normal</v>
      </c>
    </row>
    <row r="1415" spans="1:42" x14ac:dyDescent="0.25">
      <c r="A1415" s="6">
        <v>25</v>
      </c>
      <c r="B1415" s="4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s="11" t="str">
        <f>IF(HR_Data[[#This Row],[Age]]&lt;=25,"18-25",IF(HR_Data[[#This Row],[Age]]&lt;=35,"26-35",IF(HR_Data[[#This Row],[Age]]&lt;=45,"36-45",IF(HR_Data[[#This Row],[Age]]&lt;=55,"46-55","56+"))))</f>
        <v>18-25</v>
      </c>
      <c r="AK1415" s="11" t="str">
        <f>IF(HR_Data[[#This Row],[MonthlyIncome]]&lt;3000,"Low",IF(HR_Data[[#This Row],[MonthlyIncome]]&lt;6000,"Medium",IF(HR_Data[[#This Row],[MonthlyIncome]]&lt;10000,"High","Very High")))</f>
        <v>Medium</v>
      </c>
      <c r="AL1415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15" t="str">
        <f>IF(HR_Data[[#This Row],[TotalWorkingYears]]&lt;=5,"Junior",IF(HR_Data[[#This Row],[TotalWorkingYears]]&lt;=15,"Mid-Level","Senior"))</f>
        <v>Mid-Level</v>
      </c>
      <c r="AN1415" s="11" t="str">
        <f>IF(HR_Data[[#This Row],[PerformanceRating]]=3,"Standard","Excellent")</f>
        <v>Standard</v>
      </c>
      <c r="AO1415" s="11" t="str">
        <f>IF(HR_Data[[#This Row],[JobSatisfaction]]&lt;=2,"Low","High")</f>
        <v>High</v>
      </c>
      <c r="AP1415" s="11" t="str">
        <f>IF(AND(HR_Data[[#This Row],[OverTime]]="Yes",HR_Data[[#This Row],[JobSatisfaction]]&lt;=2,HR_Data[[#This Row],[YearsAtCompany]]&lt;=2),"High Risk","Normal")</f>
        <v>Normal</v>
      </c>
    </row>
    <row r="1416" spans="1:42" x14ac:dyDescent="0.25">
      <c r="A1416" s="6">
        <v>47</v>
      </c>
      <c r="B1416" s="4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s="11" t="str">
        <f>IF(HR_Data[[#This Row],[Age]]&lt;=25,"18-25",IF(HR_Data[[#This Row],[Age]]&lt;=35,"26-35",IF(HR_Data[[#This Row],[Age]]&lt;=45,"36-45",IF(HR_Data[[#This Row],[Age]]&lt;=55,"46-55","56+"))))</f>
        <v>46-55</v>
      </c>
      <c r="AK1416" s="11" t="str">
        <f>IF(HR_Data[[#This Row],[MonthlyIncome]]&lt;3000,"Low",IF(HR_Data[[#This Row],[MonthlyIncome]]&lt;6000,"Medium",IF(HR_Data[[#This Row],[MonthlyIncome]]&lt;10000,"High","Very High")))</f>
        <v>High</v>
      </c>
      <c r="AL1416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416" t="str">
        <f>IF(HR_Data[[#This Row],[TotalWorkingYears]]&lt;=5,"Junior",IF(HR_Data[[#This Row],[TotalWorkingYears]]&lt;=15,"Mid-Level","Senior"))</f>
        <v>Senior</v>
      </c>
      <c r="AN1416" s="11" t="str">
        <f>IF(HR_Data[[#This Row],[PerformanceRating]]=3,"Standard","Excellent")</f>
        <v>Excellent</v>
      </c>
      <c r="AO1416" s="11" t="str">
        <f>IF(HR_Data[[#This Row],[JobSatisfaction]]&lt;=2,"Low","High")</f>
        <v>High</v>
      </c>
      <c r="AP1416" s="11" t="str">
        <f>IF(AND(HR_Data[[#This Row],[OverTime]]="Yes",HR_Data[[#This Row],[JobSatisfaction]]&lt;=2,HR_Data[[#This Row],[YearsAtCompany]]&lt;=2),"High Risk","Normal")</f>
        <v>Normal</v>
      </c>
    </row>
    <row r="1417" spans="1:42" x14ac:dyDescent="0.25">
      <c r="A1417" s="6">
        <v>33</v>
      </c>
      <c r="B1417" s="4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s="11" t="str">
        <f>IF(HR_Data[[#This Row],[Age]]&lt;=25,"18-25",IF(HR_Data[[#This Row],[Age]]&lt;=35,"26-35",IF(HR_Data[[#This Row],[Age]]&lt;=45,"36-45",IF(HR_Data[[#This Row],[Age]]&lt;=55,"46-55","56+"))))</f>
        <v>26-35</v>
      </c>
      <c r="AK1417" s="11" t="str">
        <f>IF(HR_Data[[#This Row],[MonthlyIncome]]&lt;3000,"Low",IF(HR_Data[[#This Row],[MonthlyIncome]]&lt;6000,"Medium",IF(HR_Data[[#This Row],[MonthlyIncome]]&lt;10000,"High","Very High")))</f>
        <v>Low</v>
      </c>
      <c r="AL141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17" t="str">
        <f>IF(HR_Data[[#This Row],[TotalWorkingYears]]&lt;=5,"Junior",IF(HR_Data[[#This Row],[TotalWorkingYears]]&lt;=15,"Mid-Level","Senior"))</f>
        <v>Junior</v>
      </c>
      <c r="AN1417" s="11" t="str">
        <f>IF(HR_Data[[#This Row],[PerformanceRating]]=3,"Standard","Excellent")</f>
        <v>Standard</v>
      </c>
      <c r="AO1417" s="11" t="str">
        <f>IF(HR_Data[[#This Row],[JobSatisfaction]]&lt;=2,"Low","High")</f>
        <v>High</v>
      </c>
      <c r="AP1417" s="11" t="str">
        <f>IF(AND(HR_Data[[#This Row],[OverTime]]="Yes",HR_Data[[#This Row],[JobSatisfaction]]&lt;=2,HR_Data[[#This Row],[YearsAtCompany]]&lt;=2),"High Risk","Normal")</f>
        <v>Normal</v>
      </c>
    </row>
    <row r="1418" spans="1:42" x14ac:dyDescent="0.25">
      <c r="A1418" s="6">
        <v>38</v>
      </c>
      <c r="B1418" s="4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s="11" t="str">
        <f>IF(HR_Data[[#This Row],[Age]]&lt;=25,"18-25",IF(HR_Data[[#This Row],[Age]]&lt;=35,"26-35",IF(HR_Data[[#This Row],[Age]]&lt;=45,"36-45",IF(HR_Data[[#This Row],[Age]]&lt;=55,"46-55","56+"))))</f>
        <v>36-45</v>
      </c>
      <c r="AK1418" s="11" t="str">
        <f>IF(HR_Data[[#This Row],[MonthlyIncome]]&lt;3000,"Low",IF(HR_Data[[#This Row],[MonthlyIncome]]&lt;6000,"Medium",IF(HR_Data[[#This Row],[MonthlyIncome]]&lt;10000,"High","Very High")))</f>
        <v>Medium</v>
      </c>
      <c r="AL1418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418" t="str">
        <f>IF(HR_Data[[#This Row],[TotalWorkingYears]]&lt;=5,"Junior",IF(HR_Data[[#This Row],[TotalWorkingYears]]&lt;=15,"Mid-Level","Senior"))</f>
        <v>Senior</v>
      </c>
      <c r="AN1418" s="11" t="str">
        <f>IF(HR_Data[[#This Row],[PerformanceRating]]=3,"Standard","Excellent")</f>
        <v>Standard</v>
      </c>
      <c r="AO1418" s="11" t="str">
        <f>IF(HR_Data[[#This Row],[JobSatisfaction]]&lt;=2,"Low","High")</f>
        <v>Low</v>
      </c>
      <c r="AP1418" s="11" t="str">
        <f>IF(AND(HR_Data[[#This Row],[OverTime]]="Yes",HR_Data[[#This Row],[JobSatisfaction]]&lt;=2,HR_Data[[#This Row],[YearsAtCompany]]&lt;=2),"High Risk","Normal")</f>
        <v>Normal</v>
      </c>
    </row>
    <row r="1419" spans="1:42" x14ac:dyDescent="0.25">
      <c r="A1419" s="6">
        <v>31</v>
      </c>
      <c r="B1419" s="4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s="11" t="str">
        <f>IF(HR_Data[[#This Row],[Age]]&lt;=25,"18-25",IF(HR_Data[[#This Row],[Age]]&lt;=35,"26-35",IF(HR_Data[[#This Row],[Age]]&lt;=45,"36-45",IF(HR_Data[[#This Row],[Age]]&lt;=55,"46-55","56+"))))</f>
        <v>26-35</v>
      </c>
      <c r="AK1419" s="11" t="str">
        <f>IF(HR_Data[[#This Row],[MonthlyIncome]]&lt;3000,"Low",IF(HR_Data[[#This Row],[MonthlyIncome]]&lt;6000,"Medium",IF(HR_Data[[#This Row],[MonthlyIncome]]&lt;10000,"High","Very High")))</f>
        <v>Medium</v>
      </c>
      <c r="AL141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19" t="str">
        <f>IF(HR_Data[[#This Row],[TotalWorkingYears]]&lt;=5,"Junior",IF(HR_Data[[#This Row],[TotalWorkingYears]]&lt;=15,"Mid-Level","Senior"))</f>
        <v>Junior</v>
      </c>
      <c r="AN1419" s="11" t="str">
        <f>IF(HR_Data[[#This Row],[PerformanceRating]]=3,"Standard","Excellent")</f>
        <v>Standard</v>
      </c>
      <c r="AO1419" s="11" t="str">
        <f>IF(HR_Data[[#This Row],[JobSatisfaction]]&lt;=2,"Low","High")</f>
        <v>High</v>
      </c>
      <c r="AP1419" s="11" t="str">
        <f>IF(AND(HR_Data[[#This Row],[OverTime]]="Yes",HR_Data[[#This Row],[JobSatisfaction]]&lt;=2,HR_Data[[#This Row],[YearsAtCompany]]&lt;=2),"High Risk","Normal")</f>
        <v>Normal</v>
      </c>
    </row>
    <row r="1420" spans="1:42" x14ac:dyDescent="0.25">
      <c r="A1420" s="6">
        <v>38</v>
      </c>
      <c r="B1420" s="4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s="11" t="str">
        <f>IF(HR_Data[[#This Row],[Age]]&lt;=25,"18-25",IF(HR_Data[[#This Row],[Age]]&lt;=35,"26-35",IF(HR_Data[[#This Row],[Age]]&lt;=45,"36-45",IF(HR_Data[[#This Row],[Age]]&lt;=55,"46-55","56+"))))</f>
        <v>36-45</v>
      </c>
      <c r="AK1420" s="11" t="str">
        <f>IF(HR_Data[[#This Row],[MonthlyIncome]]&lt;3000,"Low",IF(HR_Data[[#This Row],[MonthlyIncome]]&lt;6000,"Medium",IF(HR_Data[[#This Row],[MonthlyIncome]]&lt;10000,"High","Very High")))</f>
        <v>Medium</v>
      </c>
      <c r="AL142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20" t="str">
        <f>IF(HR_Data[[#This Row],[TotalWorkingYears]]&lt;=5,"Junior",IF(HR_Data[[#This Row],[TotalWorkingYears]]&lt;=15,"Mid-Level","Senior"))</f>
        <v>Mid-Level</v>
      </c>
      <c r="AN1420" s="11" t="str">
        <f>IF(HR_Data[[#This Row],[PerformanceRating]]=3,"Standard","Excellent")</f>
        <v>Standard</v>
      </c>
      <c r="AO1420" s="11" t="str">
        <f>IF(HR_Data[[#This Row],[JobSatisfaction]]&lt;=2,"Low","High")</f>
        <v>High</v>
      </c>
      <c r="AP1420" s="11" t="str">
        <f>IF(AND(HR_Data[[#This Row],[OverTime]]="Yes",HR_Data[[#This Row],[JobSatisfaction]]&lt;=2,HR_Data[[#This Row],[YearsAtCompany]]&lt;=2),"High Risk","Normal")</f>
        <v>Normal</v>
      </c>
    </row>
    <row r="1421" spans="1:42" x14ac:dyDescent="0.25">
      <c r="A1421" s="6">
        <v>42</v>
      </c>
      <c r="B1421" s="4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s="11" t="str">
        <f>IF(HR_Data[[#This Row],[Age]]&lt;=25,"18-25",IF(HR_Data[[#This Row],[Age]]&lt;=35,"26-35",IF(HR_Data[[#This Row],[Age]]&lt;=45,"36-45",IF(HR_Data[[#This Row],[Age]]&lt;=55,"46-55","56+"))))</f>
        <v>36-45</v>
      </c>
      <c r="AK1421" s="11" t="str">
        <f>IF(HR_Data[[#This Row],[MonthlyIncome]]&lt;3000,"Low",IF(HR_Data[[#This Row],[MonthlyIncome]]&lt;6000,"Medium",IF(HR_Data[[#This Row],[MonthlyIncome]]&lt;10000,"High","Very High")))</f>
        <v>Medium</v>
      </c>
      <c r="AL142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21" t="str">
        <f>IF(HR_Data[[#This Row],[TotalWorkingYears]]&lt;=5,"Junior",IF(HR_Data[[#This Row],[TotalWorkingYears]]&lt;=15,"Mid-Level","Senior"))</f>
        <v>Mid-Level</v>
      </c>
      <c r="AN1421" s="11" t="str">
        <f>IF(HR_Data[[#This Row],[PerformanceRating]]=3,"Standard","Excellent")</f>
        <v>Standard</v>
      </c>
      <c r="AO1421" s="11" t="str">
        <f>IF(HR_Data[[#This Row],[JobSatisfaction]]&lt;=2,"Low","High")</f>
        <v>Low</v>
      </c>
      <c r="AP1421" s="11" t="str">
        <f>IF(AND(HR_Data[[#This Row],[OverTime]]="Yes",HR_Data[[#This Row],[JobSatisfaction]]&lt;=2,HR_Data[[#This Row],[YearsAtCompany]]&lt;=2),"High Risk","Normal")</f>
        <v>Normal</v>
      </c>
    </row>
    <row r="1422" spans="1:42" x14ac:dyDescent="0.25">
      <c r="A1422" s="6">
        <v>41</v>
      </c>
      <c r="B1422" s="4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s="11" t="str">
        <f>IF(HR_Data[[#This Row],[Age]]&lt;=25,"18-25",IF(HR_Data[[#This Row],[Age]]&lt;=35,"26-35",IF(HR_Data[[#This Row],[Age]]&lt;=45,"36-45",IF(HR_Data[[#This Row],[Age]]&lt;=55,"46-55","56+"))))</f>
        <v>36-45</v>
      </c>
      <c r="AK1422" s="11" t="str">
        <f>IF(HR_Data[[#This Row],[MonthlyIncome]]&lt;3000,"Low",IF(HR_Data[[#This Row],[MonthlyIncome]]&lt;6000,"Medium",IF(HR_Data[[#This Row],[MonthlyIncome]]&lt;10000,"High","Very High")))</f>
        <v>Low</v>
      </c>
      <c r="AL142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22" t="str">
        <f>IF(HR_Data[[#This Row],[TotalWorkingYears]]&lt;=5,"Junior",IF(HR_Data[[#This Row],[TotalWorkingYears]]&lt;=15,"Mid-Level","Senior"))</f>
        <v>Mid-Level</v>
      </c>
      <c r="AN1422" s="11" t="str">
        <f>IF(HR_Data[[#This Row],[PerformanceRating]]=3,"Standard","Excellent")</f>
        <v>Excellent</v>
      </c>
      <c r="AO1422" s="11" t="str">
        <f>IF(HR_Data[[#This Row],[JobSatisfaction]]&lt;=2,"Low","High")</f>
        <v>High</v>
      </c>
      <c r="AP1422" s="11" t="str">
        <f>IF(AND(HR_Data[[#This Row],[OverTime]]="Yes",HR_Data[[#This Row],[JobSatisfaction]]&lt;=2,HR_Data[[#This Row],[YearsAtCompany]]&lt;=2),"High Risk","Normal")</f>
        <v>Normal</v>
      </c>
    </row>
    <row r="1423" spans="1:42" x14ac:dyDescent="0.25">
      <c r="A1423" s="6">
        <v>47</v>
      </c>
      <c r="B1423" s="4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s="11" t="str">
        <f>IF(HR_Data[[#This Row],[Age]]&lt;=25,"18-25",IF(HR_Data[[#This Row],[Age]]&lt;=35,"26-35",IF(HR_Data[[#This Row],[Age]]&lt;=45,"36-45",IF(HR_Data[[#This Row],[Age]]&lt;=55,"46-55","56+"))))</f>
        <v>46-55</v>
      </c>
      <c r="AK1423" s="11" t="str">
        <f>IF(HR_Data[[#This Row],[MonthlyIncome]]&lt;3000,"Low",IF(HR_Data[[#This Row],[MonthlyIncome]]&lt;6000,"Medium",IF(HR_Data[[#This Row],[MonthlyIncome]]&lt;10000,"High","Very High")))</f>
        <v>Very High</v>
      </c>
      <c r="AL1423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423" t="str">
        <f>IF(HR_Data[[#This Row],[TotalWorkingYears]]&lt;=5,"Junior",IF(HR_Data[[#This Row],[TotalWorkingYears]]&lt;=15,"Mid-Level","Senior"))</f>
        <v>Mid-Level</v>
      </c>
      <c r="AN1423" s="11" t="str">
        <f>IF(HR_Data[[#This Row],[PerformanceRating]]=3,"Standard","Excellent")</f>
        <v>Standard</v>
      </c>
      <c r="AO1423" s="11" t="str">
        <f>IF(HR_Data[[#This Row],[JobSatisfaction]]&lt;=2,"Low","High")</f>
        <v>Low</v>
      </c>
      <c r="AP1423" s="11" t="str">
        <f>IF(AND(HR_Data[[#This Row],[OverTime]]="Yes",HR_Data[[#This Row],[JobSatisfaction]]&lt;=2,HR_Data[[#This Row],[YearsAtCompany]]&lt;=2),"High Risk","Normal")</f>
        <v>Normal</v>
      </c>
    </row>
    <row r="1424" spans="1:42" x14ac:dyDescent="0.25">
      <c r="A1424" s="6">
        <v>35</v>
      </c>
      <c r="B1424" s="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s="11" t="str">
        <f>IF(HR_Data[[#This Row],[Age]]&lt;=25,"18-25",IF(HR_Data[[#This Row],[Age]]&lt;=35,"26-35",IF(HR_Data[[#This Row],[Age]]&lt;=45,"36-45",IF(HR_Data[[#This Row],[Age]]&lt;=55,"46-55","56+"))))</f>
        <v>26-35</v>
      </c>
      <c r="AK1424" s="11" t="str">
        <f>IF(HR_Data[[#This Row],[MonthlyIncome]]&lt;3000,"Low",IF(HR_Data[[#This Row],[MonthlyIncome]]&lt;6000,"Medium",IF(HR_Data[[#This Row],[MonthlyIncome]]&lt;10000,"High","Very High")))</f>
        <v>Low</v>
      </c>
      <c r="AL142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24" t="str">
        <f>IF(HR_Data[[#This Row],[TotalWorkingYears]]&lt;=5,"Junior",IF(HR_Data[[#This Row],[TotalWorkingYears]]&lt;=15,"Mid-Level","Senior"))</f>
        <v>Junior</v>
      </c>
      <c r="AN1424" s="11" t="str">
        <f>IF(HR_Data[[#This Row],[PerformanceRating]]=3,"Standard","Excellent")</f>
        <v>Standard</v>
      </c>
      <c r="AO1424" s="11" t="str">
        <f>IF(HR_Data[[#This Row],[JobSatisfaction]]&lt;=2,"Low","High")</f>
        <v>High</v>
      </c>
      <c r="AP1424" s="11" t="str">
        <f>IF(AND(HR_Data[[#This Row],[OverTime]]="Yes",HR_Data[[#This Row],[JobSatisfaction]]&lt;=2,HR_Data[[#This Row],[YearsAtCompany]]&lt;=2),"High Risk","Normal")</f>
        <v>Normal</v>
      </c>
    </row>
    <row r="1425" spans="1:42" x14ac:dyDescent="0.25">
      <c r="A1425" s="6">
        <v>22</v>
      </c>
      <c r="B1425" s="4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s="11" t="str">
        <f>IF(HR_Data[[#This Row],[Age]]&lt;=25,"18-25",IF(HR_Data[[#This Row],[Age]]&lt;=35,"26-35",IF(HR_Data[[#This Row],[Age]]&lt;=45,"36-45",IF(HR_Data[[#This Row],[Age]]&lt;=55,"46-55","56+"))))</f>
        <v>18-25</v>
      </c>
      <c r="AK1425" s="11" t="str">
        <f>IF(HR_Data[[#This Row],[MonthlyIncome]]&lt;3000,"Low",IF(HR_Data[[#This Row],[MonthlyIncome]]&lt;6000,"Medium",IF(HR_Data[[#This Row],[MonthlyIncome]]&lt;10000,"High","Very High")))</f>
        <v>Medium</v>
      </c>
      <c r="AL142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25" t="str">
        <f>IF(HR_Data[[#This Row],[TotalWorkingYears]]&lt;=5,"Junior",IF(HR_Data[[#This Row],[TotalWorkingYears]]&lt;=15,"Mid-Level","Senior"))</f>
        <v>Junior</v>
      </c>
      <c r="AN1425" s="11" t="str">
        <f>IF(HR_Data[[#This Row],[PerformanceRating]]=3,"Standard","Excellent")</f>
        <v>Standard</v>
      </c>
      <c r="AO1425" s="11" t="str">
        <f>IF(HR_Data[[#This Row],[JobSatisfaction]]&lt;=2,"Low","High")</f>
        <v>High</v>
      </c>
      <c r="AP1425" s="11" t="str">
        <f>IF(AND(HR_Data[[#This Row],[OverTime]]="Yes",HR_Data[[#This Row],[JobSatisfaction]]&lt;=2,HR_Data[[#This Row],[YearsAtCompany]]&lt;=2),"High Risk","Normal")</f>
        <v>Normal</v>
      </c>
    </row>
    <row r="1426" spans="1:42" x14ac:dyDescent="0.25">
      <c r="A1426" s="6">
        <v>35</v>
      </c>
      <c r="B1426" s="4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s="11" t="str">
        <f>IF(HR_Data[[#This Row],[Age]]&lt;=25,"18-25",IF(HR_Data[[#This Row],[Age]]&lt;=35,"26-35",IF(HR_Data[[#This Row],[Age]]&lt;=45,"36-45",IF(HR_Data[[#This Row],[Age]]&lt;=55,"46-55","56+"))))</f>
        <v>26-35</v>
      </c>
      <c r="AK1426" s="11" t="str">
        <f>IF(HR_Data[[#This Row],[MonthlyIncome]]&lt;3000,"Low",IF(HR_Data[[#This Row],[MonthlyIncome]]&lt;6000,"Medium",IF(HR_Data[[#This Row],[MonthlyIncome]]&lt;10000,"High","Very High")))</f>
        <v>Medium</v>
      </c>
      <c r="AL142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26" t="str">
        <f>IF(HR_Data[[#This Row],[TotalWorkingYears]]&lt;=5,"Junior",IF(HR_Data[[#This Row],[TotalWorkingYears]]&lt;=15,"Mid-Level","Senior"))</f>
        <v>Mid-Level</v>
      </c>
      <c r="AN1426" s="11" t="str">
        <f>IF(HR_Data[[#This Row],[PerformanceRating]]=3,"Standard","Excellent")</f>
        <v>Standard</v>
      </c>
      <c r="AO1426" s="11" t="str">
        <f>IF(HR_Data[[#This Row],[JobSatisfaction]]&lt;=2,"Low","High")</f>
        <v>High</v>
      </c>
      <c r="AP1426" s="11" t="str">
        <f>IF(AND(HR_Data[[#This Row],[OverTime]]="Yes",HR_Data[[#This Row],[JobSatisfaction]]&lt;=2,HR_Data[[#This Row],[YearsAtCompany]]&lt;=2),"High Risk","Normal")</f>
        <v>Normal</v>
      </c>
    </row>
    <row r="1427" spans="1:42" x14ac:dyDescent="0.25">
      <c r="A1427" s="6">
        <v>33</v>
      </c>
      <c r="B1427" s="4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s="11" t="str">
        <f>IF(HR_Data[[#This Row],[Age]]&lt;=25,"18-25",IF(HR_Data[[#This Row],[Age]]&lt;=35,"26-35",IF(HR_Data[[#This Row],[Age]]&lt;=45,"36-45",IF(HR_Data[[#This Row],[Age]]&lt;=55,"46-55","56+"))))</f>
        <v>26-35</v>
      </c>
      <c r="AK1427" s="11" t="str">
        <f>IF(HR_Data[[#This Row],[MonthlyIncome]]&lt;3000,"Low",IF(HR_Data[[#This Row],[MonthlyIncome]]&lt;6000,"Medium",IF(HR_Data[[#This Row],[MonthlyIncome]]&lt;10000,"High","Very High")))</f>
        <v>Medium</v>
      </c>
      <c r="AL1427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27" t="str">
        <f>IF(HR_Data[[#This Row],[TotalWorkingYears]]&lt;=5,"Junior",IF(HR_Data[[#This Row],[TotalWorkingYears]]&lt;=15,"Mid-Level","Senior"))</f>
        <v>Mid-Level</v>
      </c>
      <c r="AN1427" s="11" t="str">
        <f>IF(HR_Data[[#This Row],[PerformanceRating]]=3,"Standard","Excellent")</f>
        <v>Standard</v>
      </c>
      <c r="AO1427" s="11" t="str">
        <f>IF(HR_Data[[#This Row],[JobSatisfaction]]&lt;=2,"Low","High")</f>
        <v>High</v>
      </c>
      <c r="AP1427" s="11" t="str">
        <f>IF(AND(HR_Data[[#This Row],[OverTime]]="Yes",HR_Data[[#This Row],[JobSatisfaction]]&lt;=2,HR_Data[[#This Row],[YearsAtCompany]]&lt;=2),"High Risk","Normal")</f>
        <v>Normal</v>
      </c>
    </row>
    <row r="1428" spans="1:42" x14ac:dyDescent="0.25">
      <c r="A1428" s="6">
        <v>32</v>
      </c>
      <c r="B1428" s="4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s="11" t="str">
        <f>IF(HR_Data[[#This Row],[Age]]&lt;=25,"18-25",IF(HR_Data[[#This Row],[Age]]&lt;=35,"26-35",IF(HR_Data[[#This Row],[Age]]&lt;=45,"36-45",IF(HR_Data[[#This Row],[Age]]&lt;=55,"46-55","56+"))))</f>
        <v>26-35</v>
      </c>
      <c r="AK1428" s="11" t="str">
        <f>IF(HR_Data[[#This Row],[MonthlyIncome]]&lt;3000,"Low",IF(HR_Data[[#This Row],[MonthlyIncome]]&lt;6000,"Medium",IF(HR_Data[[#This Row],[MonthlyIncome]]&lt;10000,"High","Very High")))</f>
        <v>Low</v>
      </c>
      <c r="AL142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28" t="str">
        <f>IF(HR_Data[[#This Row],[TotalWorkingYears]]&lt;=5,"Junior",IF(HR_Data[[#This Row],[TotalWorkingYears]]&lt;=15,"Mid-Level","Senior"))</f>
        <v>Mid-Level</v>
      </c>
      <c r="AN1428" s="11" t="str">
        <f>IF(HR_Data[[#This Row],[PerformanceRating]]=3,"Standard","Excellent")</f>
        <v>Standard</v>
      </c>
      <c r="AO1428" s="11" t="str">
        <f>IF(HR_Data[[#This Row],[JobSatisfaction]]&lt;=2,"Low","High")</f>
        <v>Low</v>
      </c>
      <c r="AP1428" s="11" t="str">
        <f>IF(AND(HR_Data[[#This Row],[OverTime]]="Yes",HR_Data[[#This Row],[JobSatisfaction]]&lt;=2,HR_Data[[#This Row],[YearsAtCompany]]&lt;=2),"High Risk","Normal")</f>
        <v>Normal</v>
      </c>
    </row>
    <row r="1429" spans="1:42" x14ac:dyDescent="0.25">
      <c r="A1429" s="6">
        <v>40</v>
      </c>
      <c r="B1429" s="4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s="11" t="str">
        <f>IF(HR_Data[[#This Row],[Age]]&lt;=25,"18-25",IF(HR_Data[[#This Row],[Age]]&lt;=35,"26-35",IF(HR_Data[[#This Row],[Age]]&lt;=45,"36-45",IF(HR_Data[[#This Row],[Age]]&lt;=55,"46-55","56+"))))</f>
        <v>36-45</v>
      </c>
      <c r="AK1429" s="11" t="str">
        <f>IF(HR_Data[[#This Row],[MonthlyIncome]]&lt;3000,"Low",IF(HR_Data[[#This Row],[MonthlyIncome]]&lt;6000,"Medium",IF(HR_Data[[#This Row],[MonthlyIncome]]&lt;10000,"High","Very High")))</f>
        <v>Low</v>
      </c>
      <c r="AL1429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29" t="str">
        <f>IF(HR_Data[[#This Row],[TotalWorkingYears]]&lt;=5,"Junior",IF(HR_Data[[#This Row],[TotalWorkingYears]]&lt;=15,"Mid-Level","Senior"))</f>
        <v>Mid-Level</v>
      </c>
      <c r="AN1429" s="11" t="str">
        <f>IF(HR_Data[[#This Row],[PerformanceRating]]=3,"Standard","Excellent")</f>
        <v>Standard</v>
      </c>
      <c r="AO1429" s="11" t="str">
        <f>IF(HR_Data[[#This Row],[JobSatisfaction]]&lt;=2,"Low","High")</f>
        <v>High</v>
      </c>
      <c r="AP1429" s="11" t="str">
        <f>IF(AND(HR_Data[[#This Row],[OverTime]]="Yes",HR_Data[[#This Row],[JobSatisfaction]]&lt;=2,HR_Data[[#This Row],[YearsAtCompany]]&lt;=2),"High Risk","Normal")</f>
        <v>Normal</v>
      </c>
    </row>
    <row r="1430" spans="1:42" x14ac:dyDescent="0.25">
      <c r="A1430" s="6">
        <v>32</v>
      </c>
      <c r="B1430" s="4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s="11" t="str">
        <f>IF(HR_Data[[#This Row],[Age]]&lt;=25,"18-25",IF(HR_Data[[#This Row],[Age]]&lt;=35,"26-35",IF(HR_Data[[#This Row],[Age]]&lt;=45,"36-45",IF(HR_Data[[#This Row],[Age]]&lt;=55,"46-55","56+"))))</f>
        <v>26-35</v>
      </c>
      <c r="AK1430" s="11" t="str">
        <f>IF(HR_Data[[#This Row],[MonthlyIncome]]&lt;3000,"Low",IF(HR_Data[[#This Row],[MonthlyIncome]]&lt;6000,"Medium",IF(HR_Data[[#This Row],[MonthlyIncome]]&lt;10000,"High","Very High")))</f>
        <v>Low</v>
      </c>
      <c r="AL143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30" t="str">
        <f>IF(HR_Data[[#This Row],[TotalWorkingYears]]&lt;=5,"Junior",IF(HR_Data[[#This Row],[TotalWorkingYears]]&lt;=15,"Mid-Level","Senior"))</f>
        <v>Junior</v>
      </c>
      <c r="AN1430" s="11" t="str">
        <f>IF(HR_Data[[#This Row],[PerformanceRating]]=3,"Standard","Excellent")</f>
        <v>Standard</v>
      </c>
      <c r="AO1430" s="11" t="str">
        <f>IF(HR_Data[[#This Row],[JobSatisfaction]]&lt;=2,"Low","High")</f>
        <v>Low</v>
      </c>
      <c r="AP1430" s="11" t="str">
        <f>IF(AND(HR_Data[[#This Row],[OverTime]]="Yes",HR_Data[[#This Row],[JobSatisfaction]]&lt;=2,HR_Data[[#This Row],[YearsAtCompany]]&lt;=2),"High Risk","Normal")</f>
        <v>Normal</v>
      </c>
    </row>
    <row r="1431" spans="1:42" x14ac:dyDescent="0.25">
      <c r="A1431" s="6">
        <v>39</v>
      </c>
      <c r="B1431" s="4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s="11" t="str">
        <f>IF(HR_Data[[#This Row],[Age]]&lt;=25,"18-25",IF(HR_Data[[#This Row],[Age]]&lt;=35,"26-35",IF(HR_Data[[#This Row],[Age]]&lt;=45,"36-45",IF(HR_Data[[#This Row],[Age]]&lt;=55,"46-55","56+"))))</f>
        <v>36-45</v>
      </c>
      <c r="AK1431" s="11" t="str">
        <f>IF(HR_Data[[#This Row],[MonthlyIncome]]&lt;3000,"Low",IF(HR_Data[[#This Row],[MonthlyIncome]]&lt;6000,"Medium",IF(HR_Data[[#This Row],[MonthlyIncome]]&lt;10000,"High","Very High")))</f>
        <v>Medium</v>
      </c>
      <c r="AL143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31" t="str">
        <f>IF(HR_Data[[#This Row],[TotalWorkingYears]]&lt;=5,"Junior",IF(HR_Data[[#This Row],[TotalWorkingYears]]&lt;=15,"Mid-Level","Senior"))</f>
        <v>Senior</v>
      </c>
      <c r="AN1431" s="11" t="str">
        <f>IF(HR_Data[[#This Row],[PerformanceRating]]=3,"Standard","Excellent")</f>
        <v>Standard</v>
      </c>
      <c r="AO1431" s="11" t="str">
        <f>IF(HR_Data[[#This Row],[JobSatisfaction]]&lt;=2,"Low","High")</f>
        <v>High</v>
      </c>
      <c r="AP1431" s="11" t="str">
        <f>IF(AND(HR_Data[[#This Row],[OverTime]]="Yes",HR_Data[[#This Row],[JobSatisfaction]]&lt;=2,HR_Data[[#This Row],[YearsAtCompany]]&lt;=2),"High Risk","Normal")</f>
        <v>Normal</v>
      </c>
    </row>
    <row r="1432" spans="1:42" x14ac:dyDescent="0.25">
      <c r="A1432" s="6">
        <v>38</v>
      </c>
      <c r="B1432" s="4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s="11" t="str">
        <f>IF(HR_Data[[#This Row],[Age]]&lt;=25,"18-25",IF(HR_Data[[#This Row],[Age]]&lt;=35,"26-35",IF(HR_Data[[#This Row],[Age]]&lt;=45,"36-45",IF(HR_Data[[#This Row],[Age]]&lt;=55,"46-55","56+"))))</f>
        <v>36-45</v>
      </c>
      <c r="AK1432" s="11" t="str">
        <f>IF(HR_Data[[#This Row],[MonthlyIncome]]&lt;3000,"Low",IF(HR_Data[[#This Row],[MonthlyIncome]]&lt;6000,"Medium",IF(HR_Data[[#This Row],[MonthlyIncome]]&lt;10000,"High","Very High")))</f>
        <v>Very High</v>
      </c>
      <c r="AL1432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432" t="str">
        <f>IF(HR_Data[[#This Row],[TotalWorkingYears]]&lt;=5,"Junior",IF(HR_Data[[#This Row],[TotalWorkingYears]]&lt;=15,"Mid-Level","Senior"))</f>
        <v>Senior</v>
      </c>
      <c r="AN1432" s="11" t="str">
        <f>IF(HR_Data[[#This Row],[PerformanceRating]]=3,"Standard","Excellent")</f>
        <v>Standard</v>
      </c>
      <c r="AO1432" s="11" t="str">
        <f>IF(HR_Data[[#This Row],[JobSatisfaction]]&lt;=2,"Low","High")</f>
        <v>High</v>
      </c>
      <c r="AP1432" s="11" t="str">
        <f>IF(AND(HR_Data[[#This Row],[OverTime]]="Yes",HR_Data[[#This Row],[JobSatisfaction]]&lt;=2,HR_Data[[#This Row],[YearsAtCompany]]&lt;=2),"High Risk","Normal")</f>
        <v>Normal</v>
      </c>
    </row>
    <row r="1433" spans="1:42" x14ac:dyDescent="0.25">
      <c r="A1433" s="6">
        <v>32</v>
      </c>
      <c r="B1433" s="4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s="11" t="str">
        <f>IF(HR_Data[[#This Row],[Age]]&lt;=25,"18-25",IF(HR_Data[[#This Row],[Age]]&lt;=35,"26-35",IF(HR_Data[[#This Row],[Age]]&lt;=45,"36-45",IF(HR_Data[[#This Row],[Age]]&lt;=55,"46-55","56+"))))</f>
        <v>26-35</v>
      </c>
      <c r="AK1433" s="11" t="str">
        <f>IF(HR_Data[[#This Row],[MonthlyIncome]]&lt;3000,"Low",IF(HR_Data[[#This Row],[MonthlyIncome]]&lt;6000,"Medium",IF(HR_Data[[#This Row],[MonthlyIncome]]&lt;10000,"High","Very High")))</f>
        <v>Very High</v>
      </c>
      <c r="AL1433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433" t="str">
        <f>IF(HR_Data[[#This Row],[TotalWorkingYears]]&lt;=5,"Junior",IF(HR_Data[[#This Row],[TotalWorkingYears]]&lt;=15,"Mid-Level","Senior"))</f>
        <v>Mid-Level</v>
      </c>
      <c r="AN1433" s="11" t="str">
        <f>IF(HR_Data[[#This Row],[PerformanceRating]]=3,"Standard","Excellent")</f>
        <v>Standard</v>
      </c>
      <c r="AO1433" s="11" t="str">
        <f>IF(HR_Data[[#This Row],[JobSatisfaction]]&lt;=2,"Low","High")</f>
        <v>High</v>
      </c>
      <c r="AP1433" s="11" t="str">
        <f>IF(AND(HR_Data[[#This Row],[OverTime]]="Yes",HR_Data[[#This Row],[JobSatisfaction]]&lt;=2,HR_Data[[#This Row],[YearsAtCompany]]&lt;=2),"High Risk","Normal")</f>
        <v>Normal</v>
      </c>
    </row>
    <row r="1434" spans="1:42" x14ac:dyDescent="0.25">
      <c r="A1434" s="6">
        <v>37</v>
      </c>
      <c r="B1434" s="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s="11" t="str">
        <f>IF(HR_Data[[#This Row],[Age]]&lt;=25,"18-25",IF(HR_Data[[#This Row],[Age]]&lt;=35,"26-35",IF(HR_Data[[#This Row],[Age]]&lt;=45,"36-45",IF(HR_Data[[#This Row],[Age]]&lt;=55,"46-55","56+"))))</f>
        <v>36-45</v>
      </c>
      <c r="AK1434" s="11" t="str">
        <f>IF(HR_Data[[#This Row],[MonthlyIncome]]&lt;3000,"Low",IF(HR_Data[[#This Row],[MonthlyIncome]]&lt;6000,"Medium",IF(HR_Data[[#This Row],[MonthlyIncome]]&lt;10000,"High","Very High")))</f>
        <v>Very High</v>
      </c>
      <c r="AL1434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434" t="str">
        <f>IF(HR_Data[[#This Row],[TotalWorkingYears]]&lt;=5,"Junior",IF(HR_Data[[#This Row],[TotalWorkingYears]]&lt;=15,"Mid-Level","Senior"))</f>
        <v>Senior</v>
      </c>
      <c r="AN1434" s="11" t="str">
        <f>IF(HR_Data[[#This Row],[PerformanceRating]]=3,"Standard","Excellent")</f>
        <v>Excellent</v>
      </c>
      <c r="AO1434" s="11" t="str">
        <f>IF(HR_Data[[#This Row],[JobSatisfaction]]&lt;=2,"Low","High")</f>
        <v>High</v>
      </c>
      <c r="AP1434" s="11" t="str">
        <f>IF(AND(HR_Data[[#This Row],[OverTime]]="Yes",HR_Data[[#This Row],[JobSatisfaction]]&lt;=2,HR_Data[[#This Row],[YearsAtCompany]]&lt;=2),"High Risk","Normal")</f>
        <v>Normal</v>
      </c>
    </row>
    <row r="1435" spans="1:42" x14ac:dyDescent="0.25">
      <c r="A1435" s="6">
        <v>25</v>
      </c>
      <c r="B1435" s="4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s="11" t="str">
        <f>IF(HR_Data[[#This Row],[Age]]&lt;=25,"18-25",IF(HR_Data[[#This Row],[Age]]&lt;=35,"26-35",IF(HR_Data[[#This Row],[Age]]&lt;=45,"36-45",IF(HR_Data[[#This Row],[Age]]&lt;=55,"46-55","56+"))))</f>
        <v>18-25</v>
      </c>
      <c r="AK1435" s="11" t="str">
        <f>IF(HR_Data[[#This Row],[MonthlyIncome]]&lt;3000,"Low",IF(HR_Data[[#This Row],[MonthlyIncome]]&lt;6000,"Medium",IF(HR_Data[[#This Row],[MonthlyIncome]]&lt;10000,"High","Very High")))</f>
        <v>Medium</v>
      </c>
      <c r="AL1435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35" t="str">
        <f>IF(HR_Data[[#This Row],[TotalWorkingYears]]&lt;=5,"Junior",IF(HR_Data[[#This Row],[TotalWorkingYears]]&lt;=15,"Mid-Level","Senior"))</f>
        <v>Mid-Level</v>
      </c>
      <c r="AN1435" s="11" t="str">
        <f>IF(HR_Data[[#This Row],[PerformanceRating]]=3,"Standard","Excellent")</f>
        <v>Excellent</v>
      </c>
      <c r="AO1435" s="11" t="str">
        <f>IF(HR_Data[[#This Row],[JobSatisfaction]]&lt;=2,"Low","High")</f>
        <v>High</v>
      </c>
      <c r="AP1435" s="11" t="str">
        <f>IF(AND(HR_Data[[#This Row],[OverTime]]="Yes",HR_Data[[#This Row],[JobSatisfaction]]&lt;=2,HR_Data[[#This Row],[YearsAtCompany]]&lt;=2),"High Risk","Normal")</f>
        <v>Normal</v>
      </c>
    </row>
    <row r="1436" spans="1:42" x14ac:dyDescent="0.25">
      <c r="A1436" s="6">
        <v>52</v>
      </c>
      <c r="B1436" s="4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s="11" t="str">
        <f>IF(HR_Data[[#This Row],[Age]]&lt;=25,"18-25",IF(HR_Data[[#This Row],[Age]]&lt;=35,"26-35",IF(HR_Data[[#This Row],[Age]]&lt;=45,"36-45",IF(HR_Data[[#This Row],[Age]]&lt;=55,"46-55","56+"))))</f>
        <v>46-55</v>
      </c>
      <c r="AK1436" s="11" t="str">
        <f>IF(HR_Data[[#This Row],[MonthlyIncome]]&lt;3000,"Low",IF(HR_Data[[#This Row],[MonthlyIncome]]&lt;6000,"Medium",IF(HR_Data[[#This Row],[MonthlyIncome]]&lt;10000,"High","Very High")))</f>
        <v>Medium</v>
      </c>
      <c r="AL143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36" t="str">
        <f>IF(HR_Data[[#This Row],[TotalWorkingYears]]&lt;=5,"Junior",IF(HR_Data[[#This Row],[TotalWorkingYears]]&lt;=15,"Mid-Level","Senior"))</f>
        <v>Senior</v>
      </c>
      <c r="AN1436" s="11" t="str">
        <f>IF(HR_Data[[#This Row],[PerformanceRating]]=3,"Standard","Excellent")</f>
        <v>Standard</v>
      </c>
      <c r="AO1436" s="11" t="str">
        <f>IF(HR_Data[[#This Row],[JobSatisfaction]]&lt;=2,"Low","High")</f>
        <v>High</v>
      </c>
      <c r="AP1436" s="11" t="str">
        <f>IF(AND(HR_Data[[#This Row],[OverTime]]="Yes",HR_Data[[#This Row],[JobSatisfaction]]&lt;=2,HR_Data[[#This Row],[YearsAtCompany]]&lt;=2),"High Risk","Normal")</f>
        <v>Normal</v>
      </c>
    </row>
    <row r="1437" spans="1:42" x14ac:dyDescent="0.25">
      <c r="A1437" s="6">
        <v>44</v>
      </c>
      <c r="B1437" s="4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s="11" t="str">
        <f>IF(HR_Data[[#This Row],[Age]]&lt;=25,"18-25",IF(HR_Data[[#This Row],[Age]]&lt;=35,"26-35",IF(HR_Data[[#This Row],[Age]]&lt;=45,"36-45",IF(HR_Data[[#This Row],[Age]]&lt;=55,"46-55","56+"))))</f>
        <v>36-45</v>
      </c>
      <c r="AK1437" s="11" t="str">
        <f>IF(HR_Data[[#This Row],[MonthlyIncome]]&lt;3000,"Low",IF(HR_Data[[#This Row],[MonthlyIncome]]&lt;6000,"Medium",IF(HR_Data[[#This Row],[MonthlyIncome]]&lt;10000,"High","Very High")))</f>
        <v>Low</v>
      </c>
      <c r="AL143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37" t="str">
        <f>IF(HR_Data[[#This Row],[TotalWorkingYears]]&lt;=5,"Junior",IF(HR_Data[[#This Row],[TotalWorkingYears]]&lt;=15,"Mid-Level","Senior"))</f>
        <v>Mid-Level</v>
      </c>
      <c r="AN1437" s="11" t="str">
        <f>IF(HR_Data[[#This Row],[PerformanceRating]]=3,"Standard","Excellent")</f>
        <v>Standard</v>
      </c>
      <c r="AO1437" s="11" t="str">
        <f>IF(HR_Data[[#This Row],[JobSatisfaction]]&lt;=2,"Low","High")</f>
        <v>High</v>
      </c>
      <c r="AP1437" s="11" t="str">
        <f>IF(AND(HR_Data[[#This Row],[OverTime]]="Yes",HR_Data[[#This Row],[JobSatisfaction]]&lt;=2,HR_Data[[#This Row],[YearsAtCompany]]&lt;=2),"High Risk","Normal")</f>
        <v>Normal</v>
      </c>
    </row>
    <row r="1438" spans="1:42" x14ac:dyDescent="0.25">
      <c r="A1438" s="6">
        <v>21</v>
      </c>
      <c r="B1438" s="4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s="11" t="str">
        <f>IF(HR_Data[[#This Row],[Age]]&lt;=25,"18-25",IF(HR_Data[[#This Row],[Age]]&lt;=35,"26-35",IF(HR_Data[[#This Row],[Age]]&lt;=45,"36-45",IF(HR_Data[[#This Row],[Age]]&lt;=55,"46-55","56+"))))</f>
        <v>18-25</v>
      </c>
      <c r="AK1438" s="11" t="str">
        <f>IF(HR_Data[[#This Row],[MonthlyIncome]]&lt;3000,"Low",IF(HR_Data[[#This Row],[MonthlyIncome]]&lt;6000,"Medium",IF(HR_Data[[#This Row],[MonthlyIncome]]&lt;10000,"High","Very High")))</f>
        <v>Low</v>
      </c>
      <c r="AL1438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38" t="str">
        <f>IF(HR_Data[[#This Row],[TotalWorkingYears]]&lt;=5,"Junior",IF(HR_Data[[#This Row],[TotalWorkingYears]]&lt;=15,"Mid-Level","Senior"))</f>
        <v>Junior</v>
      </c>
      <c r="AN1438" s="11" t="str">
        <f>IF(HR_Data[[#This Row],[PerformanceRating]]=3,"Standard","Excellent")</f>
        <v>Standard</v>
      </c>
      <c r="AO1438" s="11" t="str">
        <f>IF(HR_Data[[#This Row],[JobSatisfaction]]&lt;=2,"Low","High")</f>
        <v>Low</v>
      </c>
      <c r="AP1438" s="11" t="str">
        <f>IF(AND(HR_Data[[#This Row],[OverTime]]="Yes",HR_Data[[#This Row],[JobSatisfaction]]&lt;=2,HR_Data[[#This Row],[YearsAtCompany]]&lt;=2),"High Risk","Normal")</f>
        <v>High Risk</v>
      </c>
    </row>
    <row r="1439" spans="1:42" x14ac:dyDescent="0.25">
      <c r="A1439" s="6">
        <v>39</v>
      </c>
      <c r="B1439" s="4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s="11" t="str">
        <f>IF(HR_Data[[#This Row],[Age]]&lt;=25,"18-25",IF(HR_Data[[#This Row],[Age]]&lt;=35,"26-35",IF(HR_Data[[#This Row],[Age]]&lt;=45,"36-45",IF(HR_Data[[#This Row],[Age]]&lt;=55,"46-55","56+"))))</f>
        <v>36-45</v>
      </c>
      <c r="AK1439" s="11" t="str">
        <f>IF(HR_Data[[#This Row],[MonthlyIncome]]&lt;3000,"Low",IF(HR_Data[[#This Row],[MonthlyIncome]]&lt;6000,"Medium",IF(HR_Data[[#This Row],[MonthlyIncome]]&lt;10000,"High","Very High")))</f>
        <v>Very High</v>
      </c>
      <c r="AL143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39" t="str">
        <f>IF(HR_Data[[#This Row],[TotalWorkingYears]]&lt;=5,"Junior",IF(HR_Data[[#This Row],[TotalWorkingYears]]&lt;=15,"Mid-Level","Senior"))</f>
        <v>Senior</v>
      </c>
      <c r="AN1439" s="11" t="str">
        <f>IF(HR_Data[[#This Row],[PerformanceRating]]=3,"Standard","Excellent")</f>
        <v>Standard</v>
      </c>
      <c r="AO1439" s="11" t="str">
        <f>IF(HR_Data[[#This Row],[JobSatisfaction]]&lt;=2,"Low","High")</f>
        <v>High</v>
      </c>
      <c r="AP1439" s="11" t="str">
        <f>IF(AND(HR_Data[[#This Row],[OverTime]]="Yes",HR_Data[[#This Row],[JobSatisfaction]]&lt;=2,HR_Data[[#This Row],[YearsAtCompany]]&lt;=2),"High Risk","Normal")</f>
        <v>Normal</v>
      </c>
    </row>
    <row r="1440" spans="1:42" x14ac:dyDescent="0.25">
      <c r="A1440" s="6">
        <v>23</v>
      </c>
      <c r="B1440" s="4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s="11" t="str">
        <f>IF(HR_Data[[#This Row],[Age]]&lt;=25,"18-25",IF(HR_Data[[#This Row],[Age]]&lt;=35,"26-35",IF(HR_Data[[#This Row],[Age]]&lt;=45,"36-45",IF(HR_Data[[#This Row],[Age]]&lt;=55,"46-55","56+"))))</f>
        <v>18-25</v>
      </c>
      <c r="AK1440" s="11" t="str">
        <f>IF(HR_Data[[#This Row],[MonthlyIncome]]&lt;3000,"Low",IF(HR_Data[[#This Row],[MonthlyIncome]]&lt;6000,"Medium",IF(HR_Data[[#This Row],[MonthlyIncome]]&lt;10000,"High","Very High")))</f>
        <v>Low</v>
      </c>
      <c r="AL1440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40" t="str">
        <f>IF(HR_Data[[#This Row],[TotalWorkingYears]]&lt;=5,"Junior",IF(HR_Data[[#This Row],[TotalWorkingYears]]&lt;=15,"Mid-Level","Senior"))</f>
        <v>Junior</v>
      </c>
      <c r="AN1440" s="11" t="str">
        <f>IF(HR_Data[[#This Row],[PerformanceRating]]=3,"Standard","Excellent")</f>
        <v>Standard</v>
      </c>
      <c r="AO1440" s="11" t="str">
        <f>IF(HR_Data[[#This Row],[JobSatisfaction]]&lt;=2,"Low","High")</f>
        <v>Low</v>
      </c>
      <c r="AP1440" s="11" t="str">
        <f>IF(AND(HR_Data[[#This Row],[OverTime]]="Yes",HR_Data[[#This Row],[JobSatisfaction]]&lt;=2,HR_Data[[#This Row],[YearsAtCompany]]&lt;=2),"High Risk","Normal")</f>
        <v>Normal</v>
      </c>
    </row>
    <row r="1441" spans="1:42" x14ac:dyDescent="0.25">
      <c r="A1441" s="6">
        <v>36</v>
      </c>
      <c r="B1441" s="4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s="11" t="str">
        <f>IF(HR_Data[[#This Row],[Age]]&lt;=25,"18-25",IF(HR_Data[[#This Row],[Age]]&lt;=35,"26-35",IF(HR_Data[[#This Row],[Age]]&lt;=45,"36-45",IF(HR_Data[[#This Row],[Age]]&lt;=55,"46-55","56+"))))</f>
        <v>36-45</v>
      </c>
      <c r="AK1441" s="11" t="str">
        <f>IF(HR_Data[[#This Row],[MonthlyIncome]]&lt;3000,"Low",IF(HR_Data[[#This Row],[MonthlyIncome]]&lt;6000,"Medium",IF(HR_Data[[#This Row],[MonthlyIncome]]&lt;10000,"High","Very High")))</f>
        <v>High</v>
      </c>
      <c r="AL1441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41" t="str">
        <f>IF(HR_Data[[#This Row],[TotalWorkingYears]]&lt;=5,"Junior",IF(HR_Data[[#This Row],[TotalWorkingYears]]&lt;=15,"Mid-Level","Senior"))</f>
        <v>Mid-Level</v>
      </c>
      <c r="AN1441" s="11" t="str">
        <f>IF(HR_Data[[#This Row],[PerformanceRating]]=3,"Standard","Excellent")</f>
        <v>Standard</v>
      </c>
      <c r="AO1441" s="11" t="str">
        <f>IF(HR_Data[[#This Row],[JobSatisfaction]]&lt;=2,"Low","High")</f>
        <v>High</v>
      </c>
      <c r="AP1441" s="11" t="str">
        <f>IF(AND(HR_Data[[#This Row],[OverTime]]="Yes",HR_Data[[#This Row],[JobSatisfaction]]&lt;=2,HR_Data[[#This Row],[YearsAtCompany]]&lt;=2),"High Risk","Normal")</f>
        <v>Normal</v>
      </c>
    </row>
    <row r="1442" spans="1:42" x14ac:dyDescent="0.25">
      <c r="A1442" s="6">
        <v>36</v>
      </c>
      <c r="B1442" s="4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s="11" t="str">
        <f>IF(HR_Data[[#This Row],[Age]]&lt;=25,"18-25",IF(HR_Data[[#This Row],[Age]]&lt;=35,"26-35",IF(HR_Data[[#This Row],[Age]]&lt;=45,"36-45",IF(HR_Data[[#This Row],[Age]]&lt;=55,"46-55","56+"))))</f>
        <v>36-45</v>
      </c>
      <c r="AK1442" s="11" t="str">
        <f>IF(HR_Data[[#This Row],[MonthlyIncome]]&lt;3000,"Low",IF(HR_Data[[#This Row],[MonthlyIncome]]&lt;6000,"Medium",IF(HR_Data[[#This Row],[MonthlyIncome]]&lt;10000,"High","Very High")))</f>
        <v>Medium</v>
      </c>
      <c r="AL144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42" t="str">
        <f>IF(HR_Data[[#This Row],[TotalWorkingYears]]&lt;=5,"Junior",IF(HR_Data[[#This Row],[TotalWorkingYears]]&lt;=15,"Mid-Level","Senior"))</f>
        <v>Senior</v>
      </c>
      <c r="AN1442" s="11" t="str">
        <f>IF(HR_Data[[#This Row],[PerformanceRating]]=3,"Standard","Excellent")</f>
        <v>Standard</v>
      </c>
      <c r="AO1442" s="11" t="str">
        <f>IF(HR_Data[[#This Row],[JobSatisfaction]]&lt;=2,"Low","High")</f>
        <v>Low</v>
      </c>
      <c r="AP1442" s="11" t="str">
        <f>IF(AND(HR_Data[[#This Row],[OverTime]]="Yes",HR_Data[[#This Row],[JobSatisfaction]]&lt;=2,HR_Data[[#This Row],[YearsAtCompany]]&lt;=2),"High Risk","Normal")</f>
        <v>Normal</v>
      </c>
    </row>
    <row r="1443" spans="1:42" x14ac:dyDescent="0.25">
      <c r="A1443" s="6">
        <v>56</v>
      </c>
      <c r="B1443" s="4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s="11" t="str">
        <f>IF(HR_Data[[#This Row],[Age]]&lt;=25,"18-25",IF(HR_Data[[#This Row],[Age]]&lt;=35,"26-35",IF(HR_Data[[#This Row],[Age]]&lt;=45,"36-45",IF(HR_Data[[#This Row],[Age]]&lt;=55,"46-55","56+"))))</f>
        <v>56+</v>
      </c>
      <c r="AK1443" s="11" t="str">
        <f>IF(HR_Data[[#This Row],[MonthlyIncome]]&lt;3000,"Low",IF(HR_Data[[#This Row],[MonthlyIncome]]&lt;6000,"Medium",IF(HR_Data[[#This Row],[MonthlyIncome]]&lt;10000,"High","Very High")))</f>
        <v>High</v>
      </c>
      <c r="AL1443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443" t="str">
        <f>IF(HR_Data[[#This Row],[TotalWorkingYears]]&lt;=5,"Junior",IF(HR_Data[[#This Row],[TotalWorkingYears]]&lt;=15,"Mid-Level","Senior"))</f>
        <v>Mid-Level</v>
      </c>
      <c r="AN1443" s="11" t="str">
        <f>IF(HR_Data[[#This Row],[PerformanceRating]]=3,"Standard","Excellent")</f>
        <v>Excellent</v>
      </c>
      <c r="AO1443" s="11" t="str">
        <f>IF(HR_Data[[#This Row],[JobSatisfaction]]&lt;=2,"Low","High")</f>
        <v>High</v>
      </c>
      <c r="AP1443" s="11" t="str">
        <f>IF(AND(HR_Data[[#This Row],[OverTime]]="Yes",HR_Data[[#This Row],[JobSatisfaction]]&lt;=2,HR_Data[[#This Row],[YearsAtCompany]]&lt;=2),"High Risk","Normal")</f>
        <v>Normal</v>
      </c>
    </row>
    <row r="1444" spans="1:42" x14ac:dyDescent="0.25">
      <c r="A1444" s="6">
        <v>29</v>
      </c>
      <c r="B1444" s="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s="11" t="str">
        <f>IF(HR_Data[[#This Row],[Age]]&lt;=25,"18-25",IF(HR_Data[[#This Row],[Age]]&lt;=35,"26-35",IF(HR_Data[[#This Row],[Age]]&lt;=45,"36-45",IF(HR_Data[[#This Row],[Age]]&lt;=55,"46-55","56+"))))</f>
        <v>26-35</v>
      </c>
      <c r="AK1444" s="11" t="str">
        <f>IF(HR_Data[[#This Row],[MonthlyIncome]]&lt;3000,"Low",IF(HR_Data[[#This Row],[MonthlyIncome]]&lt;6000,"Medium",IF(HR_Data[[#This Row],[MonthlyIncome]]&lt;10000,"High","Very High")))</f>
        <v>Medium</v>
      </c>
      <c r="AL1444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44" t="str">
        <f>IF(HR_Data[[#This Row],[TotalWorkingYears]]&lt;=5,"Junior",IF(HR_Data[[#This Row],[TotalWorkingYears]]&lt;=15,"Mid-Level","Senior"))</f>
        <v>Junior</v>
      </c>
      <c r="AN1444" s="11" t="str">
        <f>IF(HR_Data[[#This Row],[PerformanceRating]]=3,"Standard","Excellent")</f>
        <v>Standard</v>
      </c>
      <c r="AO1444" s="11" t="str">
        <f>IF(HR_Data[[#This Row],[JobSatisfaction]]&lt;=2,"Low","High")</f>
        <v>High</v>
      </c>
      <c r="AP1444" s="11" t="str">
        <f>IF(AND(HR_Data[[#This Row],[OverTime]]="Yes",HR_Data[[#This Row],[JobSatisfaction]]&lt;=2,HR_Data[[#This Row],[YearsAtCompany]]&lt;=2),"High Risk","Normal")</f>
        <v>Normal</v>
      </c>
    </row>
    <row r="1445" spans="1:42" x14ac:dyDescent="0.25">
      <c r="A1445" s="6">
        <v>42</v>
      </c>
      <c r="B1445" s="4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s="11" t="str">
        <f>IF(HR_Data[[#This Row],[Age]]&lt;=25,"18-25",IF(HR_Data[[#This Row],[Age]]&lt;=35,"26-35",IF(HR_Data[[#This Row],[Age]]&lt;=45,"36-45",IF(HR_Data[[#This Row],[Age]]&lt;=55,"46-55","56+"))))</f>
        <v>36-45</v>
      </c>
      <c r="AK1445" s="11" t="str">
        <f>IF(HR_Data[[#This Row],[MonthlyIncome]]&lt;3000,"Low",IF(HR_Data[[#This Row],[MonthlyIncome]]&lt;6000,"Medium",IF(HR_Data[[#This Row],[MonthlyIncome]]&lt;10000,"High","Very High")))</f>
        <v>Very High</v>
      </c>
      <c r="AL1445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445" t="str">
        <f>IF(HR_Data[[#This Row],[TotalWorkingYears]]&lt;=5,"Junior",IF(HR_Data[[#This Row],[TotalWorkingYears]]&lt;=15,"Mid-Level","Senior"))</f>
        <v>Senior</v>
      </c>
      <c r="AN1445" s="11" t="str">
        <f>IF(HR_Data[[#This Row],[PerformanceRating]]=3,"Standard","Excellent")</f>
        <v>Standard</v>
      </c>
      <c r="AO1445" s="11" t="str">
        <f>IF(HR_Data[[#This Row],[JobSatisfaction]]&lt;=2,"Low","High")</f>
        <v>High</v>
      </c>
      <c r="AP1445" s="11" t="str">
        <f>IF(AND(HR_Data[[#This Row],[OverTime]]="Yes",HR_Data[[#This Row],[JobSatisfaction]]&lt;=2,HR_Data[[#This Row],[YearsAtCompany]]&lt;=2),"High Risk","Normal")</f>
        <v>Normal</v>
      </c>
    </row>
    <row r="1446" spans="1:42" x14ac:dyDescent="0.25">
      <c r="A1446" s="6">
        <v>56</v>
      </c>
      <c r="B1446" s="4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s="11" t="str">
        <f>IF(HR_Data[[#This Row],[Age]]&lt;=25,"18-25",IF(HR_Data[[#This Row],[Age]]&lt;=35,"26-35",IF(HR_Data[[#This Row],[Age]]&lt;=45,"36-45",IF(HR_Data[[#This Row],[Age]]&lt;=55,"46-55","56+"))))</f>
        <v>56+</v>
      </c>
      <c r="AK1446" s="11" t="str">
        <f>IF(HR_Data[[#This Row],[MonthlyIncome]]&lt;3000,"Low",IF(HR_Data[[#This Row],[MonthlyIncome]]&lt;6000,"Medium",IF(HR_Data[[#This Row],[MonthlyIncome]]&lt;10000,"High","Very High")))</f>
        <v>Low</v>
      </c>
      <c r="AL1446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46" t="str">
        <f>IF(HR_Data[[#This Row],[TotalWorkingYears]]&lt;=5,"Junior",IF(HR_Data[[#This Row],[TotalWorkingYears]]&lt;=15,"Mid-Level","Senior"))</f>
        <v>Mid-Level</v>
      </c>
      <c r="AN1446" s="11" t="str">
        <f>IF(HR_Data[[#This Row],[PerformanceRating]]=3,"Standard","Excellent")</f>
        <v>Standard</v>
      </c>
      <c r="AO1446" s="11" t="str">
        <f>IF(HR_Data[[#This Row],[JobSatisfaction]]&lt;=2,"Low","High")</f>
        <v>High</v>
      </c>
      <c r="AP1446" s="11" t="str">
        <f>IF(AND(HR_Data[[#This Row],[OverTime]]="Yes",HR_Data[[#This Row],[JobSatisfaction]]&lt;=2,HR_Data[[#This Row],[YearsAtCompany]]&lt;=2),"High Risk","Normal")</f>
        <v>Normal</v>
      </c>
    </row>
    <row r="1447" spans="1:42" x14ac:dyDescent="0.25">
      <c r="A1447" s="6">
        <v>41</v>
      </c>
      <c r="B1447" s="4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s="11" t="str">
        <f>IF(HR_Data[[#This Row],[Age]]&lt;=25,"18-25",IF(HR_Data[[#This Row],[Age]]&lt;=35,"26-35",IF(HR_Data[[#This Row],[Age]]&lt;=45,"36-45",IF(HR_Data[[#This Row],[Age]]&lt;=55,"46-55","56+"))))</f>
        <v>36-45</v>
      </c>
      <c r="AK1447" s="11" t="str">
        <f>IF(HR_Data[[#This Row],[MonthlyIncome]]&lt;3000,"Low",IF(HR_Data[[#This Row],[MonthlyIncome]]&lt;6000,"Medium",IF(HR_Data[[#This Row],[MonthlyIncome]]&lt;10000,"High","Very High")))</f>
        <v>Very High</v>
      </c>
      <c r="AL1447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447" t="str">
        <f>IF(HR_Data[[#This Row],[TotalWorkingYears]]&lt;=5,"Junior",IF(HR_Data[[#This Row],[TotalWorkingYears]]&lt;=15,"Mid-Level","Senior"))</f>
        <v>Senior</v>
      </c>
      <c r="AN1447" s="11" t="str">
        <f>IF(HR_Data[[#This Row],[PerformanceRating]]=3,"Standard","Excellent")</f>
        <v>Excellent</v>
      </c>
      <c r="AO1447" s="11" t="str">
        <f>IF(HR_Data[[#This Row],[JobSatisfaction]]&lt;=2,"Low","High")</f>
        <v>Low</v>
      </c>
      <c r="AP1447" s="11" t="str">
        <f>IF(AND(HR_Data[[#This Row],[OverTime]]="Yes",HR_Data[[#This Row],[JobSatisfaction]]&lt;=2,HR_Data[[#This Row],[YearsAtCompany]]&lt;=2),"High Risk","Normal")</f>
        <v>Normal</v>
      </c>
    </row>
    <row r="1448" spans="1:42" x14ac:dyDescent="0.25">
      <c r="A1448" s="6">
        <v>34</v>
      </c>
      <c r="B1448" s="4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s="11" t="str">
        <f>IF(HR_Data[[#This Row],[Age]]&lt;=25,"18-25",IF(HR_Data[[#This Row],[Age]]&lt;=35,"26-35",IF(HR_Data[[#This Row],[Age]]&lt;=45,"36-45",IF(HR_Data[[#This Row],[Age]]&lt;=55,"46-55","56+"))))</f>
        <v>26-35</v>
      </c>
      <c r="AK1448" s="11" t="str">
        <f>IF(HR_Data[[#This Row],[MonthlyIncome]]&lt;3000,"Low",IF(HR_Data[[#This Row],[MonthlyIncome]]&lt;6000,"Medium",IF(HR_Data[[#This Row],[MonthlyIncome]]&lt;10000,"High","Very High")))</f>
        <v>High</v>
      </c>
      <c r="AL144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48" t="str">
        <f>IF(HR_Data[[#This Row],[TotalWorkingYears]]&lt;=5,"Junior",IF(HR_Data[[#This Row],[TotalWorkingYears]]&lt;=15,"Mid-Level","Senior"))</f>
        <v>Mid-Level</v>
      </c>
      <c r="AN1448" s="11" t="str">
        <f>IF(HR_Data[[#This Row],[PerformanceRating]]=3,"Standard","Excellent")</f>
        <v>Excellent</v>
      </c>
      <c r="AO1448" s="11" t="str">
        <f>IF(HR_Data[[#This Row],[JobSatisfaction]]&lt;=2,"Low","High")</f>
        <v>High</v>
      </c>
      <c r="AP1448" s="11" t="str">
        <f>IF(AND(HR_Data[[#This Row],[OverTime]]="Yes",HR_Data[[#This Row],[JobSatisfaction]]&lt;=2,HR_Data[[#This Row],[YearsAtCompany]]&lt;=2),"High Risk","Normal")</f>
        <v>Normal</v>
      </c>
    </row>
    <row r="1449" spans="1:42" x14ac:dyDescent="0.25">
      <c r="A1449" s="6">
        <v>36</v>
      </c>
      <c r="B1449" s="4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s="11" t="str">
        <f>IF(HR_Data[[#This Row],[Age]]&lt;=25,"18-25",IF(HR_Data[[#This Row],[Age]]&lt;=35,"26-35",IF(HR_Data[[#This Row],[Age]]&lt;=45,"36-45",IF(HR_Data[[#This Row],[Age]]&lt;=55,"46-55","56+"))))</f>
        <v>36-45</v>
      </c>
      <c r="AK1449" s="11" t="str">
        <f>IF(HR_Data[[#This Row],[MonthlyIncome]]&lt;3000,"Low",IF(HR_Data[[#This Row],[MonthlyIncome]]&lt;6000,"Medium",IF(HR_Data[[#This Row],[MonthlyIncome]]&lt;10000,"High","Very High")))</f>
        <v>Medium</v>
      </c>
      <c r="AL1449" s="11" t="str">
        <f>IF(HR_Data[[#This Row],[YearsAtCompany]]&lt;=2,"0-2",IF(HR_Data[[#This Row],[YearsAtCompany]]&lt;=5,"3-5",IF(HR_Data[[#This Row],[YearsAtCompany]]&lt;=10,"6-10",IF(HR_Data[[#This Row],[YearsAtCompany]]&lt;=15,"11-15","16+"))))</f>
        <v>11-15</v>
      </c>
      <c r="AM1449" t="str">
        <f>IF(HR_Data[[#This Row],[TotalWorkingYears]]&lt;=5,"Junior",IF(HR_Data[[#This Row],[TotalWorkingYears]]&lt;=15,"Mid-Level","Senior"))</f>
        <v>Mid-Level</v>
      </c>
      <c r="AN1449" s="11" t="str">
        <f>IF(HR_Data[[#This Row],[PerformanceRating]]=3,"Standard","Excellent")</f>
        <v>Excellent</v>
      </c>
      <c r="AO1449" s="11" t="str">
        <f>IF(HR_Data[[#This Row],[JobSatisfaction]]&lt;=2,"Low","High")</f>
        <v>High</v>
      </c>
      <c r="AP1449" s="11" t="str">
        <f>IF(AND(HR_Data[[#This Row],[OverTime]]="Yes",HR_Data[[#This Row],[JobSatisfaction]]&lt;=2,HR_Data[[#This Row],[YearsAtCompany]]&lt;=2),"High Risk","Normal")</f>
        <v>Normal</v>
      </c>
    </row>
    <row r="1450" spans="1:42" x14ac:dyDescent="0.25">
      <c r="A1450" s="6">
        <v>41</v>
      </c>
      <c r="B1450" s="4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s="11" t="str">
        <f>IF(HR_Data[[#This Row],[Age]]&lt;=25,"18-25",IF(HR_Data[[#This Row],[Age]]&lt;=35,"26-35",IF(HR_Data[[#This Row],[Age]]&lt;=45,"36-45",IF(HR_Data[[#This Row],[Age]]&lt;=55,"46-55","56+"))))</f>
        <v>36-45</v>
      </c>
      <c r="AK1450" s="11" t="str">
        <f>IF(HR_Data[[#This Row],[MonthlyIncome]]&lt;3000,"Low",IF(HR_Data[[#This Row],[MonthlyIncome]]&lt;6000,"Medium",IF(HR_Data[[#This Row],[MonthlyIncome]]&lt;10000,"High","Very High")))</f>
        <v>High</v>
      </c>
      <c r="AL145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50" t="str">
        <f>IF(HR_Data[[#This Row],[TotalWorkingYears]]&lt;=5,"Junior",IF(HR_Data[[#This Row],[TotalWorkingYears]]&lt;=15,"Mid-Level","Senior"))</f>
        <v>Mid-Level</v>
      </c>
      <c r="AN1450" s="11" t="str">
        <f>IF(HR_Data[[#This Row],[PerformanceRating]]=3,"Standard","Excellent")</f>
        <v>Standard</v>
      </c>
      <c r="AO1450" s="11" t="str">
        <f>IF(HR_Data[[#This Row],[JobSatisfaction]]&lt;=2,"Low","High")</f>
        <v>Low</v>
      </c>
      <c r="AP1450" s="11" t="str">
        <f>IF(AND(HR_Data[[#This Row],[OverTime]]="Yes",HR_Data[[#This Row],[JobSatisfaction]]&lt;=2,HR_Data[[#This Row],[YearsAtCompany]]&lt;=2),"High Risk","Normal")</f>
        <v>Normal</v>
      </c>
    </row>
    <row r="1451" spans="1:42" x14ac:dyDescent="0.25">
      <c r="A1451" s="6">
        <v>32</v>
      </c>
      <c r="B1451" s="4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s="11" t="str">
        <f>IF(HR_Data[[#This Row],[Age]]&lt;=25,"18-25",IF(HR_Data[[#This Row],[Age]]&lt;=35,"26-35",IF(HR_Data[[#This Row],[Age]]&lt;=45,"36-45",IF(HR_Data[[#This Row],[Age]]&lt;=55,"46-55","56+"))))</f>
        <v>26-35</v>
      </c>
      <c r="AK1451" s="11" t="str">
        <f>IF(HR_Data[[#This Row],[MonthlyIncome]]&lt;3000,"Low",IF(HR_Data[[#This Row],[MonthlyIncome]]&lt;6000,"Medium",IF(HR_Data[[#This Row],[MonthlyIncome]]&lt;10000,"High","Very High")))</f>
        <v>Low</v>
      </c>
      <c r="AL145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51" t="str">
        <f>IF(HR_Data[[#This Row],[TotalWorkingYears]]&lt;=5,"Junior",IF(HR_Data[[#This Row],[TotalWorkingYears]]&lt;=15,"Mid-Level","Senior"))</f>
        <v>Junior</v>
      </c>
      <c r="AN1451" s="11" t="str">
        <f>IF(HR_Data[[#This Row],[PerformanceRating]]=3,"Standard","Excellent")</f>
        <v>Standard</v>
      </c>
      <c r="AO1451" s="11" t="str">
        <f>IF(HR_Data[[#This Row],[JobSatisfaction]]&lt;=2,"Low","High")</f>
        <v>Low</v>
      </c>
      <c r="AP1451" s="11" t="str">
        <f>IF(AND(HR_Data[[#This Row],[OverTime]]="Yes",HR_Data[[#This Row],[JobSatisfaction]]&lt;=2,HR_Data[[#This Row],[YearsAtCompany]]&lt;=2),"High Risk","Normal")</f>
        <v>Normal</v>
      </c>
    </row>
    <row r="1452" spans="1:42" x14ac:dyDescent="0.25">
      <c r="A1452" s="6">
        <v>35</v>
      </c>
      <c r="B1452" s="4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s="11" t="str">
        <f>IF(HR_Data[[#This Row],[Age]]&lt;=25,"18-25",IF(HR_Data[[#This Row],[Age]]&lt;=35,"26-35",IF(HR_Data[[#This Row],[Age]]&lt;=45,"36-45",IF(HR_Data[[#This Row],[Age]]&lt;=55,"46-55","56+"))))</f>
        <v>26-35</v>
      </c>
      <c r="AK1452" s="11" t="str">
        <f>IF(HR_Data[[#This Row],[MonthlyIncome]]&lt;3000,"Low",IF(HR_Data[[#This Row],[MonthlyIncome]]&lt;6000,"Medium",IF(HR_Data[[#This Row],[MonthlyIncome]]&lt;10000,"High","Very High")))</f>
        <v>High</v>
      </c>
      <c r="AL1452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52" t="str">
        <f>IF(HR_Data[[#This Row],[TotalWorkingYears]]&lt;=5,"Junior",IF(HR_Data[[#This Row],[TotalWorkingYears]]&lt;=15,"Mid-Level","Senior"))</f>
        <v>Mid-Level</v>
      </c>
      <c r="AN1452" s="11" t="str">
        <f>IF(HR_Data[[#This Row],[PerformanceRating]]=3,"Standard","Excellent")</f>
        <v>Standard</v>
      </c>
      <c r="AO1452" s="11" t="str">
        <f>IF(HR_Data[[#This Row],[JobSatisfaction]]&lt;=2,"Low","High")</f>
        <v>High</v>
      </c>
      <c r="AP1452" s="11" t="str">
        <f>IF(AND(HR_Data[[#This Row],[OverTime]]="Yes",HR_Data[[#This Row],[JobSatisfaction]]&lt;=2,HR_Data[[#This Row],[YearsAtCompany]]&lt;=2),"High Risk","Normal")</f>
        <v>Normal</v>
      </c>
    </row>
    <row r="1453" spans="1:42" x14ac:dyDescent="0.25">
      <c r="A1453" s="6">
        <v>38</v>
      </c>
      <c r="B1453" s="4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s="11" t="str">
        <f>IF(HR_Data[[#This Row],[Age]]&lt;=25,"18-25",IF(HR_Data[[#This Row],[Age]]&lt;=35,"26-35",IF(HR_Data[[#This Row],[Age]]&lt;=45,"36-45",IF(HR_Data[[#This Row],[Age]]&lt;=55,"46-55","56+"))))</f>
        <v>36-45</v>
      </c>
      <c r="AK1453" s="11" t="str">
        <f>IF(HR_Data[[#This Row],[MonthlyIncome]]&lt;3000,"Low",IF(HR_Data[[#This Row],[MonthlyIncome]]&lt;6000,"Medium",IF(HR_Data[[#This Row],[MonthlyIncome]]&lt;10000,"High","Very High")))</f>
        <v>Medium</v>
      </c>
      <c r="AL1453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53" t="str">
        <f>IF(HR_Data[[#This Row],[TotalWorkingYears]]&lt;=5,"Junior",IF(HR_Data[[#This Row],[TotalWorkingYears]]&lt;=15,"Mid-Level","Senior"))</f>
        <v>Mid-Level</v>
      </c>
      <c r="AN1453" s="11" t="str">
        <f>IF(HR_Data[[#This Row],[PerformanceRating]]=3,"Standard","Excellent")</f>
        <v>Standard</v>
      </c>
      <c r="AO1453" s="11" t="str">
        <f>IF(HR_Data[[#This Row],[JobSatisfaction]]&lt;=2,"Low","High")</f>
        <v>High</v>
      </c>
      <c r="AP1453" s="11" t="str">
        <f>IF(AND(HR_Data[[#This Row],[OverTime]]="Yes",HR_Data[[#This Row],[JobSatisfaction]]&lt;=2,HR_Data[[#This Row],[YearsAtCompany]]&lt;=2),"High Risk","Normal")</f>
        <v>Normal</v>
      </c>
    </row>
    <row r="1454" spans="1:42" x14ac:dyDescent="0.25">
      <c r="A1454" s="6">
        <v>50</v>
      </c>
      <c r="B1454" s="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s="11" t="str">
        <f>IF(HR_Data[[#This Row],[Age]]&lt;=25,"18-25",IF(HR_Data[[#This Row],[Age]]&lt;=35,"26-35",IF(HR_Data[[#This Row],[Age]]&lt;=45,"36-45",IF(HR_Data[[#This Row],[Age]]&lt;=55,"46-55","56+"))))</f>
        <v>46-55</v>
      </c>
      <c r="AK1454" s="11" t="str">
        <f>IF(HR_Data[[#This Row],[MonthlyIncome]]&lt;3000,"Low",IF(HR_Data[[#This Row],[MonthlyIncome]]&lt;6000,"Medium",IF(HR_Data[[#This Row],[MonthlyIncome]]&lt;10000,"High","Very High")))</f>
        <v>High</v>
      </c>
      <c r="AL1454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54" t="str">
        <f>IF(HR_Data[[#This Row],[TotalWorkingYears]]&lt;=5,"Junior",IF(HR_Data[[#This Row],[TotalWorkingYears]]&lt;=15,"Mid-Level","Senior"))</f>
        <v>Mid-Level</v>
      </c>
      <c r="AN1454" s="11" t="str">
        <f>IF(HR_Data[[#This Row],[PerformanceRating]]=3,"Standard","Excellent")</f>
        <v>Standard</v>
      </c>
      <c r="AO1454" s="11" t="str">
        <f>IF(HR_Data[[#This Row],[JobSatisfaction]]&lt;=2,"Low","High")</f>
        <v>High</v>
      </c>
      <c r="AP1454" s="11" t="str">
        <f>IF(AND(HR_Data[[#This Row],[OverTime]]="Yes",HR_Data[[#This Row],[JobSatisfaction]]&lt;=2,HR_Data[[#This Row],[YearsAtCompany]]&lt;=2),"High Risk","Normal")</f>
        <v>Normal</v>
      </c>
    </row>
    <row r="1455" spans="1:42" x14ac:dyDescent="0.25">
      <c r="A1455" s="6">
        <v>36</v>
      </c>
      <c r="B1455" s="4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s="11" t="str">
        <f>IF(HR_Data[[#This Row],[Age]]&lt;=25,"18-25",IF(HR_Data[[#This Row],[Age]]&lt;=35,"26-35",IF(HR_Data[[#This Row],[Age]]&lt;=45,"36-45",IF(HR_Data[[#This Row],[Age]]&lt;=55,"46-55","56+"))))</f>
        <v>36-45</v>
      </c>
      <c r="AK1455" s="11" t="str">
        <f>IF(HR_Data[[#This Row],[MonthlyIncome]]&lt;3000,"Low",IF(HR_Data[[#This Row],[MonthlyIncome]]&lt;6000,"Medium",IF(HR_Data[[#This Row],[MonthlyIncome]]&lt;10000,"High","Very High")))</f>
        <v>High</v>
      </c>
      <c r="AL145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55" t="str">
        <f>IF(HR_Data[[#This Row],[TotalWorkingYears]]&lt;=5,"Junior",IF(HR_Data[[#This Row],[TotalWorkingYears]]&lt;=15,"Mid-Level","Senior"))</f>
        <v>Mid-Level</v>
      </c>
      <c r="AN1455" s="11" t="str">
        <f>IF(HR_Data[[#This Row],[PerformanceRating]]=3,"Standard","Excellent")</f>
        <v>Standard</v>
      </c>
      <c r="AO1455" s="11" t="str">
        <f>IF(HR_Data[[#This Row],[JobSatisfaction]]&lt;=2,"Low","High")</f>
        <v>High</v>
      </c>
      <c r="AP1455" s="11" t="str">
        <f>IF(AND(HR_Data[[#This Row],[OverTime]]="Yes",HR_Data[[#This Row],[JobSatisfaction]]&lt;=2,HR_Data[[#This Row],[YearsAtCompany]]&lt;=2),"High Risk","Normal")</f>
        <v>Normal</v>
      </c>
    </row>
    <row r="1456" spans="1:42" x14ac:dyDescent="0.25">
      <c r="A1456" s="6">
        <v>45</v>
      </c>
      <c r="B1456" s="4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s="11" t="str">
        <f>IF(HR_Data[[#This Row],[Age]]&lt;=25,"18-25",IF(HR_Data[[#This Row],[Age]]&lt;=35,"26-35",IF(HR_Data[[#This Row],[Age]]&lt;=45,"36-45",IF(HR_Data[[#This Row],[Age]]&lt;=55,"46-55","56+"))))</f>
        <v>36-45</v>
      </c>
      <c r="AK1456" s="11" t="str">
        <f>IF(HR_Data[[#This Row],[MonthlyIncome]]&lt;3000,"Low",IF(HR_Data[[#This Row],[MonthlyIncome]]&lt;6000,"Medium",IF(HR_Data[[#This Row],[MonthlyIncome]]&lt;10000,"High","Very High")))</f>
        <v>Medium</v>
      </c>
      <c r="AL145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56" t="str">
        <f>IF(HR_Data[[#This Row],[TotalWorkingYears]]&lt;=5,"Junior",IF(HR_Data[[#This Row],[TotalWorkingYears]]&lt;=15,"Mid-Level","Senior"))</f>
        <v>Mid-Level</v>
      </c>
      <c r="AN1456" s="11" t="str">
        <f>IF(HR_Data[[#This Row],[PerformanceRating]]=3,"Standard","Excellent")</f>
        <v>Standard</v>
      </c>
      <c r="AO1456" s="11" t="str">
        <f>IF(HR_Data[[#This Row],[JobSatisfaction]]&lt;=2,"Low","High")</f>
        <v>High</v>
      </c>
      <c r="AP1456" s="11" t="str">
        <f>IF(AND(HR_Data[[#This Row],[OverTime]]="Yes",HR_Data[[#This Row],[JobSatisfaction]]&lt;=2,HR_Data[[#This Row],[YearsAtCompany]]&lt;=2),"High Risk","Normal")</f>
        <v>Normal</v>
      </c>
    </row>
    <row r="1457" spans="1:42" x14ac:dyDescent="0.25">
      <c r="A1457" s="6">
        <v>40</v>
      </c>
      <c r="B1457" s="4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s="11" t="str">
        <f>IF(HR_Data[[#This Row],[Age]]&lt;=25,"18-25",IF(HR_Data[[#This Row],[Age]]&lt;=35,"26-35",IF(HR_Data[[#This Row],[Age]]&lt;=45,"36-45",IF(HR_Data[[#This Row],[Age]]&lt;=55,"46-55","56+"))))</f>
        <v>36-45</v>
      </c>
      <c r="AK1457" s="11" t="str">
        <f>IF(HR_Data[[#This Row],[MonthlyIncome]]&lt;3000,"Low",IF(HR_Data[[#This Row],[MonthlyIncome]]&lt;6000,"Medium",IF(HR_Data[[#This Row],[MonthlyIncome]]&lt;10000,"High","Very High")))</f>
        <v>Low</v>
      </c>
      <c r="AL1457" s="11" t="str">
        <f>IF(HR_Data[[#This Row],[YearsAtCompany]]&lt;=2,"0-2",IF(HR_Data[[#This Row],[YearsAtCompany]]&lt;=5,"3-5",IF(HR_Data[[#This Row],[YearsAtCompany]]&lt;=10,"6-10",IF(HR_Data[[#This Row],[YearsAtCompany]]&lt;=15,"11-15","16+"))))</f>
        <v>0-2</v>
      </c>
      <c r="AM1457" t="str">
        <f>IF(HR_Data[[#This Row],[TotalWorkingYears]]&lt;=5,"Junior",IF(HR_Data[[#This Row],[TotalWorkingYears]]&lt;=15,"Mid-Level","Senior"))</f>
        <v>Mid-Level</v>
      </c>
      <c r="AN1457" s="11" t="str">
        <f>IF(HR_Data[[#This Row],[PerformanceRating]]=3,"Standard","Excellent")</f>
        <v>Standard</v>
      </c>
      <c r="AO1457" s="11" t="str">
        <f>IF(HR_Data[[#This Row],[JobSatisfaction]]&lt;=2,"Low","High")</f>
        <v>High</v>
      </c>
      <c r="AP1457" s="11" t="str">
        <f>IF(AND(HR_Data[[#This Row],[OverTime]]="Yes",HR_Data[[#This Row],[JobSatisfaction]]&lt;=2,HR_Data[[#This Row],[YearsAtCompany]]&lt;=2),"High Risk","Normal")</f>
        <v>Normal</v>
      </c>
    </row>
    <row r="1458" spans="1:42" x14ac:dyDescent="0.25">
      <c r="A1458" s="6">
        <v>35</v>
      </c>
      <c r="B1458" s="4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s="11" t="str">
        <f>IF(HR_Data[[#This Row],[Age]]&lt;=25,"18-25",IF(HR_Data[[#This Row],[Age]]&lt;=35,"26-35",IF(HR_Data[[#This Row],[Age]]&lt;=45,"36-45",IF(HR_Data[[#This Row],[Age]]&lt;=55,"46-55","56+"))))</f>
        <v>26-35</v>
      </c>
      <c r="AK1458" s="11" t="str">
        <f>IF(HR_Data[[#This Row],[MonthlyIncome]]&lt;3000,"Low",IF(HR_Data[[#This Row],[MonthlyIncome]]&lt;6000,"Medium",IF(HR_Data[[#This Row],[MonthlyIncome]]&lt;10000,"High","Very High")))</f>
        <v>Medium</v>
      </c>
      <c r="AL145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58" t="str">
        <f>IF(HR_Data[[#This Row],[TotalWorkingYears]]&lt;=5,"Junior",IF(HR_Data[[#This Row],[TotalWorkingYears]]&lt;=15,"Mid-Level","Senior"))</f>
        <v>Mid-Level</v>
      </c>
      <c r="AN1458" s="11" t="str">
        <f>IF(HR_Data[[#This Row],[PerformanceRating]]=3,"Standard","Excellent")</f>
        <v>Standard</v>
      </c>
      <c r="AO1458" s="11" t="str">
        <f>IF(HR_Data[[#This Row],[JobSatisfaction]]&lt;=2,"Low","High")</f>
        <v>High</v>
      </c>
      <c r="AP1458" s="11" t="str">
        <f>IF(AND(HR_Data[[#This Row],[OverTime]]="Yes",HR_Data[[#This Row],[JobSatisfaction]]&lt;=2,HR_Data[[#This Row],[YearsAtCompany]]&lt;=2),"High Risk","Normal")</f>
        <v>Normal</v>
      </c>
    </row>
    <row r="1459" spans="1:42" x14ac:dyDescent="0.25">
      <c r="A1459" s="6">
        <v>40</v>
      </c>
      <c r="B1459" s="4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s="11" t="str">
        <f>IF(HR_Data[[#This Row],[Age]]&lt;=25,"18-25",IF(HR_Data[[#This Row],[Age]]&lt;=35,"26-35",IF(HR_Data[[#This Row],[Age]]&lt;=45,"36-45",IF(HR_Data[[#This Row],[Age]]&lt;=55,"46-55","56+"))))</f>
        <v>36-45</v>
      </c>
      <c r="AK1459" s="11" t="str">
        <f>IF(HR_Data[[#This Row],[MonthlyIncome]]&lt;3000,"Low",IF(HR_Data[[#This Row],[MonthlyIncome]]&lt;6000,"Medium",IF(HR_Data[[#This Row],[MonthlyIncome]]&lt;10000,"High","Very High")))</f>
        <v>Low</v>
      </c>
      <c r="AL1459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59" t="str">
        <f>IF(HR_Data[[#This Row],[TotalWorkingYears]]&lt;=5,"Junior",IF(HR_Data[[#This Row],[TotalWorkingYears]]&lt;=15,"Mid-Level","Senior"))</f>
        <v>Senior</v>
      </c>
      <c r="AN1459" s="11" t="str">
        <f>IF(HR_Data[[#This Row],[PerformanceRating]]=3,"Standard","Excellent")</f>
        <v>Standard</v>
      </c>
      <c r="AO1459" s="11" t="str">
        <f>IF(HR_Data[[#This Row],[JobSatisfaction]]&lt;=2,"Low","High")</f>
        <v>High</v>
      </c>
      <c r="AP1459" s="11" t="str">
        <f>IF(AND(HR_Data[[#This Row],[OverTime]]="Yes",HR_Data[[#This Row],[JobSatisfaction]]&lt;=2,HR_Data[[#This Row],[YearsAtCompany]]&lt;=2),"High Risk","Normal")</f>
        <v>Normal</v>
      </c>
    </row>
    <row r="1460" spans="1:42" x14ac:dyDescent="0.25">
      <c r="A1460" s="6">
        <v>35</v>
      </c>
      <c r="B1460" s="4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s="11" t="str">
        <f>IF(HR_Data[[#This Row],[Age]]&lt;=25,"18-25",IF(HR_Data[[#This Row],[Age]]&lt;=35,"26-35",IF(HR_Data[[#This Row],[Age]]&lt;=45,"36-45",IF(HR_Data[[#This Row],[Age]]&lt;=55,"46-55","56+"))))</f>
        <v>26-35</v>
      </c>
      <c r="AK1460" s="11" t="str">
        <f>IF(HR_Data[[#This Row],[MonthlyIncome]]&lt;3000,"Low",IF(HR_Data[[#This Row],[MonthlyIncome]]&lt;6000,"Medium",IF(HR_Data[[#This Row],[MonthlyIncome]]&lt;10000,"High","Very High")))</f>
        <v>Low</v>
      </c>
      <c r="AL1460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60" t="str">
        <f>IF(HR_Data[[#This Row],[TotalWorkingYears]]&lt;=5,"Junior",IF(HR_Data[[#This Row],[TotalWorkingYears]]&lt;=15,"Mid-Level","Senior"))</f>
        <v>Junior</v>
      </c>
      <c r="AN1460" s="11" t="str">
        <f>IF(HR_Data[[#This Row],[PerformanceRating]]=3,"Standard","Excellent")</f>
        <v>Standard</v>
      </c>
      <c r="AO1460" s="11" t="str">
        <f>IF(HR_Data[[#This Row],[JobSatisfaction]]&lt;=2,"Low","High")</f>
        <v>High</v>
      </c>
      <c r="AP1460" s="11" t="str">
        <f>IF(AND(HR_Data[[#This Row],[OverTime]]="Yes",HR_Data[[#This Row],[JobSatisfaction]]&lt;=2,HR_Data[[#This Row],[YearsAtCompany]]&lt;=2),"High Risk","Normal")</f>
        <v>Normal</v>
      </c>
    </row>
    <row r="1461" spans="1:42" x14ac:dyDescent="0.25">
      <c r="A1461" s="6">
        <v>29</v>
      </c>
      <c r="B1461" s="4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s="11" t="str">
        <f>IF(HR_Data[[#This Row],[Age]]&lt;=25,"18-25",IF(HR_Data[[#This Row],[Age]]&lt;=35,"26-35",IF(HR_Data[[#This Row],[Age]]&lt;=45,"36-45",IF(HR_Data[[#This Row],[Age]]&lt;=55,"46-55","56+"))))</f>
        <v>26-35</v>
      </c>
      <c r="AK1461" s="11" t="str">
        <f>IF(HR_Data[[#This Row],[MonthlyIncome]]&lt;3000,"Low",IF(HR_Data[[#This Row],[MonthlyIncome]]&lt;6000,"Medium",IF(HR_Data[[#This Row],[MonthlyIncome]]&lt;10000,"High","Very High")))</f>
        <v>Medium</v>
      </c>
      <c r="AL146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61" t="str">
        <f>IF(HR_Data[[#This Row],[TotalWorkingYears]]&lt;=5,"Junior",IF(HR_Data[[#This Row],[TotalWorkingYears]]&lt;=15,"Mid-Level","Senior"))</f>
        <v>Mid-Level</v>
      </c>
      <c r="AN1461" s="11" t="str">
        <f>IF(HR_Data[[#This Row],[PerformanceRating]]=3,"Standard","Excellent")</f>
        <v>Standard</v>
      </c>
      <c r="AO1461" s="11" t="str">
        <f>IF(HR_Data[[#This Row],[JobSatisfaction]]&lt;=2,"Low","High")</f>
        <v>Low</v>
      </c>
      <c r="AP1461" s="11" t="str">
        <f>IF(AND(HR_Data[[#This Row],[OverTime]]="Yes",HR_Data[[#This Row],[JobSatisfaction]]&lt;=2,HR_Data[[#This Row],[YearsAtCompany]]&lt;=2),"High Risk","Normal")</f>
        <v>Normal</v>
      </c>
    </row>
    <row r="1462" spans="1:42" x14ac:dyDescent="0.25">
      <c r="A1462" s="6">
        <v>29</v>
      </c>
      <c r="B1462" s="4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s="11" t="str">
        <f>IF(HR_Data[[#This Row],[Age]]&lt;=25,"18-25",IF(HR_Data[[#This Row],[Age]]&lt;=35,"26-35",IF(HR_Data[[#This Row],[Age]]&lt;=45,"36-45",IF(HR_Data[[#This Row],[Age]]&lt;=55,"46-55","56+"))))</f>
        <v>26-35</v>
      </c>
      <c r="AK1462" s="11" t="str">
        <f>IF(HR_Data[[#This Row],[MonthlyIncome]]&lt;3000,"Low",IF(HR_Data[[#This Row],[MonthlyIncome]]&lt;6000,"Medium",IF(HR_Data[[#This Row],[MonthlyIncome]]&lt;10000,"High","Very High")))</f>
        <v>Medium</v>
      </c>
      <c r="AL1462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62" t="str">
        <f>IF(HR_Data[[#This Row],[TotalWorkingYears]]&lt;=5,"Junior",IF(HR_Data[[#This Row],[TotalWorkingYears]]&lt;=15,"Mid-Level","Senior"))</f>
        <v>Junior</v>
      </c>
      <c r="AN1462" s="11" t="str">
        <f>IF(HR_Data[[#This Row],[PerformanceRating]]=3,"Standard","Excellent")</f>
        <v>Standard</v>
      </c>
      <c r="AO1462" s="11" t="str">
        <f>IF(HR_Data[[#This Row],[JobSatisfaction]]&lt;=2,"Low","High")</f>
        <v>Low</v>
      </c>
      <c r="AP1462" s="11" t="str">
        <f>IF(AND(HR_Data[[#This Row],[OverTime]]="Yes",HR_Data[[#This Row],[JobSatisfaction]]&lt;=2,HR_Data[[#This Row],[YearsAtCompany]]&lt;=2),"High Risk","Normal")</f>
        <v>Normal</v>
      </c>
    </row>
    <row r="1463" spans="1:42" x14ac:dyDescent="0.25">
      <c r="A1463" s="6">
        <v>50</v>
      </c>
      <c r="B1463" s="4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s="11" t="str">
        <f>IF(HR_Data[[#This Row],[Age]]&lt;=25,"18-25",IF(HR_Data[[#This Row],[Age]]&lt;=35,"26-35",IF(HR_Data[[#This Row],[Age]]&lt;=45,"36-45",IF(HR_Data[[#This Row],[Age]]&lt;=55,"46-55","56+"))))</f>
        <v>46-55</v>
      </c>
      <c r="AK1463" s="11" t="str">
        <f>IF(HR_Data[[#This Row],[MonthlyIncome]]&lt;3000,"Low",IF(HR_Data[[#This Row],[MonthlyIncome]]&lt;6000,"Medium",IF(HR_Data[[#This Row],[MonthlyIncome]]&lt;10000,"High","Very High")))</f>
        <v>Very High</v>
      </c>
      <c r="AL1463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63" t="str">
        <f>IF(HR_Data[[#This Row],[TotalWorkingYears]]&lt;=5,"Junior",IF(HR_Data[[#This Row],[TotalWorkingYears]]&lt;=15,"Mid-Level","Senior"))</f>
        <v>Senior</v>
      </c>
      <c r="AN1463" s="11" t="str">
        <f>IF(HR_Data[[#This Row],[PerformanceRating]]=3,"Standard","Excellent")</f>
        <v>Standard</v>
      </c>
      <c r="AO1463" s="11" t="str">
        <f>IF(HR_Data[[#This Row],[JobSatisfaction]]&lt;=2,"Low","High")</f>
        <v>Low</v>
      </c>
      <c r="AP1463" s="11" t="str">
        <f>IF(AND(HR_Data[[#This Row],[OverTime]]="Yes",HR_Data[[#This Row],[JobSatisfaction]]&lt;=2,HR_Data[[#This Row],[YearsAtCompany]]&lt;=2),"High Risk","Normal")</f>
        <v>Normal</v>
      </c>
    </row>
    <row r="1464" spans="1:42" x14ac:dyDescent="0.25">
      <c r="A1464" s="6">
        <v>39</v>
      </c>
      <c r="B1464" s="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s="11" t="str">
        <f>IF(HR_Data[[#This Row],[Age]]&lt;=25,"18-25",IF(HR_Data[[#This Row],[Age]]&lt;=35,"26-35",IF(HR_Data[[#This Row],[Age]]&lt;=45,"36-45",IF(HR_Data[[#This Row],[Age]]&lt;=55,"46-55","56+"))))</f>
        <v>36-45</v>
      </c>
      <c r="AK1464" s="11" t="str">
        <f>IF(HR_Data[[#This Row],[MonthlyIncome]]&lt;3000,"Low",IF(HR_Data[[#This Row],[MonthlyIncome]]&lt;6000,"Medium",IF(HR_Data[[#This Row],[MonthlyIncome]]&lt;10000,"High","Very High")))</f>
        <v>Very High</v>
      </c>
      <c r="AL1464" s="11" t="str">
        <f>IF(HR_Data[[#This Row],[YearsAtCompany]]&lt;=2,"0-2",IF(HR_Data[[#This Row],[YearsAtCompany]]&lt;=5,"3-5",IF(HR_Data[[#This Row],[YearsAtCompany]]&lt;=10,"6-10",IF(HR_Data[[#This Row],[YearsAtCompany]]&lt;=15,"11-15","16+"))))</f>
        <v>16+</v>
      </c>
      <c r="AM1464" t="str">
        <f>IF(HR_Data[[#This Row],[TotalWorkingYears]]&lt;=5,"Junior",IF(HR_Data[[#This Row],[TotalWorkingYears]]&lt;=15,"Mid-Level","Senior"))</f>
        <v>Senior</v>
      </c>
      <c r="AN1464" s="11" t="str">
        <f>IF(HR_Data[[#This Row],[PerformanceRating]]=3,"Standard","Excellent")</f>
        <v>Standard</v>
      </c>
      <c r="AO1464" s="11" t="str">
        <f>IF(HR_Data[[#This Row],[JobSatisfaction]]&lt;=2,"Low","High")</f>
        <v>High</v>
      </c>
      <c r="AP1464" s="11" t="str">
        <f>IF(AND(HR_Data[[#This Row],[OverTime]]="Yes",HR_Data[[#This Row],[JobSatisfaction]]&lt;=2,HR_Data[[#This Row],[YearsAtCompany]]&lt;=2),"High Risk","Normal")</f>
        <v>Normal</v>
      </c>
    </row>
    <row r="1465" spans="1:42" x14ac:dyDescent="0.25">
      <c r="A1465" s="6">
        <v>31</v>
      </c>
      <c r="B1465" s="4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s="11" t="str">
        <f>IF(HR_Data[[#This Row],[Age]]&lt;=25,"18-25",IF(HR_Data[[#This Row],[Age]]&lt;=35,"26-35",IF(HR_Data[[#This Row],[Age]]&lt;=45,"36-45",IF(HR_Data[[#This Row],[Age]]&lt;=55,"46-55","56+"))))</f>
        <v>26-35</v>
      </c>
      <c r="AK1465" s="11" t="str">
        <f>IF(HR_Data[[#This Row],[MonthlyIncome]]&lt;3000,"Low",IF(HR_Data[[#This Row],[MonthlyIncome]]&lt;6000,"Medium",IF(HR_Data[[#This Row],[MonthlyIncome]]&lt;10000,"High","Very High")))</f>
        <v>High</v>
      </c>
      <c r="AL1465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65" t="str">
        <f>IF(HR_Data[[#This Row],[TotalWorkingYears]]&lt;=5,"Junior",IF(HR_Data[[#This Row],[TotalWorkingYears]]&lt;=15,"Mid-Level","Senior"))</f>
        <v>Mid-Level</v>
      </c>
      <c r="AN1465" s="11" t="str">
        <f>IF(HR_Data[[#This Row],[PerformanceRating]]=3,"Standard","Excellent")</f>
        <v>Standard</v>
      </c>
      <c r="AO1465" s="11" t="str">
        <f>IF(HR_Data[[#This Row],[JobSatisfaction]]&lt;=2,"Low","High")</f>
        <v>Low</v>
      </c>
      <c r="AP1465" s="11" t="str">
        <f>IF(AND(HR_Data[[#This Row],[OverTime]]="Yes",HR_Data[[#This Row],[JobSatisfaction]]&lt;=2,HR_Data[[#This Row],[YearsAtCompany]]&lt;=2),"High Risk","Normal")</f>
        <v>Normal</v>
      </c>
    </row>
    <row r="1466" spans="1:42" x14ac:dyDescent="0.25">
      <c r="A1466" s="6">
        <v>26</v>
      </c>
      <c r="B1466" s="4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s="11" t="str">
        <f>IF(HR_Data[[#This Row],[Age]]&lt;=25,"18-25",IF(HR_Data[[#This Row],[Age]]&lt;=35,"26-35",IF(HR_Data[[#This Row],[Age]]&lt;=45,"36-45",IF(HR_Data[[#This Row],[Age]]&lt;=55,"46-55","56+"))))</f>
        <v>26-35</v>
      </c>
      <c r="AK1466" s="11" t="str">
        <f>IF(HR_Data[[#This Row],[MonthlyIncome]]&lt;3000,"Low",IF(HR_Data[[#This Row],[MonthlyIncome]]&lt;6000,"Medium",IF(HR_Data[[#This Row],[MonthlyIncome]]&lt;10000,"High","Very High")))</f>
        <v>Low</v>
      </c>
      <c r="AL1466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66" t="str">
        <f>IF(HR_Data[[#This Row],[TotalWorkingYears]]&lt;=5,"Junior",IF(HR_Data[[#This Row],[TotalWorkingYears]]&lt;=15,"Mid-Level","Senior"))</f>
        <v>Junior</v>
      </c>
      <c r="AN1466" s="11" t="str">
        <f>IF(HR_Data[[#This Row],[PerformanceRating]]=3,"Standard","Excellent")</f>
        <v>Standard</v>
      </c>
      <c r="AO1466" s="11" t="str">
        <f>IF(HR_Data[[#This Row],[JobSatisfaction]]&lt;=2,"Low","High")</f>
        <v>High</v>
      </c>
      <c r="AP1466" s="11" t="str">
        <f>IF(AND(HR_Data[[#This Row],[OverTime]]="Yes",HR_Data[[#This Row],[JobSatisfaction]]&lt;=2,HR_Data[[#This Row],[YearsAtCompany]]&lt;=2),"High Risk","Normal")</f>
        <v>Normal</v>
      </c>
    </row>
    <row r="1467" spans="1:42" x14ac:dyDescent="0.25">
      <c r="A1467" s="6">
        <v>36</v>
      </c>
      <c r="B1467" s="4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s="11" t="str">
        <f>IF(HR_Data[[#This Row],[Age]]&lt;=25,"18-25",IF(HR_Data[[#This Row],[Age]]&lt;=35,"26-35",IF(HR_Data[[#This Row],[Age]]&lt;=45,"36-45",IF(HR_Data[[#This Row],[Age]]&lt;=55,"46-55","56+"))))</f>
        <v>36-45</v>
      </c>
      <c r="AK1467" s="11" t="str">
        <f>IF(HR_Data[[#This Row],[MonthlyIncome]]&lt;3000,"Low",IF(HR_Data[[#This Row],[MonthlyIncome]]&lt;6000,"Medium",IF(HR_Data[[#This Row],[MonthlyIncome]]&lt;10000,"High","Very High")))</f>
        <v>Low</v>
      </c>
      <c r="AL1467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67" t="str">
        <f>IF(HR_Data[[#This Row],[TotalWorkingYears]]&lt;=5,"Junior",IF(HR_Data[[#This Row],[TotalWorkingYears]]&lt;=15,"Mid-Level","Senior"))</f>
        <v>Senior</v>
      </c>
      <c r="AN1467" s="11" t="str">
        <f>IF(HR_Data[[#This Row],[PerformanceRating]]=3,"Standard","Excellent")</f>
        <v>Standard</v>
      </c>
      <c r="AO1467" s="11" t="str">
        <f>IF(HR_Data[[#This Row],[JobSatisfaction]]&lt;=2,"Low","High")</f>
        <v>High</v>
      </c>
      <c r="AP1467" s="11" t="str">
        <f>IF(AND(HR_Data[[#This Row],[OverTime]]="Yes",HR_Data[[#This Row],[JobSatisfaction]]&lt;=2,HR_Data[[#This Row],[YearsAtCompany]]&lt;=2),"High Risk","Normal")</f>
        <v>Normal</v>
      </c>
    </row>
    <row r="1468" spans="1:42" x14ac:dyDescent="0.25">
      <c r="A1468" s="6">
        <v>39</v>
      </c>
      <c r="B1468" s="4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s="11" t="str">
        <f>IF(HR_Data[[#This Row],[Age]]&lt;=25,"18-25",IF(HR_Data[[#This Row],[Age]]&lt;=35,"26-35",IF(HR_Data[[#This Row],[Age]]&lt;=45,"36-45",IF(HR_Data[[#This Row],[Age]]&lt;=55,"46-55","56+"))))</f>
        <v>36-45</v>
      </c>
      <c r="AK1468" s="11" t="str">
        <f>IF(HR_Data[[#This Row],[MonthlyIncome]]&lt;3000,"Low",IF(HR_Data[[#This Row],[MonthlyIncome]]&lt;6000,"Medium",IF(HR_Data[[#This Row],[MonthlyIncome]]&lt;10000,"High","Very High")))</f>
        <v>High</v>
      </c>
      <c r="AL1468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68" t="str">
        <f>IF(HR_Data[[#This Row],[TotalWorkingYears]]&lt;=5,"Junior",IF(HR_Data[[#This Row],[TotalWorkingYears]]&lt;=15,"Mid-Level","Senior"))</f>
        <v>Mid-Level</v>
      </c>
      <c r="AN1468" s="11" t="str">
        <f>IF(HR_Data[[#This Row],[PerformanceRating]]=3,"Standard","Excellent")</f>
        <v>Standard</v>
      </c>
      <c r="AO1468" s="11" t="str">
        <f>IF(HR_Data[[#This Row],[JobSatisfaction]]&lt;=2,"Low","High")</f>
        <v>Low</v>
      </c>
      <c r="AP1468" s="11" t="str">
        <f>IF(AND(HR_Data[[#This Row],[OverTime]]="Yes",HR_Data[[#This Row],[JobSatisfaction]]&lt;=2,HR_Data[[#This Row],[YearsAtCompany]]&lt;=2),"High Risk","Normal")</f>
        <v>Normal</v>
      </c>
    </row>
    <row r="1469" spans="1:42" x14ac:dyDescent="0.25">
      <c r="A1469" s="6">
        <v>27</v>
      </c>
      <c r="B1469" s="4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s="11" t="str">
        <f>IF(HR_Data[[#This Row],[Age]]&lt;=25,"18-25",IF(HR_Data[[#This Row],[Age]]&lt;=35,"26-35",IF(HR_Data[[#This Row],[Age]]&lt;=45,"36-45",IF(HR_Data[[#This Row],[Age]]&lt;=55,"46-55","56+"))))</f>
        <v>26-35</v>
      </c>
      <c r="AK1469" s="11" t="str">
        <f>IF(HR_Data[[#This Row],[MonthlyIncome]]&lt;3000,"Low",IF(HR_Data[[#This Row],[MonthlyIncome]]&lt;6000,"Medium",IF(HR_Data[[#This Row],[MonthlyIncome]]&lt;10000,"High","Very High")))</f>
        <v>High</v>
      </c>
      <c r="AL1469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69" t="str">
        <f>IF(HR_Data[[#This Row],[TotalWorkingYears]]&lt;=5,"Junior",IF(HR_Data[[#This Row],[TotalWorkingYears]]&lt;=15,"Mid-Level","Senior"))</f>
        <v>Mid-Level</v>
      </c>
      <c r="AN1469" s="11" t="str">
        <f>IF(HR_Data[[#This Row],[PerformanceRating]]=3,"Standard","Excellent")</f>
        <v>Excellent</v>
      </c>
      <c r="AO1469" s="11" t="str">
        <f>IF(HR_Data[[#This Row],[JobSatisfaction]]&lt;=2,"Low","High")</f>
        <v>Low</v>
      </c>
      <c r="AP1469" s="11" t="str">
        <f>IF(AND(HR_Data[[#This Row],[OverTime]]="Yes",HR_Data[[#This Row],[JobSatisfaction]]&lt;=2,HR_Data[[#This Row],[YearsAtCompany]]&lt;=2),"High Risk","Normal")</f>
        <v>Normal</v>
      </c>
    </row>
    <row r="1470" spans="1:42" x14ac:dyDescent="0.25">
      <c r="A1470" s="6">
        <v>49</v>
      </c>
      <c r="B1470" s="4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s="11" t="str">
        <f>IF(HR_Data[[#This Row],[Age]]&lt;=25,"18-25",IF(HR_Data[[#This Row],[Age]]&lt;=35,"26-35",IF(HR_Data[[#This Row],[Age]]&lt;=45,"36-45",IF(HR_Data[[#This Row],[Age]]&lt;=55,"46-55","56+"))))</f>
        <v>46-55</v>
      </c>
      <c r="AK1470" s="11" t="str">
        <f>IF(HR_Data[[#This Row],[MonthlyIncome]]&lt;3000,"Low",IF(HR_Data[[#This Row],[MonthlyIncome]]&lt;6000,"Medium",IF(HR_Data[[#This Row],[MonthlyIncome]]&lt;10000,"High","Very High")))</f>
        <v>Medium</v>
      </c>
      <c r="AL1470" s="11" t="str">
        <f>IF(HR_Data[[#This Row],[YearsAtCompany]]&lt;=2,"0-2",IF(HR_Data[[#This Row],[YearsAtCompany]]&lt;=5,"3-5",IF(HR_Data[[#This Row],[YearsAtCompany]]&lt;=10,"6-10",IF(HR_Data[[#This Row],[YearsAtCompany]]&lt;=15,"11-15","16+"))))</f>
        <v>6-10</v>
      </c>
      <c r="AM1470" t="str">
        <f>IF(HR_Data[[#This Row],[TotalWorkingYears]]&lt;=5,"Junior",IF(HR_Data[[#This Row],[TotalWorkingYears]]&lt;=15,"Mid-Level","Senior"))</f>
        <v>Senior</v>
      </c>
      <c r="AN1470" s="11" t="str">
        <f>IF(HR_Data[[#This Row],[PerformanceRating]]=3,"Standard","Excellent")</f>
        <v>Standard</v>
      </c>
      <c r="AO1470" s="11" t="str">
        <f>IF(HR_Data[[#This Row],[JobSatisfaction]]&lt;=2,"Low","High")</f>
        <v>Low</v>
      </c>
      <c r="AP1470" s="11" t="str">
        <f>IF(AND(HR_Data[[#This Row],[OverTime]]="Yes",HR_Data[[#This Row],[JobSatisfaction]]&lt;=2,HR_Data[[#This Row],[YearsAtCompany]]&lt;=2),"High Risk","Normal")</f>
        <v>Normal</v>
      </c>
    </row>
    <row r="1471" spans="1:42" x14ac:dyDescent="0.25">
      <c r="A1471" s="6">
        <v>34</v>
      </c>
      <c r="B1471" s="4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s="11" t="str">
        <f>IF(HR_Data[[#This Row],[Age]]&lt;=25,"18-25",IF(HR_Data[[#This Row],[Age]]&lt;=35,"26-35",IF(HR_Data[[#This Row],[Age]]&lt;=45,"36-45",IF(HR_Data[[#This Row],[Age]]&lt;=55,"46-55","56+"))))</f>
        <v>26-35</v>
      </c>
      <c r="AK1471" s="11" t="str">
        <f>IF(HR_Data[[#This Row],[MonthlyIncome]]&lt;3000,"Low",IF(HR_Data[[#This Row],[MonthlyIncome]]&lt;6000,"Medium",IF(HR_Data[[#This Row],[MonthlyIncome]]&lt;10000,"High","Very High")))</f>
        <v>Medium</v>
      </c>
      <c r="AL1471" s="11" t="str">
        <f>IF(HR_Data[[#This Row],[YearsAtCompany]]&lt;=2,"0-2",IF(HR_Data[[#This Row],[YearsAtCompany]]&lt;=5,"3-5",IF(HR_Data[[#This Row],[YearsAtCompany]]&lt;=10,"6-10",IF(HR_Data[[#This Row],[YearsAtCompany]]&lt;=15,"11-15","16+"))))</f>
        <v>3-5</v>
      </c>
      <c r="AM1471" t="str">
        <f>IF(HR_Data[[#This Row],[TotalWorkingYears]]&lt;=5,"Junior",IF(HR_Data[[#This Row],[TotalWorkingYears]]&lt;=15,"Mid-Level","Senior"))</f>
        <v>Mid-Level</v>
      </c>
      <c r="AN1471" s="11" t="str">
        <f>IF(HR_Data[[#This Row],[PerformanceRating]]=3,"Standard","Excellent")</f>
        <v>Standard</v>
      </c>
      <c r="AO1471" s="11" t="str">
        <f>IF(HR_Data[[#This Row],[JobSatisfaction]]&lt;=2,"Low","High")</f>
        <v>High</v>
      </c>
      <c r="AP1471" s="11" t="str">
        <f>IF(AND(HR_Data[[#This Row],[OverTime]]="Yes",HR_Data[[#This Row],[JobSatisfaction]]&lt;=2,HR_Data[[#This Row],[YearsAtCompany]]&lt;=2),"High Risk","Normal")</f>
        <v>Normal</v>
      </c>
    </row>
  </sheetData>
  <pageMargins left="0.75" right="0.75" top="1" bottom="1" header="0.5" footer="0.5"/>
  <pageSetup paperSize="9" orientation="portrait" r:id="rId1"/>
  <ignoredErrors>
    <ignoredError sqref="AL2:AL3" twoDigitTextYear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4453-24E7-4E1B-B727-BAFECEBB3315}">
  <dimension ref="A1:L15"/>
  <sheetViews>
    <sheetView zoomScaleNormal="100" workbookViewId="0">
      <selection activeCell="E10" sqref="E10"/>
    </sheetView>
  </sheetViews>
  <sheetFormatPr defaultRowHeight="15" x14ac:dyDescent="0.25"/>
  <cols>
    <col min="2" max="2" width="31" style="2" customWidth="1"/>
    <col min="3" max="3" width="21.7109375" style="2" customWidth="1"/>
    <col min="5" max="5" width="25.7109375" customWidth="1"/>
    <col min="6" max="6" width="14.28515625" customWidth="1"/>
    <col min="7" max="7" width="21" customWidth="1"/>
    <col min="8" max="8" width="14.5703125" customWidth="1"/>
    <col min="10" max="10" width="23.28515625" customWidth="1"/>
    <col min="11" max="11" width="13.5703125" customWidth="1"/>
    <col min="12" max="12" width="20.28515625" bestFit="1" customWidth="1"/>
  </cols>
  <sheetData>
    <row r="1" spans="1:12" ht="15" customHeight="1" x14ac:dyDescent="0.25">
      <c r="A1" s="31" t="s">
        <v>62</v>
      </c>
      <c r="B1" s="31"/>
      <c r="C1" s="31"/>
      <c r="D1" s="31"/>
      <c r="E1" s="31"/>
      <c r="F1" s="31"/>
      <c r="G1" s="31"/>
      <c r="H1" s="31"/>
      <c r="I1" s="31"/>
      <c r="J1" s="31"/>
    </row>
    <row r="2" spans="1:12" ht="31.5" customHeigh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4" spans="1:12" ht="20.25" thickBot="1" x14ac:dyDescent="0.35">
      <c r="B4" s="11" t="s">
        <v>87</v>
      </c>
      <c r="C4" s="11" t="s">
        <v>86</v>
      </c>
      <c r="E4" s="30" t="s">
        <v>74</v>
      </c>
      <c r="F4" s="30"/>
      <c r="G4" s="30"/>
      <c r="H4" s="30"/>
      <c r="J4" s="30" t="s">
        <v>78</v>
      </c>
      <c r="K4" s="30"/>
      <c r="L4" s="30"/>
    </row>
    <row r="5" spans="1:12" ht="15.75" thickTop="1" x14ac:dyDescent="0.25">
      <c r="B5" s="2" t="s">
        <v>63</v>
      </c>
      <c r="C5" s="2">
        <f>COUNTA(HR_Data!J:J)</f>
        <v>1471</v>
      </c>
      <c r="E5" s="2" t="s">
        <v>4</v>
      </c>
      <c r="F5" s="2" t="s">
        <v>75</v>
      </c>
      <c r="G5" s="2" t="s">
        <v>1</v>
      </c>
      <c r="H5" s="2" t="s">
        <v>76</v>
      </c>
      <c r="I5" s="11"/>
      <c r="J5" s="2" t="s">
        <v>79</v>
      </c>
      <c r="K5" s="2" t="s">
        <v>75</v>
      </c>
      <c r="L5" s="2" t="s">
        <v>80</v>
      </c>
    </row>
    <row r="6" spans="1:12" x14ac:dyDescent="0.25">
      <c r="B6" s="2" t="s">
        <v>64</v>
      </c>
      <c r="C6" s="2">
        <f>COUNTIF(HR_Data!B:B,"No")</f>
        <v>1233</v>
      </c>
      <c r="E6" s="2" t="s">
        <v>77</v>
      </c>
      <c r="F6" s="2">
        <f>COUNTIF(HR_Data[Department], "Human Resources")</f>
        <v>63</v>
      </c>
      <c r="G6" s="2">
        <f>COUNTIFS(HR_Data[Department], "Human Resources", HR_Data[Attrition], "Yes")</f>
        <v>12</v>
      </c>
      <c r="H6" s="8">
        <f>G6/F6*100</f>
        <v>19.047619047619047</v>
      </c>
      <c r="I6" s="11"/>
      <c r="J6" s="2" t="s">
        <v>82</v>
      </c>
      <c r="K6" s="2" cm="1">
        <f t="array" ref="K6">SUMPRODUCT((HR_Data[Age]&gt;=18)*(HR_Data[Age]&lt;=25))</f>
        <v>123</v>
      </c>
      <c r="L6" s="8">
        <f>AVERAGEIFS(HR_Data[MonthlyIncome], HR_Data[Age], "&gt;=18", HR_Data[Age], "&lt;=25")</f>
        <v>2972.8861788617887</v>
      </c>
    </row>
    <row r="7" spans="1:12" x14ac:dyDescent="0.25">
      <c r="B7" s="2" t="s">
        <v>65</v>
      </c>
      <c r="C7" s="2">
        <f>COUNTIF(HR_Data[Attrition], "Yes")</f>
        <v>237</v>
      </c>
      <c r="E7" s="2" t="s">
        <v>45</v>
      </c>
      <c r="F7" s="2">
        <f>COUNTIF(HR_Data[Department], "Research &amp; Development")</f>
        <v>961</v>
      </c>
      <c r="G7" s="2">
        <f>COUNTIFS(HR_Data[Department], "Research &amp; Development", HR_Data[Attrition], "Yes")</f>
        <v>133</v>
      </c>
      <c r="H7" s="8">
        <f>G7/F7*100</f>
        <v>13.839750260145681</v>
      </c>
      <c r="I7" s="11"/>
      <c r="J7" s="2" t="s">
        <v>81</v>
      </c>
      <c r="K7" s="2" cm="1">
        <f t="array" ref="K7">SUMPRODUCT((HR_Data[Age]&gt;=26)*(HR_Data[Age]&lt;=35))</f>
        <v>606</v>
      </c>
      <c r="L7" s="8">
        <f>AVERAGEIFS(HR_Data[MonthlyIncome], HR_Data[Age], "&gt;=26", HR_Data[Age], "&lt;=35")</f>
        <v>4895.6336633663368</v>
      </c>
    </row>
    <row r="8" spans="1:12" x14ac:dyDescent="0.25">
      <c r="B8" s="2" t="s">
        <v>66</v>
      </c>
      <c r="C8" s="7">
        <f>C7/C5*100</f>
        <v>16.111488783140722</v>
      </c>
      <c r="E8" s="2" t="s">
        <v>37</v>
      </c>
      <c r="F8" s="2">
        <f>COUNTIF(HR_Data[Department], "Sales")</f>
        <v>446</v>
      </c>
      <c r="G8" s="2">
        <f>COUNTIFS(HR_Data[Department], "Sales", HR_Data[Attrition], "Yes")</f>
        <v>92</v>
      </c>
      <c r="H8" s="8">
        <f>G8/F8*100</f>
        <v>20.627802690582961</v>
      </c>
      <c r="I8" s="11"/>
      <c r="J8" s="2" t="s">
        <v>85</v>
      </c>
      <c r="K8" s="2" cm="1">
        <f t="array" ref="K8">SUMPRODUCT((HR_Data[Age]&gt;=36)*(HR_Data[Age]&lt;=45))</f>
        <v>468</v>
      </c>
      <c r="L8" s="8">
        <f>AVERAGEIFS(HR_Data[MonthlyIncome], HR_Data[Age], "&gt;=36", HR_Data[Age], "&lt;=45")</f>
        <v>7104.4444444444443</v>
      </c>
    </row>
    <row r="9" spans="1:12" x14ac:dyDescent="0.25">
      <c r="B9" s="2" t="s">
        <v>67</v>
      </c>
      <c r="C9" s="9">
        <f>AVERAGE(HR_Data[Age])</f>
        <v>36.923809523809524</v>
      </c>
      <c r="E9" s="2"/>
      <c r="F9" s="2"/>
      <c r="G9" s="2"/>
      <c r="H9" s="2"/>
      <c r="J9" s="2" t="s">
        <v>83</v>
      </c>
      <c r="K9" s="2" cm="1">
        <f t="array" ref="K9">SUMPRODUCT((HR_Data[Age]&gt;=46)*(HR_Data[Age]&lt;=55))</f>
        <v>226</v>
      </c>
      <c r="L9" s="8">
        <f>AVERAGEIFS(HR_Data[MonthlyIncome], HR_Data[Age], "&gt;=46", HR_Data[Age], "&lt;=55")</f>
        <v>10927.96017699115</v>
      </c>
    </row>
    <row r="10" spans="1:12" x14ac:dyDescent="0.25">
      <c r="B10" s="2" t="s">
        <v>68</v>
      </c>
      <c r="C10" s="10">
        <f>AVERAGE(HR_Data[MonthlyIncome])</f>
        <v>6502.931292517007</v>
      </c>
      <c r="E10" s="2"/>
      <c r="F10" s="2"/>
      <c r="G10" s="2"/>
      <c r="H10" s="2"/>
      <c r="J10" s="2" t="s">
        <v>84</v>
      </c>
      <c r="K10" s="2" cm="1">
        <f t="array" ref="K10">SUMPRODUCT((HR_Data[Age]&gt;=56)*1)</f>
        <v>47</v>
      </c>
      <c r="L10" s="8">
        <f>AVERAGEIFS(HR_Data[MonthlyIncome], HR_Data[Age], "&gt;=56")</f>
        <v>9197.6808510638293</v>
      </c>
    </row>
    <row r="11" spans="1:12" x14ac:dyDescent="0.25">
      <c r="B11" s="2" t="s">
        <v>69</v>
      </c>
      <c r="C11" s="9">
        <f>AVERAGE(HR_Data[YearsAtCompany])</f>
        <v>7.0081632653061225</v>
      </c>
      <c r="E11" s="2"/>
      <c r="F11" s="2"/>
      <c r="G11" s="2"/>
      <c r="H11" s="2"/>
    </row>
    <row r="12" spans="1:12" x14ac:dyDescent="0.25">
      <c r="B12" s="2" t="s">
        <v>70</v>
      </c>
      <c r="C12" s="2">
        <f>COUNTIF(HR_Data[Gender], "Male")</f>
        <v>882</v>
      </c>
    </row>
    <row r="13" spans="1:12" x14ac:dyDescent="0.25">
      <c r="B13" s="2" t="s">
        <v>71</v>
      </c>
      <c r="C13" s="2">
        <f>COUNTIF(HR_Data[Gender], "Female")</f>
        <v>588</v>
      </c>
    </row>
    <row r="14" spans="1:12" x14ac:dyDescent="0.25">
      <c r="B14" s="2" t="s">
        <v>72</v>
      </c>
      <c r="C14" s="8">
        <f>AVERAGE(HR_Data[PerformanceRating])</f>
        <v>3.1537414965986397</v>
      </c>
    </row>
    <row r="15" spans="1:12" x14ac:dyDescent="0.25">
      <c r="B15" s="2" t="s">
        <v>73</v>
      </c>
      <c r="C15" s="8">
        <f>AVERAGE(HR_Data[JobSatisfaction])</f>
        <v>2.7285714285714286</v>
      </c>
    </row>
  </sheetData>
  <mergeCells count="3">
    <mergeCell ref="E4:H4"/>
    <mergeCell ref="J4:L4"/>
    <mergeCell ref="A1:J2"/>
  </mergeCells>
  <conditionalFormatting sqref="B8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C8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{5F411AF8-9D4E-45AF-848A-2ABD9B22AA71}</x14:id>
        </ext>
      </extLst>
    </cfRule>
  </conditionalFormatting>
  <conditionalFormatting sqref="C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{1CE60022-40B7-4F5F-806B-B6EEBB301B7E}</x14:id>
        </ext>
      </extLst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411AF8-9D4E-45AF-848A-2ABD9B22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  <x14:conditionalFormatting xmlns:xm="http://schemas.microsoft.com/office/excel/2006/main">
          <x14:cfRule type="dataBar" id="{1CE60022-40B7-4F5F-806B-B6EEBB301B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B8C8-B379-4851-93E2-102DC37502D9}">
  <dimension ref="B1:I56"/>
  <sheetViews>
    <sheetView topLeftCell="A20" zoomScale="142" zoomScaleNormal="71" workbookViewId="0">
      <selection activeCell="F33" sqref="F33"/>
    </sheetView>
  </sheetViews>
  <sheetFormatPr defaultRowHeight="15" x14ac:dyDescent="0.25"/>
  <cols>
    <col min="1" max="1" width="8.85546875" customWidth="1"/>
    <col min="2" max="2" width="27.7109375" customWidth="1"/>
    <col min="3" max="3" width="11" customWidth="1"/>
    <col min="4" max="4" width="11.7109375" customWidth="1"/>
    <col min="5" max="5" width="20" customWidth="1"/>
    <col min="6" max="6" width="17.140625" customWidth="1"/>
    <col min="10" max="10" width="11" customWidth="1"/>
  </cols>
  <sheetData>
    <row r="1" spans="2:9" ht="26.25" customHeight="1" x14ac:dyDescent="0.25">
      <c r="B1" s="33" t="s">
        <v>88</v>
      </c>
      <c r="C1" s="33"/>
      <c r="D1" s="33"/>
      <c r="E1" s="33"/>
      <c r="F1" s="33"/>
    </row>
    <row r="2" spans="2:9" x14ac:dyDescent="0.25">
      <c r="B2" s="33"/>
      <c r="C2" s="33"/>
      <c r="D2" s="33"/>
      <c r="E2" s="33"/>
      <c r="F2" s="33"/>
    </row>
    <row r="3" spans="2:9" ht="26.25" x14ac:dyDescent="0.25">
      <c r="B3" s="12"/>
      <c r="C3" s="12"/>
      <c r="D3" s="12"/>
      <c r="E3" s="12"/>
      <c r="F3" s="12"/>
    </row>
    <row r="4" spans="2:9" ht="18.75" x14ac:dyDescent="0.3">
      <c r="B4" s="34" t="s">
        <v>100</v>
      </c>
      <c r="C4" s="34"/>
      <c r="D4" s="34"/>
      <c r="E4" s="34"/>
      <c r="F4" s="34"/>
    </row>
    <row r="5" spans="2:9" x14ac:dyDescent="0.25">
      <c r="B5" s="11" t="s">
        <v>4</v>
      </c>
      <c r="C5" s="11" t="s">
        <v>89</v>
      </c>
      <c r="D5" s="11" t="s">
        <v>90</v>
      </c>
      <c r="E5" s="11" t="s">
        <v>91</v>
      </c>
      <c r="F5" s="11" t="s">
        <v>66</v>
      </c>
    </row>
    <row r="6" spans="2:9" x14ac:dyDescent="0.25">
      <c r="B6" s="11" t="s">
        <v>77</v>
      </c>
      <c r="C6" s="11">
        <f>COUNTIF(HR_Data[Department], "Human Resources")</f>
        <v>63</v>
      </c>
      <c r="D6" s="11">
        <f>COUNTIFS(HR_Data[Department], "Human Resources", HR_Data[Attrition], "Yes")</f>
        <v>12</v>
      </c>
      <c r="E6" s="11">
        <f>C6-D6</f>
        <v>51</v>
      </c>
      <c r="F6" s="8">
        <f>D6/C6*100</f>
        <v>19.047619047619047</v>
      </c>
    </row>
    <row r="7" spans="2:9" x14ac:dyDescent="0.25">
      <c r="B7" s="11" t="s">
        <v>45</v>
      </c>
      <c r="C7" s="11">
        <f>COUNTIF(HR_Data[Department], "Research &amp; Development")</f>
        <v>961</v>
      </c>
      <c r="D7" s="11">
        <f>COUNTIFS(HR_Data[Department], "Research &amp; Development", HR_Data[Attrition], "Yes")</f>
        <v>133</v>
      </c>
      <c r="E7" s="11">
        <f>C7-D7</f>
        <v>828</v>
      </c>
      <c r="F7" s="8">
        <f>D7/C7*100</f>
        <v>13.839750260145681</v>
      </c>
    </row>
    <row r="8" spans="2:9" x14ac:dyDescent="0.25">
      <c r="B8" s="11" t="s">
        <v>37</v>
      </c>
      <c r="C8" s="11">
        <f>COUNTIF(HR_Data[Department], "Sales")</f>
        <v>446</v>
      </c>
      <c r="D8" s="11">
        <f>COUNTIFS(HR_Data[Department], "Sales", HR_Data[Attrition], "Yes")</f>
        <v>92</v>
      </c>
      <c r="E8" s="11">
        <f>C8-D8</f>
        <v>354</v>
      </c>
      <c r="F8" s="8">
        <f>D8/C8*100</f>
        <v>20.627802690582961</v>
      </c>
    </row>
    <row r="9" spans="2:9" x14ac:dyDescent="0.25">
      <c r="B9" s="11"/>
      <c r="C9" s="11"/>
      <c r="D9" s="11"/>
      <c r="E9" s="11"/>
      <c r="F9" s="8"/>
    </row>
    <row r="10" spans="2:9" x14ac:dyDescent="0.25">
      <c r="B10" s="11"/>
      <c r="C10" s="11"/>
      <c r="D10" s="11"/>
      <c r="E10" s="11"/>
      <c r="F10" s="8"/>
    </row>
    <row r="11" spans="2:9" ht="18.75" x14ac:dyDescent="0.3">
      <c r="B11" s="34" t="s">
        <v>101</v>
      </c>
      <c r="C11" s="34"/>
      <c r="D11" s="34"/>
      <c r="E11" s="34"/>
    </row>
    <row r="12" spans="2:9" x14ac:dyDescent="0.25">
      <c r="B12" s="11" t="s">
        <v>92</v>
      </c>
      <c r="C12" s="11" t="s">
        <v>89</v>
      </c>
      <c r="D12" s="11" t="s">
        <v>90</v>
      </c>
      <c r="E12" s="11" t="s">
        <v>66</v>
      </c>
      <c r="I12" s="14"/>
    </row>
    <row r="13" spans="2:9" x14ac:dyDescent="0.25">
      <c r="B13" s="11" t="s">
        <v>82</v>
      </c>
      <c r="C13" s="11" cm="1">
        <f t="array" ref="C13">SUMPRODUCT((HR_Data[Age]&gt;=18)*(HR_Data[Age]&lt;=25))</f>
        <v>123</v>
      </c>
      <c r="D13" s="11" cm="1">
        <f t="array" ref="D13">SUMPRODUCT((HR_Data[Age]&gt;=18)*(HR_Data[Age]&lt;=25)*(HR_Data[Attrition]="Yes"))</f>
        <v>44</v>
      </c>
      <c r="E13" s="8">
        <f>$D13/$C13*100</f>
        <v>35.772357723577237</v>
      </c>
    </row>
    <row r="14" spans="2:9" x14ac:dyDescent="0.25">
      <c r="B14" s="11" t="s">
        <v>81</v>
      </c>
      <c r="C14" s="11" cm="1">
        <f t="array" ref="C14">SUMPRODUCT((HR_Data[Age]&gt;=26)*(HR_Data[Age]&lt;=35))</f>
        <v>606</v>
      </c>
      <c r="D14" s="11" cm="1">
        <f t="array" ref="D14">SUMPRODUCT((HR_Data[Age]&gt;=26)*(HR_Data[Age]&lt;=35)*(HR_Data[Attrition]="Yes"))</f>
        <v>116</v>
      </c>
      <c r="E14" s="8">
        <f t="shared" ref="E14:E17" si="0">$D14/$C14*100</f>
        <v>19.141914191419144</v>
      </c>
    </row>
    <row r="15" spans="2:9" x14ac:dyDescent="0.25">
      <c r="B15" s="11" t="s">
        <v>85</v>
      </c>
      <c r="C15" s="11" cm="1">
        <f t="array" ref="C15">SUMPRODUCT((HR_Data[Age]&gt;=36)*(HR_Data[Age]&lt;=45))</f>
        <v>468</v>
      </c>
      <c r="D15" s="11" cm="1">
        <f t="array" ref="D15">SUMPRODUCT((HR_Data[Age]&gt;=36)*(HR_Data[Age]&lt;=45)*(HR_Data[Attrition]="Yes"))</f>
        <v>43</v>
      </c>
      <c r="E15" s="8">
        <f t="shared" si="0"/>
        <v>9.1880341880341891</v>
      </c>
    </row>
    <row r="16" spans="2:9" x14ac:dyDescent="0.25">
      <c r="B16" s="11" t="s">
        <v>83</v>
      </c>
      <c r="C16" s="11" cm="1">
        <f t="array" ref="C16">SUMPRODUCT((HR_Data[Age]&gt;=46)*(HR_Data[Age]&lt;=55))</f>
        <v>226</v>
      </c>
      <c r="D16" s="11" cm="1">
        <f t="array" ref="D16">SUMPRODUCT((HR_Data[Age]&gt;=46)*(HR_Data[Age]&lt;=55)*(HR_Data[Attrition]="Yes"))</f>
        <v>26</v>
      </c>
      <c r="E16" s="8">
        <f t="shared" si="0"/>
        <v>11.504424778761061</v>
      </c>
    </row>
    <row r="17" spans="2:5" x14ac:dyDescent="0.25">
      <c r="B17" s="11" t="s">
        <v>93</v>
      </c>
      <c r="C17" s="11" cm="1">
        <f t="array" ref="C17">SUMPRODUCT((HR_Data[Age]&gt;=55)*1)</f>
        <v>69</v>
      </c>
      <c r="D17" s="11" cm="1">
        <f t="array" ref="D17">SUMPRODUCT((HR_Data[Age]&gt;=56)*1*(HR_Data[Attrition]="Yes"))</f>
        <v>8</v>
      </c>
      <c r="E17" s="8">
        <f t="shared" si="0"/>
        <v>11.594202898550725</v>
      </c>
    </row>
    <row r="20" spans="2:5" ht="18.75" x14ac:dyDescent="0.3">
      <c r="B20" s="32" t="s">
        <v>102</v>
      </c>
      <c r="C20" s="32"/>
      <c r="D20" s="32"/>
      <c r="E20" s="32"/>
    </row>
    <row r="21" spans="2:5" x14ac:dyDescent="0.25">
      <c r="B21" s="11" t="s">
        <v>11</v>
      </c>
      <c r="C21" s="11" t="s">
        <v>89</v>
      </c>
      <c r="D21" s="11" t="s">
        <v>90</v>
      </c>
      <c r="E21" s="11" t="s">
        <v>66</v>
      </c>
    </row>
    <row r="22" spans="2:5" x14ac:dyDescent="0.25">
      <c r="B22" s="11" t="s">
        <v>46</v>
      </c>
      <c r="C22" s="11">
        <f>COUNTIF(HR_Data[Gender], "Male")</f>
        <v>882</v>
      </c>
      <c r="D22" s="11">
        <f>COUNTIFS(HR_Data[Gender], "Male", HR_Data[Attrition], "Yes")</f>
        <v>150</v>
      </c>
      <c r="E22" s="8">
        <f>$D22/$C22*100</f>
        <v>17.006802721088434</v>
      </c>
    </row>
    <row r="23" spans="2:5" x14ac:dyDescent="0.25">
      <c r="B23" s="11" t="s">
        <v>39</v>
      </c>
      <c r="C23" s="11">
        <f>COUNTIF(HR_Data[Gender], "Female")</f>
        <v>588</v>
      </c>
      <c r="D23" s="11">
        <f>COUNTIFS(HR_Data[Gender], "Male", HR_Data[Attrition], "Yes")</f>
        <v>150</v>
      </c>
      <c r="E23" s="8">
        <f>$D23/$C23*100</f>
        <v>25.510204081632654</v>
      </c>
    </row>
    <row r="26" spans="2:5" ht="18.75" x14ac:dyDescent="0.3">
      <c r="B26" s="32" t="s">
        <v>106</v>
      </c>
      <c r="C26" s="32"/>
      <c r="D26" s="32"/>
      <c r="E26" s="32"/>
    </row>
    <row r="27" spans="2:5" x14ac:dyDescent="0.25">
      <c r="B27" t="s">
        <v>95</v>
      </c>
      <c r="C27" t="s">
        <v>107</v>
      </c>
      <c r="D27" t="s">
        <v>90</v>
      </c>
      <c r="E27" t="s">
        <v>66</v>
      </c>
    </row>
    <row r="28" spans="2:5" x14ac:dyDescent="0.25">
      <c r="B28" t="s">
        <v>40</v>
      </c>
      <c r="C28">
        <f>COUNTIF(HR_Data[JobRole], $B28)</f>
        <v>326</v>
      </c>
      <c r="D28">
        <f>COUNTIFS(HR_Data[JobRole], $B28, HR_Data[Attrition], "Yes")</f>
        <v>57</v>
      </c>
      <c r="E28" s="15">
        <f t="shared" ref="E28:E36" si="1">$D28/C28*100</f>
        <v>17.484662576687114</v>
      </c>
    </row>
    <row r="29" spans="2:5" x14ac:dyDescent="0.25">
      <c r="B29" t="s">
        <v>47</v>
      </c>
      <c r="C29">
        <f>COUNTIF(HR_Data[JobRole], $B29)</f>
        <v>292</v>
      </c>
      <c r="D29">
        <f>COUNTIFS(HR_Data[JobRole], $B29, HR_Data[Attrition], "Yes")</f>
        <v>47</v>
      </c>
      <c r="E29" s="15">
        <f t="shared" si="1"/>
        <v>16.095890410958905</v>
      </c>
    </row>
    <row r="30" spans="2:5" x14ac:dyDescent="0.25">
      <c r="B30" t="s">
        <v>50</v>
      </c>
      <c r="C30">
        <f>COUNTIF(HR_Data[JobRole], $B30)</f>
        <v>259</v>
      </c>
      <c r="D30">
        <f>COUNTIFS(HR_Data[JobRole], $B30, HR_Data[Attrition], "Yes")</f>
        <v>62</v>
      </c>
      <c r="E30" s="15">
        <f t="shared" si="1"/>
        <v>23.938223938223938</v>
      </c>
    </row>
    <row r="31" spans="2:5" x14ac:dyDescent="0.25">
      <c r="B31" t="s">
        <v>53</v>
      </c>
      <c r="C31">
        <f>COUNTIF(HR_Data[JobRole], $B31)</f>
        <v>145</v>
      </c>
      <c r="D31">
        <f>COUNTIFS(HR_Data[JobRole], $B31, HR_Data[Attrition], "Yes")</f>
        <v>10</v>
      </c>
      <c r="E31" s="15">
        <f t="shared" si="1"/>
        <v>6.8965517241379306</v>
      </c>
    </row>
    <row r="32" spans="2:5" x14ac:dyDescent="0.25">
      <c r="B32" t="s">
        <v>54</v>
      </c>
      <c r="C32">
        <f>COUNTIF(HR_Data[JobRole], $B32)</f>
        <v>131</v>
      </c>
      <c r="D32">
        <f>COUNTIFS(HR_Data[JobRole], $B32, HR_Data[Attrition], "Yes")</f>
        <v>9</v>
      </c>
      <c r="E32" s="15">
        <f t="shared" si="1"/>
        <v>6.8702290076335881</v>
      </c>
    </row>
    <row r="33" spans="2:5" x14ac:dyDescent="0.25">
      <c r="B33" t="s">
        <v>56</v>
      </c>
      <c r="C33">
        <f>COUNTIF(HR_Data[JobRole], $B33)</f>
        <v>102</v>
      </c>
      <c r="D33">
        <f>COUNTIFS(HR_Data[JobRole], $B33, HR_Data[Attrition], "Yes")</f>
        <v>5</v>
      </c>
      <c r="E33" s="15">
        <f t="shared" si="1"/>
        <v>4.9019607843137258</v>
      </c>
    </row>
    <row r="34" spans="2:5" x14ac:dyDescent="0.25">
      <c r="B34" t="s">
        <v>57</v>
      </c>
      <c r="C34">
        <f>COUNTIF(HR_Data[JobRole], $B34)</f>
        <v>83</v>
      </c>
      <c r="D34">
        <f>COUNTIFS(HR_Data[JobRole], $B34, HR_Data[Attrition], "Yes")</f>
        <v>33</v>
      </c>
      <c r="E34" s="15">
        <f t="shared" si="1"/>
        <v>39.75903614457831</v>
      </c>
    </row>
    <row r="35" spans="2:5" x14ac:dyDescent="0.25">
      <c r="B35" t="s">
        <v>58</v>
      </c>
      <c r="C35">
        <f>COUNTIF(HR_Data[JobRole], $B35)</f>
        <v>80</v>
      </c>
      <c r="D35">
        <f>COUNTIFS(HR_Data[JobRole], $B35, HR_Data[Attrition], "Yes")</f>
        <v>2</v>
      </c>
      <c r="E35" s="15">
        <f t="shared" si="1"/>
        <v>2.5</v>
      </c>
    </row>
    <row r="36" spans="2:5" x14ac:dyDescent="0.25">
      <c r="B36" t="s">
        <v>61</v>
      </c>
      <c r="C36">
        <f>COUNTIF(HR_Data[JobRole], $B36)</f>
        <v>52</v>
      </c>
      <c r="D36">
        <f>COUNTIFS(HR_Data[JobRole], $B36, HR_Data[Attrition], "Yes")</f>
        <v>12</v>
      </c>
      <c r="E36" s="15">
        <f t="shared" si="1"/>
        <v>23.076923076923077</v>
      </c>
    </row>
    <row r="39" spans="2:5" ht="18.75" x14ac:dyDescent="0.3">
      <c r="B39" s="32" t="s">
        <v>103</v>
      </c>
      <c r="C39" s="32"/>
      <c r="D39" s="32"/>
      <c r="E39" s="32"/>
    </row>
    <row r="40" spans="2:5" x14ac:dyDescent="0.25">
      <c r="B40" s="11" t="s">
        <v>94</v>
      </c>
      <c r="C40" s="11" t="s">
        <v>89</v>
      </c>
      <c r="D40" s="11" t="s">
        <v>90</v>
      </c>
      <c r="E40" s="11" t="s">
        <v>66</v>
      </c>
    </row>
    <row r="41" spans="2:5" x14ac:dyDescent="0.25">
      <c r="B41" s="11" t="s">
        <v>41</v>
      </c>
      <c r="C41" s="11">
        <f>COUNTIF(HR_Data[MaritalStatus], "Single")</f>
        <v>470</v>
      </c>
      <c r="D41" s="11">
        <f>COUNTIFS(HR_Data[MaritalStatus], "Single", HR_Data[Attrition], "Yes")</f>
        <v>120</v>
      </c>
      <c r="E41" s="8">
        <f>$D41/$C41*100</f>
        <v>25.531914893617021</v>
      </c>
    </row>
    <row r="42" spans="2:5" x14ac:dyDescent="0.25">
      <c r="B42" s="11" t="s">
        <v>48</v>
      </c>
      <c r="C42" s="11">
        <f>COUNTIF(HR_Data[MaritalStatus], "Married")</f>
        <v>673</v>
      </c>
      <c r="D42" s="11">
        <f>COUNTIFS(HR_Data[MaritalStatus], "Married", HR_Data[Attrition], "Yes")</f>
        <v>84</v>
      </c>
      <c r="E42" s="8">
        <f>$D42/$C42*100</f>
        <v>12.481426448736999</v>
      </c>
    </row>
    <row r="43" spans="2:5" x14ac:dyDescent="0.25">
      <c r="B43" s="11" t="s">
        <v>52</v>
      </c>
      <c r="C43" s="11">
        <f>COUNTIF(HR_Data[MaritalStatus], "Divorced")</f>
        <v>327</v>
      </c>
      <c r="D43" s="11">
        <f>COUNTIFS(HR_Data[MaritalStatus], "Divorced", HR_Data[Attrition], "Yes")</f>
        <v>33</v>
      </c>
      <c r="E43" s="8">
        <f>$D43/$C43*100</f>
        <v>10.091743119266056</v>
      </c>
    </row>
    <row r="46" spans="2:5" ht="18.75" x14ac:dyDescent="0.3">
      <c r="B46" s="32" t="s">
        <v>104</v>
      </c>
      <c r="C46" s="32"/>
      <c r="D46" s="32"/>
      <c r="E46" s="32"/>
    </row>
    <row r="47" spans="2:5" x14ac:dyDescent="0.25">
      <c r="B47" s="11" t="s">
        <v>22</v>
      </c>
      <c r="C47" s="11" t="s">
        <v>89</v>
      </c>
      <c r="D47" s="11" t="s">
        <v>90</v>
      </c>
      <c r="E47" s="11" t="s">
        <v>66</v>
      </c>
    </row>
    <row r="48" spans="2:5" x14ac:dyDescent="0.25">
      <c r="B48" s="11" t="s">
        <v>35</v>
      </c>
      <c r="C48" s="11">
        <f>COUNTIF(HR_Data[OverTime], "Yes")</f>
        <v>416</v>
      </c>
      <c r="D48" s="11">
        <f>COUNTIFS(HR_Data[OverTime], "Yes", HR_Data[Attrition], "Yes")</f>
        <v>127</v>
      </c>
      <c r="E48" s="8">
        <f>$D48/$C48*100</f>
        <v>30.528846153846157</v>
      </c>
    </row>
    <row r="49" spans="2:5" x14ac:dyDescent="0.25">
      <c r="B49" s="11" t="s">
        <v>43</v>
      </c>
      <c r="C49" s="11">
        <f>COUNTIF(HR_Data[OverTime], "No")</f>
        <v>1054</v>
      </c>
      <c r="D49" s="11">
        <f>COUNTIFS(HR_Data[OverTime], "No", HR_Data[Attrition], "Yes")</f>
        <v>110</v>
      </c>
      <c r="E49" s="8">
        <f>$D49/$C49*100</f>
        <v>10.436432637571158</v>
      </c>
    </row>
    <row r="52" spans="2:5" ht="18.75" x14ac:dyDescent="0.3">
      <c r="B52" s="32" t="s">
        <v>105</v>
      </c>
      <c r="C52" s="32"/>
      <c r="D52" s="32"/>
      <c r="E52" s="32"/>
    </row>
    <row r="53" spans="2:5" x14ac:dyDescent="0.25">
      <c r="B53" s="11" t="s">
        <v>96</v>
      </c>
      <c r="C53" s="11" t="s">
        <v>89</v>
      </c>
      <c r="D53" s="11" t="s">
        <v>90</v>
      </c>
      <c r="E53" s="11" t="s">
        <v>66</v>
      </c>
    </row>
    <row r="54" spans="2:5" x14ac:dyDescent="0.25">
      <c r="B54" s="11" t="s">
        <v>97</v>
      </c>
      <c r="C54" s="11" cm="1">
        <f t="array" ref="C54">SUMPRODUCT((HR_Data[DistanceFromHome]&gt;=0)*(HR_Data[DistanceFromHome]&lt;=10))</f>
        <v>1026</v>
      </c>
      <c r="D54" s="11" cm="1">
        <f t="array" ref="D54">SUMPRODUCT((HR_Data[DistanceFromHome]&gt;=0)*(HR_Data[DistanceFromHome]&lt;=10)*(HR_Data[Attrition]="Yes"))</f>
        <v>144</v>
      </c>
      <c r="E54" s="8">
        <f>$D54/$C54*100</f>
        <v>14.035087719298245</v>
      </c>
    </row>
    <row r="55" spans="2:5" x14ac:dyDescent="0.25">
      <c r="B55" s="13" t="s">
        <v>98</v>
      </c>
      <c r="C55" s="11" cm="1">
        <f t="array" ref="C55">SUMPRODUCT((HR_Data[DistanceFromHome]&gt;=11)*(HR_Data[DistanceFromHome]&lt;=20))</f>
        <v>240</v>
      </c>
      <c r="D55" s="11" cm="1">
        <f t="array" ref="D55">SUMPRODUCT((HR_Data[DistanceFromHome]&gt;=11)*(HR_Data[DistanceFromHome]&lt;=20)*(HR_Data[Attrition]="Yes"))</f>
        <v>48</v>
      </c>
      <c r="E55" s="8">
        <f>$D55/$C55*100</f>
        <v>20</v>
      </c>
    </row>
    <row r="56" spans="2:5" x14ac:dyDescent="0.25">
      <c r="B56" s="11" t="s">
        <v>99</v>
      </c>
      <c r="C56" s="11" cm="1">
        <f t="array" ref="C56">SUMPRODUCT((HR_Data[DistanceFromHome]&gt;=21)*(HR_Data[DistanceFromHome]&lt;=30))</f>
        <v>204</v>
      </c>
      <c r="D56" s="11" cm="1">
        <f t="array" ref="D56">SUMPRODUCT((HR_Data[DistanceFromHome]&gt;=21)*(HR_Data[DistanceFromHome]&lt;=30)*(HR_Data[Attrition]="Yes"))</f>
        <v>45</v>
      </c>
      <c r="E56" s="8">
        <f>$D56/$C56*100</f>
        <v>22.058823529411764</v>
      </c>
    </row>
  </sheetData>
  <mergeCells count="8">
    <mergeCell ref="B52:E52"/>
    <mergeCell ref="B39:E39"/>
    <mergeCell ref="B26:E26"/>
    <mergeCell ref="B1:F2"/>
    <mergeCell ref="B11:E11"/>
    <mergeCell ref="B4:F4"/>
    <mergeCell ref="B20:E20"/>
    <mergeCell ref="B46:E46"/>
  </mergeCells>
  <phoneticPr fontId="8" type="noConversion"/>
  <conditionalFormatting sqref="E28:E36">
    <cfRule type="top10" dxfId="0" priority="2" rank="3"/>
    <cfRule type="top10" dxfId="1" priority="1" bottom="1" rank="3"/>
  </conditionalFormatting>
  <pageMargins left="0.7" right="0.7" top="0.75" bottom="0.75" header="0.3" footer="0.3"/>
  <pageSetup paperSize="9" orientation="portrait" r:id="rId1"/>
  <ignoredErrors>
    <ignoredError sqref="C22" calculatedColumn="1"/>
  </ignoredErrors>
  <drawing r:id="rId2"/>
  <tableParts count="7"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7D64-ABD3-4EE7-A1DF-6F573948B69D}">
  <dimension ref="A1:G72"/>
  <sheetViews>
    <sheetView zoomScaleNormal="100" workbookViewId="0">
      <selection activeCell="F10" sqref="F10"/>
    </sheetView>
  </sheetViews>
  <sheetFormatPr defaultRowHeight="15" x14ac:dyDescent="0.25"/>
  <cols>
    <col min="2" max="2" width="29" customWidth="1"/>
    <col min="3" max="3" width="20.42578125" customWidth="1"/>
    <col min="4" max="5" width="16.85546875" customWidth="1"/>
    <col min="6" max="6" width="17.42578125" customWidth="1"/>
    <col min="7" max="7" width="17.140625" customWidth="1"/>
  </cols>
  <sheetData>
    <row r="1" spans="1:7" ht="26.25" customHeight="1" x14ac:dyDescent="0.25">
      <c r="A1" s="35" t="s">
        <v>108</v>
      </c>
      <c r="B1" s="35"/>
      <c r="C1" s="35"/>
      <c r="D1" s="35"/>
      <c r="E1" s="35"/>
      <c r="F1" s="35"/>
      <c r="G1" s="35"/>
    </row>
    <row r="2" spans="1:7" ht="15" customHeight="1" x14ac:dyDescent="0.25">
      <c r="A2" s="35"/>
      <c r="B2" s="35"/>
      <c r="C2" s="35"/>
      <c r="D2" s="35"/>
      <c r="E2" s="35"/>
      <c r="F2" s="35"/>
      <c r="G2" s="35"/>
    </row>
    <row r="4" spans="1:7" x14ac:dyDescent="0.25">
      <c r="B4" s="11"/>
    </row>
    <row r="5" spans="1:7" ht="18.75" x14ac:dyDescent="0.3">
      <c r="B5" s="36" t="s">
        <v>117</v>
      </c>
      <c r="C5" s="36"/>
    </row>
    <row r="6" spans="1:7" x14ac:dyDescent="0.25">
      <c r="B6" s="11" t="s">
        <v>109</v>
      </c>
      <c r="C6" s="11" t="s">
        <v>110</v>
      </c>
    </row>
    <row r="7" spans="1:7" x14ac:dyDescent="0.25">
      <c r="B7" s="11" t="s">
        <v>68</v>
      </c>
      <c r="C7" s="10">
        <f>AVERAGE(HR_Data[MonthlyIncome])</f>
        <v>6502.931292517007</v>
      </c>
    </row>
    <row r="8" spans="1:7" x14ac:dyDescent="0.25">
      <c r="B8" s="11" t="s">
        <v>111</v>
      </c>
      <c r="C8" s="10">
        <f>MEDIAN(HR_Data[MonthlyIncome])</f>
        <v>4919</v>
      </c>
    </row>
    <row r="9" spans="1:7" x14ac:dyDescent="0.25">
      <c r="B9" s="11" t="s">
        <v>112</v>
      </c>
      <c r="C9" s="10">
        <f>MIN(HR_Data[MonthlyIncome])</f>
        <v>1009</v>
      </c>
    </row>
    <row r="10" spans="1:7" x14ac:dyDescent="0.25">
      <c r="B10" s="11" t="s">
        <v>113</v>
      </c>
      <c r="C10" s="10">
        <f>MAX(HR_Data[MonthlyIncome])</f>
        <v>19999</v>
      </c>
    </row>
    <row r="11" spans="1:7" x14ac:dyDescent="0.25">
      <c r="B11" s="11" t="s">
        <v>114</v>
      </c>
      <c r="C11" s="10">
        <f>_xlfn.STDEV.S(HR_Data[MonthlyIncome])</f>
        <v>4707.956783097994</v>
      </c>
    </row>
    <row r="12" spans="1:7" x14ac:dyDescent="0.25">
      <c r="B12" s="11" t="s">
        <v>115</v>
      </c>
      <c r="C12" s="10">
        <f>AVERAGE(HR_Data[HourlyRate])</f>
        <v>65.89115646258503</v>
      </c>
    </row>
    <row r="13" spans="1:7" x14ac:dyDescent="0.25">
      <c r="B13" s="11" t="s">
        <v>116</v>
      </c>
      <c r="C13" s="7">
        <f>AVERAGE(HR_Data[PercentSalaryHike])</f>
        <v>15.209523809523809</v>
      </c>
    </row>
    <row r="16" spans="1:7" ht="18.75" x14ac:dyDescent="0.3">
      <c r="B16" s="36" t="s">
        <v>122</v>
      </c>
      <c r="C16" s="36"/>
      <c r="D16" s="36"/>
      <c r="E16" s="36"/>
      <c r="F16" s="36"/>
      <c r="G16" s="36"/>
    </row>
    <row r="17" spans="2:7" x14ac:dyDescent="0.25">
      <c r="B17" s="11" t="s">
        <v>4</v>
      </c>
      <c r="C17" s="11" t="s">
        <v>75</v>
      </c>
      <c r="D17" s="11" t="s">
        <v>118</v>
      </c>
      <c r="E17" s="11" t="s">
        <v>119</v>
      </c>
      <c r="F17" s="11" t="s">
        <v>120</v>
      </c>
      <c r="G17" s="11" t="s">
        <v>121</v>
      </c>
    </row>
    <row r="18" spans="2:7" x14ac:dyDescent="0.25">
      <c r="B18" s="11" t="s">
        <v>61</v>
      </c>
      <c r="C18" s="11">
        <f>COUNTIF(HR_Data[Department], $B18)</f>
        <v>63</v>
      </c>
      <c r="D18" s="8">
        <f>AVERAGEIF(HR_Data[Department], $B18, HR_Data[MonthlyIncome])</f>
        <v>6654.5079365079364</v>
      </c>
      <c r="E18" s="11">
        <f>_xlfn.MINIFS(HR_Data[MonthlyIncome], HR_Data[Department], $B18)</f>
        <v>1555</v>
      </c>
      <c r="F18" s="11">
        <f>_xlfn.MAXIFS(HR_Data[MonthlyIncome], HR_Data[Department], $B18)</f>
        <v>19717</v>
      </c>
      <c r="G18" s="11">
        <f t="array" ref="G18">MEDIAN(IF(HR_Data[Department]=$B18, HR_Data[MonthlyIncome]))</f>
        <v>3886</v>
      </c>
    </row>
    <row r="19" spans="2:7" x14ac:dyDescent="0.25">
      <c r="B19" s="11" t="s">
        <v>45</v>
      </c>
      <c r="C19" s="11">
        <f>COUNTIF(HR_Data[Department], $B19)</f>
        <v>961</v>
      </c>
      <c r="D19" s="8">
        <f>AVERAGEIF(HR_Data[Department], $B19, HR_Data[MonthlyIncome])</f>
        <v>6281.2528616024974</v>
      </c>
      <c r="E19" s="11">
        <f>_xlfn.MINIFS(HR_Data[MonthlyIncome], HR_Data[Department], $B19)</f>
        <v>1009</v>
      </c>
      <c r="F19" s="11">
        <f>_xlfn.MAXIFS(HR_Data[MonthlyIncome], HR_Data[Department], $B19)</f>
        <v>19999</v>
      </c>
      <c r="G19" s="11">
        <f t="array" ref="G19">MEDIAN(IF(HR_Data[Department]=$B19, HR_Data[MonthlyIncome]))</f>
        <v>4374</v>
      </c>
    </row>
    <row r="20" spans="2:7" x14ac:dyDescent="0.25">
      <c r="B20" s="11" t="s">
        <v>37</v>
      </c>
      <c r="C20" s="11">
        <f>COUNTIF(HR_Data[Department], $B20)</f>
        <v>446</v>
      </c>
      <c r="D20" s="8">
        <f>AVERAGEIF(HR_Data[Department], $B20, HR_Data[MonthlyIncome])</f>
        <v>6959.17264573991</v>
      </c>
      <c r="E20" s="11">
        <f>_xlfn.MINIFS(HR_Data[MonthlyIncome], HR_Data[Department], $B20)</f>
        <v>1052</v>
      </c>
      <c r="F20" s="11">
        <f>_xlfn.MAXIFS(HR_Data[MonthlyIncome], HR_Data[Department], $B20)</f>
        <v>19847</v>
      </c>
      <c r="G20" s="11">
        <f t="array" ref="G20">MEDIAN(IF(HR_Data[Department]=$B20, HR_Data[MonthlyIncome]))</f>
        <v>5754.5</v>
      </c>
    </row>
    <row r="23" spans="2:7" ht="18.75" x14ac:dyDescent="0.3">
      <c r="B23" s="36" t="s">
        <v>124</v>
      </c>
      <c r="C23" s="36"/>
      <c r="D23" s="36"/>
      <c r="E23" s="36"/>
    </row>
    <row r="24" spans="2:7" x14ac:dyDescent="0.25">
      <c r="B24" s="11" t="s">
        <v>123</v>
      </c>
      <c r="C24" s="11" t="s">
        <v>75</v>
      </c>
      <c r="D24" s="11" t="s">
        <v>118</v>
      </c>
      <c r="E24" s="11" t="s">
        <v>121</v>
      </c>
    </row>
    <row r="25" spans="2:7" x14ac:dyDescent="0.25">
      <c r="B25" s="11">
        <v>1</v>
      </c>
      <c r="C25" s="11">
        <f>COUNTIF(HR_Data[JobLevel], $B25)</f>
        <v>543</v>
      </c>
      <c r="D25" s="8">
        <f>AVERAGEIF(HR_Data[JobLevel], $B25, HR_Data[MonthlyIncome])</f>
        <v>2786.9152854511972</v>
      </c>
      <c r="E25" s="11" cm="1">
        <f t="array" ref="E25">MEDIAN(IF(HR_Data[JobLevel]=$B25, HR_Data[MonthlyIncome]))</f>
        <v>2670</v>
      </c>
    </row>
    <row r="26" spans="2:7" x14ac:dyDescent="0.25">
      <c r="B26" s="11">
        <v>2</v>
      </c>
      <c r="C26" s="11">
        <f>COUNTIF(HR_Data[JobLevel], $B26)</f>
        <v>534</v>
      </c>
      <c r="D26" s="8">
        <f>AVERAGEIF(HR_Data[JobLevel], $B26, HR_Data[MonthlyIncome])</f>
        <v>5502.2771535580523</v>
      </c>
      <c r="E26" s="11" cm="1">
        <f t="array" ref="E26">MEDIAN(IF(HR_Data[JobLevel]=$B26, HR_Data[MonthlyIncome]))</f>
        <v>5340</v>
      </c>
    </row>
    <row r="27" spans="2:7" x14ac:dyDescent="0.25">
      <c r="B27" s="11">
        <v>3</v>
      </c>
      <c r="C27" s="11">
        <f>COUNTIF(HR_Data[JobLevel], $B27)</f>
        <v>218</v>
      </c>
      <c r="D27" s="8">
        <f>AVERAGEIF(HR_Data[JobLevel], $B27, HR_Data[MonthlyIncome])</f>
        <v>9817.2522935779816</v>
      </c>
      <c r="E27" s="11" cm="1">
        <f t="array" ref="E27">MEDIAN(IF(HR_Data[JobLevel]=$B27, HR_Data[MonthlyIncome]))</f>
        <v>9980</v>
      </c>
    </row>
    <row r="28" spans="2:7" x14ac:dyDescent="0.25">
      <c r="B28" s="11">
        <v>4</v>
      </c>
      <c r="C28" s="11">
        <f>COUNTIF(HR_Data[JobLevel], $B28)</f>
        <v>106</v>
      </c>
      <c r="D28" s="8">
        <f>AVERAGEIF(HR_Data[JobLevel], $B28, HR_Data[MonthlyIncome])</f>
        <v>15503.783018867925</v>
      </c>
      <c r="E28" s="11" cm="1">
        <f t="array" ref="E28">MEDIAN(IF(HR_Data[JobLevel]=$B28, HR_Data[MonthlyIncome]))</f>
        <v>16154</v>
      </c>
    </row>
    <row r="29" spans="2:7" x14ac:dyDescent="0.25">
      <c r="B29" s="11">
        <v>5</v>
      </c>
      <c r="C29" s="11">
        <f>COUNTIF(HR_Data[JobLevel], $B29)</f>
        <v>69</v>
      </c>
      <c r="D29" s="8">
        <f>AVERAGEIF(HR_Data[JobLevel], $B29, HR_Data[MonthlyIncome])</f>
        <v>19191.82608695652</v>
      </c>
      <c r="E29" s="11" cm="1">
        <f t="array" ref="E29">MEDIAN(IF(HR_Data[JobLevel]=$B29, HR_Data[MonthlyIncome]))</f>
        <v>19232</v>
      </c>
    </row>
    <row r="32" spans="2:7" ht="18.75" x14ac:dyDescent="0.3">
      <c r="B32" s="36" t="s">
        <v>132</v>
      </c>
      <c r="C32" s="36"/>
      <c r="D32" s="36"/>
      <c r="E32" s="36"/>
    </row>
    <row r="33" spans="2:6" x14ac:dyDescent="0.25">
      <c r="B33" s="11" t="s">
        <v>125</v>
      </c>
      <c r="C33" s="11" t="s">
        <v>126</v>
      </c>
      <c r="D33" s="11" t="s">
        <v>75</v>
      </c>
      <c r="E33" s="11" t="s">
        <v>118</v>
      </c>
    </row>
    <row r="34" spans="2:6" x14ac:dyDescent="0.25">
      <c r="B34" s="11">
        <v>1</v>
      </c>
      <c r="C34" s="11" t="s">
        <v>127</v>
      </c>
      <c r="D34" s="11">
        <f>COUNTIF(HR_Data[Education], $B34)</f>
        <v>170</v>
      </c>
      <c r="E34" s="8">
        <f>AVERAGEIF(HR_Data[Education], $B34, HR_Data[MonthlyIncome])</f>
        <v>5640.5705882352941</v>
      </c>
    </row>
    <row r="35" spans="2:6" x14ac:dyDescent="0.25">
      <c r="B35" s="11">
        <v>2</v>
      </c>
      <c r="C35" s="11" t="s">
        <v>128</v>
      </c>
      <c r="D35" s="11">
        <f>COUNTIF(HR_Data[Education], $B35)</f>
        <v>282</v>
      </c>
      <c r="E35" s="8">
        <f>AVERAGEIF(HR_Data[Education], $B35, HR_Data[MonthlyIncome])</f>
        <v>6226.6453900709221</v>
      </c>
    </row>
    <row r="36" spans="2:6" x14ac:dyDescent="0.25">
      <c r="B36" s="11">
        <v>3</v>
      </c>
      <c r="C36" s="11" t="s">
        <v>129</v>
      </c>
      <c r="D36" s="11">
        <f>COUNTIF(HR_Data[Education], $B36)</f>
        <v>572</v>
      </c>
      <c r="E36" s="8">
        <f>AVERAGEIF(HR_Data[Education], $B36, HR_Data[MonthlyIncome])</f>
        <v>6517.2639860139861</v>
      </c>
    </row>
    <row r="37" spans="2:6" x14ac:dyDescent="0.25">
      <c r="B37" s="11">
        <v>4</v>
      </c>
      <c r="C37" s="11" t="s">
        <v>130</v>
      </c>
      <c r="D37" s="11">
        <f>COUNTIF(HR_Data[Education], $B37)</f>
        <v>398</v>
      </c>
      <c r="E37" s="8">
        <f>AVERAGEIF(HR_Data[Education], $B37, HR_Data[MonthlyIncome])</f>
        <v>6832.4020100502512</v>
      </c>
    </row>
    <row r="38" spans="2:6" x14ac:dyDescent="0.25">
      <c r="B38" s="11">
        <v>5</v>
      </c>
      <c r="C38" s="11" t="s">
        <v>131</v>
      </c>
      <c r="D38" s="11">
        <f>COUNTIF(HR_Data[Education], $B38)</f>
        <v>48</v>
      </c>
      <c r="E38" s="8">
        <f>AVERAGEIF(HR_Data[Education], $B38, HR_Data[MonthlyIncome])</f>
        <v>8277.6458333333339</v>
      </c>
    </row>
    <row r="41" spans="2:6" ht="18.75" x14ac:dyDescent="0.3">
      <c r="B41" s="36" t="s">
        <v>133</v>
      </c>
      <c r="C41" s="36"/>
      <c r="D41" s="36"/>
      <c r="E41" s="36"/>
      <c r="F41" s="36"/>
    </row>
    <row r="42" spans="2:6" x14ac:dyDescent="0.25">
      <c r="B42" t="s">
        <v>95</v>
      </c>
      <c r="C42" t="s">
        <v>75</v>
      </c>
      <c r="D42" t="s">
        <v>118</v>
      </c>
      <c r="E42" t="s">
        <v>134</v>
      </c>
      <c r="F42" t="s">
        <v>135</v>
      </c>
    </row>
    <row r="43" spans="2:6" x14ac:dyDescent="0.25">
      <c r="B43" t="s">
        <v>40</v>
      </c>
      <c r="C43">
        <f>COUNTIF(HR_Data[JobRole], $B43)</f>
        <v>326</v>
      </c>
      <c r="D43" s="15">
        <f>AVERAGEIF(HR_Data[JobRole], $B43, HR_Data[MonthlyIncome])</f>
        <v>6924.2791411042945</v>
      </c>
      <c r="E43">
        <f>_xlfn.MINIFS(HR_Data[MonthlyIncome], HR_Data[JobRole], $B43)</f>
        <v>4001</v>
      </c>
      <c r="F43">
        <f>_xlfn.MAXIFS(HR_Data[MonthlyIncome], HR_Data[JobRole], $B43)</f>
        <v>13872</v>
      </c>
    </row>
    <row r="44" spans="2:6" x14ac:dyDescent="0.25">
      <c r="B44" t="s">
        <v>47</v>
      </c>
      <c r="C44">
        <f>COUNTIF(HR_Data[JobRole], $B44)</f>
        <v>292</v>
      </c>
      <c r="D44" s="15">
        <f>AVERAGEIF(HR_Data[JobRole], $B44, HR_Data[MonthlyIncome])</f>
        <v>3239.972602739726</v>
      </c>
      <c r="E44">
        <f>_xlfn.MINIFS(HR_Data[MonthlyIncome], HR_Data[JobRole], $B44)</f>
        <v>1009</v>
      </c>
      <c r="F44">
        <f>_xlfn.MAXIFS(HR_Data[MonthlyIncome], HR_Data[JobRole], $B44)</f>
        <v>9724</v>
      </c>
    </row>
    <row r="45" spans="2:6" x14ac:dyDescent="0.25">
      <c r="B45" t="s">
        <v>50</v>
      </c>
      <c r="C45">
        <f>COUNTIF(HR_Data[JobRole], $B45)</f>
        <v>259</v>
      </c>
      <c r="D45" s="15">
        <f>AVERAGEIF(HR_Data[JobRole], $B45, HR_Data[MonthlyIncome])</f>
        <v>3237.169884169884</v>
      </c>
      <c r="E45">
        <f>_xlfn.MINIFS(HR_Data[MonthlyIncome], HR_Data[JobRole], $B45)</f>
        <v>1102</v>
      </c>
      <c r="F45">
        <f>_xlfn.MAXIFS(HR_Data[MonthlyIncome], HR_Data[JobRole], $B45)</f>
        <v>7403</v>
      </c>
    </row>
    <row r="46" spans="2:6" x14ac:dyDescent="0.25">
      <c r="B46" t="s">
        <v>53</v>
      </c>
      <c r="C46">
        <f>COUNTIF(HR_Data[JobRole], $B46)</f>
        <v>145</v>
      </c>
      <c r="D46" s="15">
        <f>AVERAGEIF(HR_Data[JobRole], $B46, HR_Data[MonthlyIncome])</f>
        <v>7295.1379310344828</v>
      </c>
      <c r="E46">
        <f>_xlfn.MINIFS(HR_Data[MonthlyIncome], HR_Data[JobRole], $B46)</f>
        <v>4011</v>
      </c>
      <c r="F46">
        <f>_xlfn.MAXIFS(HR_Data[MonthlyIncome], HR_Data[JobRole], $B46)</f>
        <v>13973</v>
      </c>
    </row>
    <row r="47" spans="2:6" x14ac:dyDescent="0.25">
      <c r="B47" t="s">
        <v>54</v>
      </c>
      <c r="C47">
        <f>COUNTIF(HR_Data[JobRole], $B47)</f>
        <v>131</v>
      </c>
      <c r="D47" s="15">
        <f>AVERAGEIF(HR_Data[JobRole], $B47, HR_Data[MonthlyIncome])</f>
        <v>7528.7633587786258</v>
      </c>
      <c r="E47">
        <f>_xlfn.MINIFS(HR_Data[MonthlyIncome], HR_Data[JobRole], $B47)</f>
        <v>4000</v>
      </c>
      <c r="F47">
        <f>_xlfn.MAXIFS(HR_Data[MonthlyIncome], HR_Data[JobRole], $B47)</f>
        <v>13966</v>
      </c>
    </row>
    <row r="48" spans="2:6" x14ac:dyDescent="0.25">
      <c r="B48" t="s">
        <v>56</v>
      </c>
      <c r="C48">
        <f>COUNTIF(HR_Data[JobRole], $B48)</f>
        <v>102</v>
      </c>
      <c r="D48" s="15">
        <f>AVERAGEIF(HR_Data[JobRole], $B48, HR_Data[MonthlyIncome])</f>
        <v>17181.676470588234</v>
      </c>
      <c r="E48">
        <f>_xlfn.MINIFS(HR_Data[MonthlyIncome], HR_Data[JobRole], $B48)</f>
        <v>11244</v>
      </c>
      <c r="F48">
        <f>_xlfn.MAXIFS(HR_Data[MonthlyIncome], HR_Data[JobRole], $B48)</f>
        <v>19999</v>
      </c>
    </row>
    <row r="49" spans="2:6" x14ac:dyDescent="0.25">
      <c r="B49" t="s">
        <v>57</v>
      </c>
      <c r="C49">
        <f>COUNTIF(HR_Data[JobRole], $B49)</f>
        <v>83</v>
      </c>
      <c r="D49" s="15">
        <f>AVERAGEIF(HR_Data[JobRole], $B49, HR_Data[MonthlyIncome])</f>
        <v>2626</v>
      </c>
      <c r="E49">
        <f>_xlfn.MINIFS(HR_Data[MonthlyIncome], HR_Data[JobRole], $B49)</f>
        <v>1052</v>
      </c>
      <c r="F49">
        <f>_xlfn.MAXIFS(HR_Data[MonthlyIncome], HR_Data[JobRole], $B49)</f>
        <v>6632</v>
      </c>
    </row>
    <row r="50" spans="2:6" x14ac:dyDescent="0.25">
      <c r="B50" t="s">
        <v>58</v>
      </c>
      <c r="C50">
        <f>COUNTIF(HR_Data[JobRole], $B50)</f>
        <v>80</v>
      </c>
      <c r="D50" s="15">
        <f>AVERAGEIF(HR_Data[JobRole], $B50, HR_Data[MonthlyIncome])</f>
        <v>16033.55</v>
      </c>
      <c r="E50">
        <f>_xlfn.MINIFS(HR_Data[MonthlyIncome], HR_Data[JobRole], $B50)</f>
        <v>11031</v>
      </c>
      <c r="F50">
        <f>_xlfn.MAXIFS(HR_Data[MonthlyIncome], HR_Data[JobRole], $B50)</f>
        <v>19973</v>
      </c>
    </row>
    <row r="51" spans="2:6" x14ac:dyDescent="0.25">
      <c r="B51" t="s">
        <v>61</v>
      </c>
      <c r="C51">
        <f>COUNTIF(HR_Data[JobRole], $B51)</f>
        <v>52</v>
      </c>
      <c r="D51" s="15">
        <f>AVERAGEIF(HR_Data[JobRole], $B51, HR_Data[MonthlyIncome])</f>
        <v>4235.75</v>
      </c>
      <c r="E51">
        <f>_xlfn.MINIFS(HR_Data[MonthlyIncome], HR_Data[JobRole], $B51)</f>
        <v>1555</v>
      </c>
      <c r="F51">
        <f>_xlfn.MAXIFS(HR_Data[MonthlyIncome], HR_Data[JobRole], $B51)</f>
        <v>10725</v>
      </c>
    </row>
    <row r="54" spans="2:6" ht="18.75" x14ac:dyDescent="0.3">
      <c r="B54" s="36" t="s">
        <v>137</v>
      </c>
      <c r="C54" s="36"/>
      <c r="D54" s="36"/>
      <c r="E54" s="36"/>
    </row>
    <row r="55" spans="2:6" x14ac:dyDescent="0.25">
      <c r="B55" s="11" t="s">
        <v>136</v>
      </c>
      <c r="C55" s="11" t="s">
        <v>118</v>
      </c>
      <c r="D55" s="11" t="s">
        <v>121</v>
      </c>
      <c r="E55" s="11" t="s">
        <v>75</v>
      </c>
    </row>
    <row r="56" spans="2:6" x14ac:dyDescent="0.25">
      <c r="B56" s="11" t="s">
        <v>46</v>
      </c>
      <c r="C56" s="8">
        <f>AVERAGEIF(HR_Data[Gender], $B56, HR_Data[MonthlyIncome])</f>
        <v>6380.5079365079364</v>
      </c>
      <c r="D56" s="11" cm="1">
        <f t="array" ref="D56">MEDIAN(IF(HR_Data[Gender]=$B56, HR_Data[MonthlyIncome]))</f>
        <v>4837.5</v>
      </c>
      <c r="E56" s="11">
        <f>COUNTIF(HR_Data[Gender], $B56)</f>
        <v>882</v>
      </c>
    </row>
    <row r="57" spans="2:6" x14ac:dyDescent="0.25">
      <c r="B57" s="11" t="s">
        <v>39</v>
      </c>
      <c r="C57" s="8">
        <f>AVERAGEIF(HR_Data[Gender], $B57, HR_Data[MonthlyIncome])</f>
        <v>6686.5663265306121</v>
      </c>
      <c r="D57" s="11" cm="1">
        <f t="array" ref="D57">MEDIAN(IF(HR_Data[Gender]=$B57, HR_Data[MonthlyIncome]))</f>
        <v>5081.5</v>
      </c>
      <c r="E57" s="11">
        <f>COUNTIF(HR_Data[Gender], $B57)</f>
        <v>588</v>
      </c>
    </row>
    <row r="60" spans="2:6" ht="18.75" x14ac:dyDescent="0.3">
      <c r="B60" s="36" t="s">
        <v>138</v>
      </c>
      <c r="C60" s="36"/>
      <c r="D60" s="36"/>
    </row>
    <row r="61" spans="2:6" x14ac:dyDescent="0.25">
      <c r="B61" s="11" t="s">
        <v>139</v>
      </c>
      <c r="C61" s="11" t="s">
        <v>75</v>
      </c>
      <c r="D61" s="11" t="s">
        <v>118</v>
      </c>
    </row>
    <row r="62" spans="2:6" x14ac:dyDescent="0.25">
      <c r="B62" s="11" t="s">
        <v>140</v>
      </c>
      <c r="C62" s="11" cm="1">
        <f t="array" ref="C62">SUMPRODUCT((HR_Data[YearsAtCompany]&gt;=0)*(HR_Data[YearsAtCompany]&lt;=2))</f>
        <v>342</v>
      </c>
      <c r="D62" s="8">
        <f>AVERAGEIFS(HR_Data[MonthlyIncome], HR_Data[YearsAtCompany], "&gt;=0", HR_Data[YearsAtCompany], "&lt;=2")</f>
        <v>4709.3362573099412</v>
      </c>
    </row>
    <row r="63" spans="2:6" x14ac:dyDescent="0.25">
      <c r="B63" s="16" t="s">
        <v>141</v>
      </c>
      <c r="C63" s="11" cm="1">
        <f t="array" ref="C63">SUMPRODUCT((HR_Data[YearsAtCompany]&gt;=3)*(HR_Data[YearsAtCompany]&lt;=5))</f>
        <v>434</v>
      </c>
      <c r="D63" s="8">
        <f>AVERAGEIFS(HR_Data[MonthlyIncome], HR_Data[YearsAtCompany], "&gt;=3", HR_Data[YearsAtCompany], "&lt;=5")</f>
        <v>5364.8917050691243</v>
      </c>
    </row>
    <row r="64" spans="2:6" x14ac:dyDescent="0.25">
      <c r="B64" s="11" t="s">
        <v>144</v>
      </c>
      <c r="C64" s="11" cm="1">
        <f t="array" ref="C64">SUMPRODUCT((HR_Data[YearsAtCompany]&gt;=6)*(HR_Data[YearsAtCompany]&lt;=10))</f>
        <v>448</v>
      </c>
      <c r="D64" s="8">
        <f>AVERAGEIFS(HR_Data[MonthlyIncome], HR_Data[YearsAtCompany], "&gt;=6", HR_Data[YearsAtCompany], "&lt;=10")</f>
        <v>6567.3705357142853</v>
      </c>
    </row>
    <row r="65" spans="2:4" x14ac:dyDescent="0.25">
      <c r="B65" s="11" t="s">
        <v>142</v>
      </c>
      <c r="C65" s="11" cm="1">
        <f t="array" ref="C65">SUMPRODUCT((HR_Data[YearsAtCompany]&gt;=11)*(HR_Data[YearsAtCompany]&lt;=20))</f>
        <v>180</v>
      </c>
      <c r="D65" s="8">
        <f>AVERAGEIFS(HR_Data[MonthlyIncome], HR_Data[YearsAtCompany], "&gt;=11", HR_Data[YearsAtCompany], "&lt;=20")</f>
        <v>9009.1388888888887</v>
      </c>
    </row>
    <row r="66" spans="2:4" x14ac:dyDescent="0.25">
      <c r="B66" s="11" t="s">
        <v>143</v>
      </c>
      <c r="C66" s="11" cm="1">
        <f t="array" ref="C66">SUMPRODUCT((HR_Data[YearsAtCompany]&gt;=0)*1)</f>
        <v>1470</v>
      </c>
      <c r="D66" s="8">
        <f>AVERAGEIFS(HR_Data[MonthlyIncome], HR_Data[YearsAtCompany], "&gt;=21")</f>
        <v>16007.969696969696</v>
      </c>
    </row>
    <row r="69" spans="2:4" ht="18.75" x14ac:dyDescent="0.3">
      <c r="B69" s="36" t="s">
        <v>145</v>
      </c>
      <c r="C69" s="36"/>
      <c r="D69" s="36"/>
    </row>
    <row r="70" spans="2:4" x14ac:dyDescent="0.25">
      <c r="B70" s="11" t="s">
        <v>146</v>
      </c>
      <c r="C70" s="11" t="s">
        <v>147</v>
      </c>
      <c r="D70" s="11" t="s">
        <v>75</v>
      </c>
    </row>
    <row r="71" spans="2:4" x14ac:dyDescent="0.25">
      <c r="B71" s="11">
        <v>3</v>
      </c>
      <c r="C71" s="8">
        <f>AVERAGEIF(HR_Data[PerformanceRating], $B71, HR_Data[PercentSalaryHike])</f>
        <v>14.003215434083602</v>
      </c>
      <c r="D71" s="11">
        <f>COUNTIF(HR_Data[PerformanceRating], $B71)</f>
        <v>1244</v>
      </c>
    </row>
    <row r="72" spans="2:4" x14ac:dyDescent="0.25">
      <c r="B72" s="11">
        <v>4</v>
      </c>
      <c r="C72" s="8">
        <f>AVERAGEIF(HR_Data[PerformanceRating], $B72, HR_Data[PercentSalaryHike])</f>
        <v>21.849557522123895</v>
      </c>
      <c r="D72" s="11">
        <f>COUNTIF(HR_Data[PerformanceRating], $B72)</f>
        <v>226</v>
      </c>
    </row>
  </sheetData>
  <mergeCells count="9">
    <mergeCell ref="A1:G2"/>
    <mergeCell ref="B54:E54"/>
    <mergeCell ref="B60:D60"/>
    <mergeCell ref="B69:D69"/>
    <mergeCell ref="B5:C5"/>
    <mergeCell ref="B16:G16"/>
    <mergeCell ref="B23:E23"/>
    <mergeCell ref="B32:E32"/>
    <mergeCell ref="B41:F41"/>
  </mergeCells>
  <conditionalFormatting sqref="D18:D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{C6A868B3-E0FB-4D78-92AD-DE891E205E60}</x14:id>
        </ext>
      </extLst>
    </cfRule>
  </conditionalFormatting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A868B3-E0FB-4D78-92AD-DE891E205E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D18:D20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44737-AC8C-4A61-8483-B14DA929AA5D}">
  <dimension ref="A1:H66"/>
  <sheetViews>
    <sheetView zoomScaleNormal="100" workbookViewId="0">
      <selection activeCell="E10" sqref="E10"/>
    </sheetView>
  </sheetViews>
  <sheetFormatPr defaultRowHeight="15" x14ac:dyDescent="0.25"/>
  <cols>
    <col min="2" max="2" width="27.28515625" customWidth="1"/>
    <col min="3" max="3" width="21.7109375" customWidth="1"/>
    <col min="4" max="4" width="18.28515625" customWidth="1"/>
    <col min="5" max="5" width="23" customWidth="1"/>
    <col min="6" max="6" width="18.140625" customWidth="1"/>
  </cols>
  <sheetData>
    <row r="1" spans="1:8" ht="26.25" customHeight="1" x14ac:dyDescent="0.25">
      <c r="A1" s="38" t="s">
        <v>148</v>
      </c>
      <c r="B1" s="38"/>
      <c r="C1" s="38"/>
      <c r="D1" s="38"/>
      <c r="E1" s="38"/>
      <c r="F1" s="38"/>
      <c r="G1" s="38"/>
      <c r="H1" s="38"/>
    </row>
    <row r="2" spans="1:8" x14ac:dyDescent="0.25">
      <c r="A2" s="38"/>
      <c r="B2" s="38"/>
      <c r="C2" s="38"/>
      <c r="D2" s="38"/>
      <c r="E2" s="38"/>
      <c r="F2" s="38"/>
      <c r="G2" s="38"/>
      <c r="H2" s="38"/>
    </row>
    <row r="4" spans="1:8" x14ac:dyDescent="0.25">
      <c r="B4" s="11"/>
      <c r="C4" s="11"/>
      <c r="D4" s="11"/>
      <c r="E4" s="11"/>
      <c r="F4" s="11"/>
    </row>
    <row r="5" spans="1:8" ht="18.75" x14ac:dyDescent="0.3">
      <c r="B5" s="37" t="s">
        <v>160</v>
      </c>
      <c r="C5" s="37"/>
      <c r="D5" s="11"/>
      <c r="E5" s="11"/>
      <c r="F5" s="11"/>
    </row>
    <row r="6" spans="1:8" x14ac:dyDescent="0.25">
      <c r="B6" s="11" t="s">
        <v>149</v>
      </c>
      <c r="C6" s="11" t="s">
        <v>110</v>
      </c>
      <c r="D6" s="11"/>
      <c r="E6" s="11"/>
      <c r="F6" s="11"/>
    </row>
    <row r="7" spans="1:8" x14ac:dyDescent="0.25">
      <c r="B7" s="11" t="s">
        <v>150</v>
      </c>
      <c r="C7" s="8">
        <f>AVERAGE(HR_Data[PerformanceRating])</f>
        <v>3.1537414965986397</v>
      </c>
      <c r="D7" s="11"/>
      <c r="E7" s="11"/>
      <c r="F7" s="11"/>
    </row>
    <row r="8" spans="1:8" x14ac:dyDescent="0.25">
      <c r="B8" s="11" t="s">
        <v>151</v>
      </c>
      <c r="C8" s="8">
        <f>COUNTIF(HR_Data[PerformanceRating], 3)/COUNTA(HR_Data[PerformanceRating])*100</f>
        <v>84.625850340136054</v>
      </c>
      <c r="D8" s="11"/>
      <c r="E8" s="11"/>
      <c r="F8" s="11"/>
    </row>
    <row r="9" spans="1:8" x14ac:dyDescent="0.25">
      <c r="B9" s="11" t="s">
        <v>152</v>
      </c>
      <c r="C9" s="8">
        <f>COUNTIF(HR_Data[PerformanceRating], 4)/COUNTA(HR_Data[PerformanceRating])*100</f>
        <v>15.374149659863946</v>
      </c>
      <c r="D9" s="11"/>
      <c r="E9" s="11"/>
      <c r="F9" s="11"/>
    </row>
    <row r="10" spans="1:8" x14ac:dyDescent="0.25">
      <c r="B10" s="11" t="s">
        <v>153</v>
      </c>
      <c r="C10" s="8">
        <f>AVERAGE(HR_Data[JobInvolvement])</f>
        <v>2.7299319727891156</v>
      </c>
      <c r="D10" s="11"/>
      <c r="E10" s="11"/>
      <c r="F10" s="11"/>
    </row>
    <row r="11" spans="1:8" x14ac:dyDescent="0.25">
      <c r="B11" s="11" t="s">
        <v>154</v>
      </c>
      <c r="C11" s="8">
        <f>AVERAGE(HR_Data[TrainingTimesLastYear])</f>
        <v>2.7993197278911564</v>
      </c>
      <c r="D11" s="11"/>
      <c r="E11" s="11"/>
      <c r="F11" s="11"/>
    </row>
    <row r="12" spans="1:8" x14ac:dyDescent="0.25">
      <c r="B12" s="11"/>
      <c r="C12" s="11"/>
      <c r="D12" s="11"/>
      <c r="E12" s="11"/>
      <c r="F12" s="11"/>
    </row>
    <row r="14" spans="1:8" ht="18.75" x14ac:dyDescent="0.3">
      <c r="B14" s="37" t="s">
        <v>161</v>
      </c>
      <c r="C14" s="37"/>
      <c r="D14" s="37"/>
      <c r="E14" s="37"/>
      <c r="F14" s="37"/>
    </row>
    <row r="15" spans="1:8" x14ac:dyDescent="0.25">
      <c r="B15" s="11" t="s">
        <v>155</v>
      </c>
      <c r="C15" s="11" t="s">
        <v>156</v>
      </c>
      <c r="D15" s="11" t="s">
        <v>157</v>
      </c>
      <c r="E15" s="11" t="s">
        <v>158</v>
      </c>
      <c r="F15" s="11" t="s">
        <v>159</v>
      </c>
    </row>
    <row r="16" spans="1:8" x14ac:dyDescent="0.25">
      <c r="B16" s="11" t="s">
        <v>61</v>
      </c>
      <c r="C16" s="8">
        <f>AVERAGEIF(HR_Data[Department], $B16, HR_Data[PerformanceRating])</f>
        <v>3.1428571428571428</v>
      </c>
      <c r="D16" s="8">
        <f>COUNTIFS(HR_Data[Department], $B16, HR_Data[PerformanceRating],4)/COUNTIF(HR_Data[Department], $B16)*100</f>
        <v>14.285714285714285</v>
      </c>
      <c r="E16" s="8">
        <f>AVERAGEIF(HR_Data[Department], $B16, HR_Data[JobInvolvement])</f>
        <v>2.746031746031746</v>
      </c>
      <c r="F16" s="8">
        <f>AVERAGEIF(HR_Data[Department], $B16, HR_Data[TrainingTimesLastYear])</f>
        <v>2.5555555555555554</v>
      </c>
    </row>
    <row r="17" spans="2:6" x14ac:dyDescent="0.25">
      <c r="B17" s="11" t="s">
        <v>45</v>
      </c>
      <c r="C17" s="8">
        <f>AVERAGEIF(HR_Data[Department], $B17, HR_Data[PerformanceRating])</f>
        <v>3.1623309053069719</v>
      </c>
      <c r="D17" s="8">
        <f>COUNTIFS(HR_Data[Department], $B17, HR_Data[PerformanceRating],4)/COUNTIF(HR_Data[Department], $B17)*100</f>
        <v>16.23309053069719</v>
      </c>
      <c r="E17" s="8">
        <f>AVERAGEIF(HR_Data[Department], $B17, HR_Data[JobInvolvement])</f>
        <v>2.7419354838709675</v>
      </c>
      <c r="F17" s="8">
        <f>AVERAGEIF(HR_Data[Department], $B17, HR_Data[TrainingTimesLastYear])</f>
        <v>2.7929240374609781</v>
      </c>
    </row>
    <row r="18" spans="2:6" x14ac:dyDescent="0.25">
      <c r="B18" s="11" t="s">
        <v>37</v>
      </c>
      <c r="C18" s="8">
        <f>AVERAGEIF(HR_Data[Department], $B18, HR_Data[PerformanceRating])</f>
        <v>3.1367713004484306</v>
      </c>
      <c r="D18" s="8">
        <f>COUNTIFS(HR_Data[Department], $B18, HR_Data[PerformanceRating],4)/COUNTIF(HR_Data[Department], $B18)*100</f>
        <v>13.67713004484305</v>
      </c>
      <c r="E18" s="8">
        <f>AVERAGEIF(HR_Data[Department], $B18, HR_Data[JobInvolvement])</f>
        <v>2.7017937219730941</v>
      </c>
      <c r="F18" s="8">
        <f>AVERAGEIF(HR_Data[Department], $B18, HR_Data[TrainingTimesLastYear])</f>
        <v>2.8475336322869955</v>
      </c>
    </row>
    <row r="21" spans="2:6" ht="18.75" x14ac:dyDescent="0.3">
      <c r="B21" s="37" t="s">
        <v>162</v>
      </c>
      <c r="C21" s="37"/>
      <c r="D21" s="37"/>
      <c r="E21" s="37"/>
      <c r="F21" s="37"/>
    </row>
    <row r="22" spans="2:6" x14ac:dyDescent="0.25">
      <c r="B22" s="11" t="s">
        <v>95</v>
      </c>
      <c r="C22" s="11" t="s">
        <v>75</v>
      </c>
      <c r="D22" s="11" t="s">
        <v>156</v>
      </c>
      <c r="E22" s="11" t="s">
        <v>118</v>
      </c>
      <c r="F22" s="11" t="s">
        <v>159</v>
      </c>
    </row>
    <row r="23" spans="2:6" x14ac:dyDescent="0.25">
      <c r="B23" s="11" t="s">
        <v>40</v>
      </c>
      <c r="C23" s="11">
        <f>COUNTIF(HR_Data[JobRole], $B23)</f>
        <v>326</v>
      </c>
      <c r="D23" s="8">
        <f>AVERAGEIF(HR_Data[JobRole], $B23, HR_Data[PerformanceRating])</f>
        <v>3.1257668711656441</v>
      </c>
      <c r="E23" s="8">
        <f>AVERAGEIF(HR_Data[JobRole], $B23, HR_Data[MonthlyIncome])</f>
        <v>6924.2791411042945</v>
      </c>
      <c r="F23" s="8">
        <f>AVERAGEIF(HR_Data[JobRole], $B23, HR_Data[TrainingTimesLastYear])</f>
        <v>2.8312883435582821</v>
      </c>
    </row>
    <row r="24" spans="2:6" x14ac:dyDescent="0.25">
      <c r="B24" s="11" t="s">
        <v>47</v>
      </c>
      <c r="C24" s="11">
        <f>COUNTIF(HR_Data[JobRole], $B24)</f>
        <v>292</v>
      </c>
      <c r="D24" s="8">
        <f>AVERAGEIF(HR_Data[JobRole], $B24, HR_Data[PerformanceRating])</f>
        <v>3.1678082191780823</v>
      </c>
      <c r="E24" s="8">
        <f>AVERAGEIF(HR_Data[JobRole], $B24, HR_Data[MonthlyIncome])</f>
        <v>3239.972602739726</v>
      </c>
      <c r="F24" s="8">
        <f>AVERAGEIF(HR_Data[JobRole], $B24, HR_Data[TrainingTimesLastYear])</f>
        <v>2.6643835616438358</v>
      </c>
    </row>
    <row r="25" spans="2:6" x14ac:dyDescent="0.25">
      <c r="B25" s="11" t="s">
        <v>50</v>
      </c>
      <c r="C25" s="11">
        <f>COUNTIF(HR_Data[JobRole], $B25)</f>
        <v>259</v>
      </c>
      <c r="D25" s="8">
        <f>AVERAGEIF(HR_Data[JobRole], $B25, HR_Data[PerformanceRating])</f>
        <v>3.1621621621621623</v>
      </c>
      <c r="E25" s="8">
        <f>AVERAGEIF(HR_Data[JobRole], $B25, HR_Data[MonthlyIncome])</f>
        <v>3237.169884169884</v>
      </c>
      <c r="F25" s="8">
        <f>AVERAGEIF(HR_Data[JobRole], $B25, HR_Data[TrainingTimesLastYear])</f>
        <v>2.9498069498069497</v>
      </c>
    </row>
    <row r="26" spans="2:6" x14ac:dyDescent="0.25">
      <c r="B26" s="11" t="s">
        <v>53</v>
      </c>
      <c r="C26" s="11">
        <f>COUNTIF(HR_Data[JobRole], $B26)</f>
        <v>145</v>
      </c>
      <c r="D26" s="8">
        <f>AVERAGEIF(HR_Data[JobRole], $B26, HR_Data[PerformanceRating])</f>
        <v>3.1862068965517243</v>
      </c>
      <c r="E26" s="8">
        <f>AVERAGEIF(HR_Data[JobRole], $B26, HR_Data[MonthlyIncome])</f>
        <v>7295.1379310344828</v>
      </c>
      <c r="F26" s="8">
        <f>AVERAGEIF(HR_Data[JobRole], $B26, HR_Data[TrainingTimesLastYear])</f>
        <v>2.7448275862068967</v>
      </c>
    </row>
    <row r="27" spans="2:6" x14ac:dyDescent="0.25">
      <c r="B27" s="11" t="s">
        <v>54</v>
      </c>
      <c r="C27" s="11">
        <f>COUNTIF(HR_Data[JobRole], $B27)</f>
        <v>131</v>
      </c>
      <c r="D27" s="8">
        <f>AVERAGEIF(HR_Data[JobRole], $B27, HR_Data[PerformanceRating])</f>
        <v>3.1526717557251906</v>
      </c>
      <c r="E27" s="8">
        <f>AVERAGEIF(HR_Data[JobRole], $B27, HR_Data[MonthlyIncome])</f>
        <v>7528.7633587786258</v>
      </c>
      <c r="F27" s="8">
        <f>AVERAGEIF(HR_Data[JobRole], $B27, HR_Data[TrainingTimesLastYear])</f>
        <v>2.7480916030534353</v>
      </c>
    </row>
    <row r="28" spans="2:6" x14ac:dyDescent="0.25">
      <c r="B28" s="11" t="s">
        <v>56</v>
      </c>
      <c r="C28" s="11">
        <f>COUNTIF(HR_Data[JobRole], $B28)</f>
        <v>102</v>
      </c>
      <c r="D28" s="8">
        <f>AVERAGEIF(HR_Data[JobRole], $B28, HR_Data[PerformanceRating])</f>
        <v>3.1960784313725492</v>
      </c>
      <c r="E28" s="8">
        <f>AVERAGEIF(HR_Data[JobRole], $B28, HR_Data[MonthlyIncome])</f>
        <v>17181.676470588234</v>
      </c>
      <c r="F28" s="8">
        <f>AVERAGEIF(HR_Data[JobRole], $B28, HR_Data[TrainingTimesLastYear])</f>
        <v>2.8137254901960786</v>
      </c>
    </row>
    <row r="29" spans="2:6" x14ac:dyDescent="0.25">
      <c r="B29" s="11" t="s">
        <v>57</v>
      </c>
      <c r="C29" s="11">
        <f>COUNTIF(HR_Data[JobRole], $B29)</f>
        <v>83</v>
      </c>
      <c r="D29" s="8">
        <f>AVERAGEIF(HR_Data[JobRole], $B29, HR_Data[PerformanceRating])</f>
        <v>3.1445783132530121</v>
      </c>
      <c r="E29" s="8">
        <f>AVERAGEIF(HR_Data[JobRole], $B29, HR_Data[MonthlyIncome])</f>
        <v>2626</v>
      </c>
      <c r="F29" s="8">
        <f>AVERAGEIF(HR_Data[JobRole], $B29, HR_Data[TrainingTimesLastYear])</f>
        <v>3.0120481927710845</v>
      </c>
    </row>
    <row r="30" spans="2:6" x14ac:dyDescent="0.25">
      <c r="B30" s="11" t="s">
        <v>58</v>
      </c>
      <c r="C30" s="11">
        <f>COUNTIF(HR_Data[JobRole], $B30)</f>
        <v>80</v>
      </c>
      <c r="D30" s="8">
        <f>AVERAGEIF(HR_Data[JobRole], $B30, HR_Data[PerformanceRating])</f>
        <v>3.1</v>
      </c>
      <c r="E30" s="8">
        <f>AVERAGEIF(HR_Data[JobRole], $B30, HR_Data[MonthlyIncome])</f>
        <v>16033.55</v>
      </c>
      <c r="F30" s="8">
        <f>AVERAGEIF(HR_Data[JobRole], $B30, HR_Data[TrainingTimesLastYear])</f>
        <v>2.7749999999999999</v>
      </c>
    </row>
    <row r="31" spans="2:6" x14ac:dyDescent="0.25">
      <c r="B31" s="11" t="s">
        <v>61</v>
      </c>
      <c r="C31" s="11">
        <f>COUNTIF(HR_Data[JobRole], $B31)</f>
        <v>52</v>
      </c>
      <c r="D31" s="8">
        <f>AVERAGEIF(HR_Data[JobRole], $B31, HR_Data[PerformanceRating])</f>
        <v>3.1346153846153846</v>
      </c>
      <c r="E31" s="8">
        <f>AVERAGEIF(HR_Data[JobRole], $B31, HR_Data[MonthlyIncome])</f>
        <v>4235.75</v>
      </c>
      <c r="F31" s="8">
        <f>AVERAGEIF(HR_Data[JobRole], $B31, HR_Data[TrainingTimesLastYear])</f>
        <v>2.5576923076923075</v>
      </c>
    </row>
    <row r="34" spans="2:5" ht="18.75" x14ac:dyDescent="0.3">
      <c r="B34" s="37" t="s">
        <v>163</v>
      </c>
      <c r="C34" s="37"/>
      <c r="D34" s="37"/>
      <c r="E34" s="37"/>
    </row>
    <row r="35" spans="2:5" x14ac:dyDescent="0.25">
      <c r="B35" s="11" t="s">
        <v>146</v>
      </c>
      <c r="C35" s="11" t="s">
        <v>80</v>
      </c>
      <c r="D35" s="11" t="s">
        <v>75</v>
      </c>
      <c r="E35" s="11" t="s">
        <v>147</v>
      </c>
    </row>
    <row r="36" spans="2:5" x14ac:dyDescent="0.25">
      <c r="B36" s="11">
        <v>3</v>
      </c>
      <c r="C36" s="8">
        <f>AVERAGEIF(HR_Data[PerformanceRating], $B36, HR_Data[MonthlyIncome])</f>
        <v>6537.2741157556275</v>
      </c>
      <c r="D36" s="11">
        <f>COUNTIF(HR_Data[PerformanceRating], $B36)</f>
        <v>1244</v>
      </c>
      <c r="E36" s="8">
        <f>AVERAGEIF(HR_Data[PerformanceRating], $B36, HR_Data[PercentSalaryHike])</f>
        <v>14.003215434083602</v>
      </c>
    </row>
    <row r="37" spans="2:5" x14ac:dyDescent="0.25">
      <c r="B37" s="11">
        <v>4</v>
      </c>
      <c r="C37" s="8">
        <f>AVERAGEIF(HR_Data[PerformanceRating], $B37, HR_Data[MonthlyIncome])</f>
        <v>6313.8938053097345</v>
      </c>
      <c r="D37" s="11">
        <f>COUNTIF(HR_Data[PerformanceRating], $B37)</f>
        <v>226</v>
      </c>
      <c r="E37" s="8">
        <f>AVERAGEIF(HR_Data[PerformanceRating], $B37, HR_Data[PercentSalaryHike])</f>
        <v>21.849557522123895</v>
      </c>
    </row>
    <row r="40" spans="2:5" ht="18.75" x14ac:dyDescent="0.3">
      <c r="B40" s="37" t="s">
        <v>164</v>
      </c>
      <c r="C40" s="37"/>
      <c r="D40" s="37"/>
      <c r="E40" s="37"/>
    </row>
    <row r="41" spans="2:5" x14ac:dyDescent="0.25">
      <c r="B41" s="11" t="s">
        <v>165</v>
      </c>
      <c r="C41" s="11" t="s">
        <v>156</v>
      </c>
      <c r="D41" s="11" t="s">
        <v>158</v>
      </c>
      <c r="E41" s="11" t="s">
        <v>75</v>
      </c>
    </row>
    <row r="42" spans="2:5" x14ac:dyDescent="0.25">
      <c r="B42" s="11" t="s">
        <v>140</v>
      </c>
      <c r="C42" s="8">
        <f>AVERAGEIFS(HR_Data[PerformanceRating], HR_Data[TotalWorkingYears], "&gt;=0",HR_Data[TotalWorkingYears],"&lt;=2")</f>
        <v>3.154471544715447</v>
      </c>
      <c r="D42" s="8">
        <f>AVERAGEIFS(HR_Data[JobInvolvement], HR_Data[TotalWorkingYears],"&gt;=0", HR_Data[TotalWorkingYears],"&lt;=2")</f>
        <v>2.6341463414634148</v>
      </c>
      <c r="E42" s="11" cm="1">
        <f t="array" ref="E42">SUMPRODUCT((HR_Data[TotalWorkingYears]&gt;=0)*(HR_Data[TotalWorkingYears]&lt;=2))</f>
        <v>123</v>
      </c>
    </row>
    <row r="43" spans="2:5" x14ac:dyDescent="0.25">
      <c r="B43" s="16" t="s">
        <v>141</v>
      </c>
      <c r="C43" s="8">
        <f>AVERAGEIFS(HR_Data[PerformanceRating], HR_Data[TotalWorkingYears], "&gt;=3", HR_Data[TotalWorkingYears], "&lt;=5")</f>
        <v>3.1398963730569949</v>
      </c>
      <c r="D43" s="8">
        <f>AVERAGEIFS(HR_Data[JobInvolvement], HR_Data[TotalWorkingYears],"&gt;=3", HR_Data[TotalWorkingYears],"&lt;=5")</f>
        <v>2.7305699481865284</v>
      </c>
      <c r="E43" s="11" cm="1">
        <f t="array" ref="E43">SUMPRODUCT((HR_Data[TotalWorkingYears]&gt;=3)*(HR_Data[TotalWorkingYears]&lt;=5))</f>
        <v>193</v>
      </c>
    </row>
    <row r="44" spans="2:5" x14ac:dyDescent="0.25">
      <c r="B44" s="11" t="s">
        <v>144</v>
      </c>
      <c r="C44" s="8">
        <f>AVERAGEIFS(HR_Data[PerformanceRating], HR_Data[TotalWorkingYears], "&gt;=6", HR_Data[TotalWorkingYears], "&lt;=10")</f>
        <v>3.1466227347611202</v>
      </c>
      <c r="D44" s="8">
        <f>AVERAGEIFS(HR_Data[JobInvolvement], HR_Data[TotalWorkingYears],"&gt;=6", HR_Data[TotalWorkingYears],"&lt;=10")</f>
        <v>2.7644151565074133</v>
      </c>
      <c r="E44" s="11" cm="1">
        <f t="array" ref="E44">SUMPRODUCT((HR_Data[TotalWorkingYears]&gt;=6)*(HR_Data[TotalWorkingYears]&lt;=10))</f>
        <v>607</v>
      </c>
    </row>
    <row r="45" spans="2:5" x14ac:dyDescent="0.25">
      <c r="B45" s="11" t="s">
        <v>142</v>
      </c>
      <c r="C45" s="8">
        <f>AVERAGEIFS(HR_Data[PerformanceRating], HR_Data[TotalWorkingYears], "&gt;=11", HR_Data[TotalWorkingYears], "&lt;=20")</f>
        <v>3.1823529411764704</v>
      </c>
      <c r="D45" s="8">
        <f>AVERAGEIFS(HR_Data[JobInvolvement], HR_Data[TotalWorkingYears],"&gt;=11", HR_Data[TotalWorkingYears],"&lt;=20")</f>
        <v>2.723529411764706</v>
      </c>
      <c r="E45" s="11" cm="1">
        <f t="array" ref="E45">SUMPRODUCT((HR_Data[TotalWorkingYears]&gt;=11)*(HR_Data[TotalWorkingYears]&lt;=20))</f>
        <v>340</v>
      </c>
    </row>
    <row r="46" spans="2:5" x14ac:dyDescent="0.25">
      <c r="B46" s="11" t="s">
        <v>143</v>
      </c>
      <c r="C46" s="8">
        <f>AVERAGEIFS(HR_Data[PerformanceRating], HR_Data[TotalWorkingYears], "&gt;=21")</f>
        <v>3.1400966183574881</v>
      </c>
      <c r="D46" s="8">
        <f>AVERAGEIFS(HR_Data[JobInvolvement], HR_Data[TotalWorkingYears],"&gt;=21")</f>
        <v>2.6956521739130435</v>
      </c>
      <c r="E46" s="11" cm="1">
        <f t="array" ref="E46">SUMPRODUCT((HR_Data[TotalWorkingYears]&gt;=21)*1)</f>
        <v>207</v>
      </c>
    </row>
    <row r="49" spans="2:5" ht="18.75" x14ac:dyDescent="0.3">
      <c r="B49" s="37" t="s">
        <v>166</v>
      </c>
      <c r="C49" s="37"/>
      <c r="D49" s="37"/>
      <c r="E49" s="37"/>
    </row>
    <row r="50" spans="2:5" x14ac:dyDescent="0.25">
      <c r="B50" s="11" t="s">
        <v>167</v>
      </c>
      <c r="C50" s="11" t="s">
        <v>75</v>
      </c>
      <c r="D50" s="11" t="s">
        <v>156</v>
      </c>
      <c r="E50" s="11" t="s">
        <v>168</v>
      </c>
    </row>
    <row r="51" spans="2:5" x14ac:dyDescent="0.25">
      <c r="B51" s="11">
        <v>0</v>
      </c>
      <c r="C51" s="11">
        <f>COUNTIF(HR_Data[TrainingTimesLastYear], $B51)</f>
        <v>54</v>
      </c>
      <c r="D51" s="8">
        <f>AVERAGEIF(HR_Data[TrainingTimesLastYear], $B51, HR_Data[PerformanceRating])</f>
        <v>3.1851851851851851</v>
      </c>
      <c r="E51" s="8">
        <f>AVERAGEIF(HR_Data[TrainingTimesLastYear], $B51, HR_Data[MonthlyIncome])</f>
        <v>6213.9074074074078</v>
      </c>
    </row>
    <row r="52" spans="2:5" x14ac:dyDescent="0.25">
      <c r="B52" s="11">
        <v>1</v>
      </c>
      <c r="C52" s="11">
        <f>COUNTIF(HR_Data[TrainingTimesLastYear], $B52)</f>
        <v>71</v>
      </c>
      <c r="D52" s="8">
        <f>AVERAGEIF(HR_Data[TrainingTimesLastYear], $B52, HR_Data[PerformanceRating])</f>
        <v>3.1267605633802815</v>
      </c>
      <c r="E52" s="8">
        <f>AVERAGEIF(HR_Data[TrainingTimesLastYear], $B52, HR_Data[MonthlyIncome])</f>
        <v>6746.5070422535209</v>
      </c>
    </row>
    <row r="53" spans="2:5" x14ac:dyDescent="0.25">
      <c r="B53" s="11">
        <v>2</v>
      </c>
      <c r="C53" s="11">
        <f>COUNTIF(HR_Data[TrainingTimesLastYear], $B53)</f>
        <v>547</v>
      </c>
      <c r="D53" s="8">
        <f>AVERAGEIF(HR_Data[TrainingTimesLastYear], $B53, HR_Data[PerformanceRating])</f>
        <v>3.1627056672760512</v>
      </c>
      <c r="E53" s="8">
        <f>AVERAGEIF(HR_Data[TrainingTimesLastYear], $B53, HR_Data[MonthlyIncome])</f>
        <v>6643.1773308957954</v>
      </c>
    </row>
    <row r="54" spans="2:5" x14ac:dyDescent="0.25">
      <c r="B54" s="11">
        <v>3</v>
      </c>
      <c r="C54" s="11">
        <f>COUNTIF(HR_Data[TrainingTimesLastYear], $B54)</f>
        <v>491</v>
      </c>
      <c r="D54" s="8">
        <f>AVERAGEIF(HR_Data[TrainingTimesLastYear], $B54, HR_Data[PerformanceRating])</f>
        <v>3.1507128309572301</v>
      </c>
      <c r="E54" s="8">
        <f>AVERAGEIF(HR_Data[TrainingTimesLastYear], $B54, HR_Data[MonthlyIncome])</f>
        <v>6480.6089613034619</v>
      </c>
    </row>
    <row r="55" spans="2:5" x14ac:dyDescent="0.25">
      <c r="B55" s="11">
        <v>4</v>
      </c>
      <c r="C55" s="11">
        <f>COUNTIF(HR_Data[TrainingTimesLastYear], $B55)</f>
        <v>123</v>
      </c>
      <c r="D55" s="8">
        <f>AVERAGEIF(HR_Data[TrainingTimesLastYear], $B55, HR_Data[PerformanceRating])</f>
        <v>3.1300813008130079</v>
      </c>
      <c r="E55" s="8">
        <f>AVERAGEIF(HR_Data[TrainingTimesLastYear], $B55, HR_Data[MonthlyIncome])</f>
        <v>6214.9918699186992</v>
      </c>
    </row>
    <row r="56" spans="2:5" x14ac:dyDescent="0.25">
      <c r="B56" s="11">
        <v>5</v>
      </c>
      <c r="C56" s="11">
        <f>COUNTIF(HR_Data[TrainingTimesLastYear], $B56)</f>
        <v>119</v>
      </c>
      <c r="D56" s="8">
        <f>AVERAGEIF(HR_Data[TrainingTimesLastYear], $B56, HR_Data[PerformanceRating])</f>
        <v>3.1596638655462184</v>
      </c>
      <c r="E56" s="8">
        <f>AVERAGEIF(HR_Data[TrainingTimesLastYear], $B56, HR_Data[MonthlyIncome])</f>
        <v>6484.8067226890753</v>
      </c>
    </row>
    <row r="57" spans="2:5" x14ac:dyDescent="0.25">
      <c r="B57" s="11">
        <v>6</v>
      </c>
      <c r="C57" s="11">
        <f>COUNTIF(HR_Data[TrainingTimesLastYear], $B57)</f>
        <v>65</v>
      </c>
      <c r="D57" s="8">
        <f>AVERAGEIF(HR_Data[TrainingTimesLastYear], $B57, HR_Data[PerformanceRating])</f>
        <v>3.1384615384615384</v>
      </c>
      <c r="E57" s="8">
        <f>AVERAGEIF(HR_Data[TrainingTimesLastYear], $B57, HR_Data[MonthlyIncome])</f>
        <v>6043.4307692307693</v>
      </c>
    </row>
    <row r="60" spans="2:5" ht="18.75" x14ac:dyDescent="0.3">
      <c r="B60" s="37" t="s">
        <v>169</v>
      </c>
      <c r="C60" s="37"/>
      <c r="D60" s="37"/>
      <c r="E60" s="37"/>
    </row>
    <row r="61" spans="2:5" x14ac:dyDescent="0.25">
      <c r="B61" s="11" t="s">
        <v>123</v>
      </c>
      <c r="C61" s="11" t="s">
        <v>156</v>
      </c>
      <c r="D61" s="11" t="s">
        <v>158</v>
      </c>
      <c r="E61" s="11" t="s">
        <v>159</v>
      </c>
    </row>
    <row r="62" spans="2:5" x14ac:dyDescent="0.25">
      <c r="B62" s="11">
        <v>1</v>
      </c>
      <c r="C62" s="8">
        <f>AVERAGEIF(HR_Data[JobLevel], $B62, HR_Data[PerformanceRating])</f>
        <v>3.1620626151012892</v>
      </c>
      <c r="D62" s="8">
        <f>AVERAGEIF(HR_Data[JobLevel], $B62, HR_Data[JobInvolvement])</f>
        <v>2.7440147329650091</v>
      </c>
      <c r="E62" s="8">
        <f>AVERAGEIF(HR_Data[JobLevel], $B62, HR_Data[TrainingTimesLastYear])</f>
        <v>2.8084714548802947</v>
      </c>
    </row>
    <row r="63" spans="2:5" x14ac:dyDescent="0.25">
      <c r="B63" s="11">
        <v>2</v>
      </c>
      <c r="C63" s="8">
        <f>AVERAGEIF(HR_Data[JobLevel], $B63, HR_Data[PerformanceRating])</f>
        <v>3.1498127340823969</v>
      </c>
      <c r="D63" s="8">
        <f>AVERAGEIF(HR_Data[JobLevel], $B63, HR_Data[JobInvolvement])</f>
        <v>2.7303370786516852</v>
      </c>
      <c r="E63" s="8">
        <f>AVERAGEIF(HR_Data[JobLevel], $B63, HR_Data[TrainingTimesLastYear])</f>
        <v>2.8146067415730336</v>
      </c>
    </row>
    <row r="64" spans="2:5" x14ac:dyDescent="0.25">
      <c r="B64" s="11">
        <v>3</v>
      </c>
      <c r="C64" s="8">
        <f>AVERAGEIF(HR_Data[JobLevel], $B64, HR_Data[PerformanceRating])</f>
        <v>3.1513761467889907</v>
      </c>
      <c r="D64" s="8">
        <f>AVERAGEIF(HR_Data[JobLevel], $B64, HR_Data[JobInvolvement])</f>
        <v>2.669724770642202</v>
      </c>
      <c r="E64" s="8">
        <f>AVERAGEIF(HR_Data[JobLevel], $B64, HR_Data[TrainingTimesLastYear])</f>
        <v>2.8440366972477062</v>
      </c>
    </row>
    <row r="65" spans="2:5" x14ac:dyDescent="0.25">
      <c r="B65" s="11">
        <v>4</v>
      </c>
      <c r="C65" s="8">
        <f>AVERAGEIF(HR_Data[JobLevel], $B65, HR_Data[PerformanceRating])</f>
        <v>3.1698113207547172</v>
      </c>
      <c r="D65" s="8">
        <f>AVERAGEIF(HR_Data[JobLevel], $B65, HR_Data[JobInvolvement])</f>
        <v>2.8207547169811322</v>
      </c>
      <c r="E65" s="8">
        <f>AVERAGEIF(HR_Data[JobLevel], $B65, HR_Data[TrainingTimesLastYear])</f>
        <v>2.5566037735849059</v>
      </c>
    </row>
    <row r="66" spans="2:5" x14ac:dyDescent="0.25">
      <c r="B66" s="11">
        <v>5</v>
      </c>
      <c r="C66" s="8">
        <f>AVERAGEIF(HR_Data[JobLevel], $B66, HR_Data[PerformanceRating])</f>
        <v>3.1014492753623188</v>
      </c>
      <c r="D66" s="8">
        <f>AVERAGEIF(HR_Data[JobLevel], $B66, HR_Data[JobInvolvement])</f>
        <v>2.6666666666666665</v>
      </c>
      <c r="E66" s="8">
        <f>AVERAGEIF(HR_Data[JobLevel], $B66, HR_Data[TrainingTimesLastYear])</f>
        <v>2.8405797101449277</v>
      </c>
    </row>
  </sheetData>
  <mergeCells count="8">
    <mergeCell ref="B34:E34"/>
    <mergeCell ref="B40:E40"/>
    <mergeCell ref="B49:E49"/>
    <mergeCell ref="B60:E60"/>
    <mergeCell ref="A1:H2"/>
    <mergeCell ref="B5:C5"/>
    <mergeCell ref="B14:F14"/>
    <mergeCell ref="B21:F21"/>
  </mergeCells>
  <conditionalFormatting sqref="C16:C18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34281-605A-42D3-87F8-FF9007DB1D27}">
  <dimension ref="A1:H60"/>
  <sheetViews>
    <sheetView topLeftCell="E1" zoomScaleNormal="100" workbookViewId="0">
      <selection activeCell="W10" sqref="W10"/>
    </sheetView>
  </sheetViews>
  <sheetFormatPr defaultRowHeight="15" x14ac:dyDescent="0.25"/>
  <cols>
    <col min="2" max="2" width="23" customWidth="1"/>
    <col min="3" max="3" width="16.85546875" customWidth="1"/>
    <col min="4" max="4" width="15.42578125" customWidth="1"/>
    <col min="5" max="5" width="18.85546875" customWidth="1"/>
    <col min="6" max="6" width="20.42578125" customWidth="1"/>
    <col min="7" max="7" width="18.28515625" customWidth="1"/>
  </cols>
  <sheetData>
    <row r="1" spans="1:8" x14ac:dyDescent="0.25">
      <c r="A1" s="40" t="s">
        <v>170</v>
      </c>
      <c r="B1" s="40"/>
      <c r="C1" s="40"/>
      <c r="D1" s="40"/>
      <c r="E1" s="40"/>
      <c r="F1" s="40"/>
      <c r="G1" s="40"/>
      <c r="H1" s="40"/>
    </row>
    <row r="2" spans="1:8" x14ac:dyDescent="0.25">
      <c r="A2" s="40"/>
      <c r="B2" s="40"/>
      <c r="C2" s="40"/>
      <c r="D2" s="40"/>
      <c r="E2" s="40"/>
      <c r="F2" s="40"/>
      <c r="G2" s="40"/>
      <c r="H2" s="40"/>
    </row>
    <row r="5" spans="1:8" ht="18.75" x14ac:dyDescent="0.3">
      <c r="B5" s="39" t="s">
        <v>174</v>
      </c>
      <c r="C5" s="39"/>
    </row>
    <row r="6" spans="1:8" x14ac:dyDescent="0.25">
      <c r="B6" s="11" t="s">
        <v>109</v>
      </c>
      <c r="C6" s="11" t="s">
        <v>110</v>
      </c>
    </row>
    <row r="7" spans="1:8" x14ac:dyDescent="0.25">
      <c r="B7" s="11" t="s">
        <v>67</v>
      </c>
      <c r="C7" s="11">
        <f>AVERAGE(HR_Data[Age])</f>
        <v>36.923809523809524</v>
      </c>
    </row>
    <row r="8" spans="1:8" x14ac:dyDescent="0.25">
      <c r="B8" s="11" t="s">
        <v>171</v>
      </c>
      <c r="C8" s="11">
        <f>MEDIAN(HR_Data[Age])</f>
        <v>36</v>
      </c>
    </row>
    <row r="9" spans="1:8" x14ac:dyDescent="0.25">
      <c r="B9" s="11" t="s">
        <v>172</v>
      </c>
      <c r="C9" s="11">
        <f>MIN(HR_Data[Age])</f>
        <v>18</v>
      </c>
    </row>
    <row r="10" spans="1:8" x14ac:dyDescent="0.25">
      <c r="B10" s="11" t="s">
        <v>173</v>
      </c>
      <c r="C10" s="11">
        <f>MAX(HR_Data[Age])</f>
        <v>60</v>
      </c>
    </row>
    <row r="11" spans="1:8" x14ac:dyDescent="0.25">
      <c r="B11" s="11" t="s">
        <v>114</v>
      </c>
      <c r="C11" s="11">
        <f>_xlfn.STDEV.S(HR_Data[Age])</f>
        <v>9.1353734891367289</v>
      </c>
    </row>
    <row r="14" spans="1:8" ht="18.75" x14ac:dyDescent="0.3">
      <c r="B14" s="39" t="s">
        <v>175</v>
      </c>
      <c r="C14" s="39"/>
      <c r="D14" s="39"/>
      <c r="E14" s="39"/>
      <c r="F14" s="39"/>
    </row>
    <row r="15" spans="1:8" x14ac:dyDescent="0.25">
      <c r="B15" s="11" t="s">
        <v>92</v>
      </c>
      <c r="C15" s="11" t="s">
        <v>75</v>
      </c>
      <c r="D15" s="11" t="s">
        <v>176</v>
      </c>
      <c r="E15" s="11" t="s">
        <v>118</v>
      </c>
      <c r="F15" s="11" t="s">
        <v>156</v>
      </c>
    </row>
    <row r="16" spans="1:8" x14ac:dyDescent="0.25">
      <c r="B16" s="11" t="s">
        <v>82</v>
      </c>
      <c r="C16" s="11" cm="1">
        <f t="array" ref="C16">SUMPRODUCT((HR_Data[Age]&gt;=18)*(HR_Data[Age]&lt;=25))</f>
        <v>123</v>
      </c>
      <c r="D16" s="8">
        <f>$C16/COUNTA(HR_Data[Age])*100</f>
        <v>8.3673469387755102</v>
      </c>
      <c r="E16" s="8">
        <f>AVERAGEIFS(HR_Data[MonthlyIncome], HR_Data[Age], "&gt;=18", HR_Data[Age], "&lt;=25")</f>
        <v>2972.8861788617887</v>
      </c>
      <c r="F16" s="17">
        <f>AVERAGEIFS(HR_Data[PerformanceRating], HR_Data[Age], "&gt;=18", HR_Data[Age], "&lt;=25")</f>
        <v>3.154471544715447</v>
      </c>
    </row>
    <row r="17" spans="2:7" x14ac:dyDescent="0.25">
      <c r="B17" s="11" t="s">
        <v>81</v>
      </c>
      <c r="C17" s="11" cm="1">
        <f t="array" ref="C17">SUMPRODUCT((HR_Data[Age]&gt;=26)*(HR_Data[Age]&lt;=35))</f>
        <v>606</v>
      </c>
      <c r="D17" s="8">
        <f>$C17/COUNTA(HR_Data[Age])*100</f>
        <v>41.224489795918366</v>
      </c>
      <c r="E17" s="8">
        <f>AVERAGEIFS(HR_Data[MonthlyIncome], HR_Data[Age], "&gt;=26", HR_Data[Age], "&lt;=35")</f>
        <v>4895.6336633663368</v>
      </c>
      <c r="F17" s="17">
        <f>AVERAGEIFS(HR_Data[PerformanceRating], HR_Data[Age], "&gt;=26", HR_Data[Age], "&lt;=35")</f>
        <v>3.1518151815181517</v>
      </c>
    </row>
    <row r="18" spans="2:7" x14ac:dyDescent="0.25">
      <c r="B18" s="11" t="s">
        <v>85</v>
      </c>
      <c r="C18" s="11" cm="1">
        <f t="array" ref="C18">SUMPRODUCT((HR_Data[Age]&gt;=36)*(HR_Data[Age]&lt;=45))</f>
        <v>468</v>
      </c>
      <c r="D18" s="8">
        <f>$C18/COUNTA(HR_Data[Age])*100</f>
        <v>31.836734693877549</v>
      </c>
      <c r="E18" s="8">
        <f>AVERAGEIFS(HR_Data[MonthlyIncome], HR_Data[Age], "&gt;=36", HR_Data[Age], "&lt;=45")</f>
        <v>7104.4444444444443</v>
      </c>
      <c r="F18" s="17">
        <f>AVERAGEIFS(HR_Data[PerformanceRating], HR_Data[Age], "&gt;=36", HR_Data[Age], "&lt;=45")</f>
        <v>3.1559829059829059</v>
      </c>
    </row>
    <row r="19" spans="2:7" x14ac:dyDescent="0.25">
      <c r="B19" s="11" t="s">
        <v>83</v>
      </c>
      <c r="C19" s="11" cm="1">
        <f t="array" ref="C19">SUMPRODUCT((HR_Data[Age]&gt;=46)*(HR_Data[Age]&lt;=55))</f>
        <v>226</v>
      </c>
      <c r="D19" s="8">
        <f>$C19/COUNTA(HR_Data[Age])*100</f>
        <v>15.374149659863946</v>
      </c>
      <c r="E19" s="8">
        <f>AVERAGEIFS(HR_Data[MonthlyIncome], HR_Data[Age], "&gt;=46", HR_Data[Age], "&lt;=55")</f>
        <v>10927.96017699115</v>
      </c>
      <c r="F19" s="17">
        <f>AVERAGEIFS(HR_Data[PerformanceRating], HR_Data[Age], "&gt;=46", HR_Data[Age], "&lt;=55")</f>
        <v>3.1415929203539825</v>
      </c>
    </row>
    <row r="20" spans="2:7" x14ac:dyDescent="0.25">
      <c r="B20" s="11" t="s">
        <v>93</v>
      </c>
      <c r="C20" s="11" cm="1">
        <f t="array" ref="C20">SUMPRODUCT((HR_Data[Age]&gt;=18)*1)</f>
        <v>1470</v>
      </c>
      <c r="D20" s="8">
        <f>$C20/COUNTA(HR_Data[Age])*100</f>
        <v>100</v>
      </c>
      <c r="E20" s="8">
        <f>AVERAGEIFS(HR_Data[MonthlyIncome], HR_Data[Age], "&gt;=56")</f>
        <v>9197.6808510638293</v>
      </c>
      <c r="F20" s="17">
        <f>AVERAGEIFS(HR_Data[PerformanceRating], HR_Data[Age], "&gt;=56")</f>
        <v>3.2127659574468086</v>
      </c>
    </row>
    <row r="23" spans="2:7" ht="18.75" x14ac:dyDescent="0.3">
      <c r="B23" s="39" t="s">
        <v>177</v>
      </c>
      <c r="C23" s="39"/>
      <c r="D23" s="39"/>
      <c r="E23" s="39"/>
      <c r="F23" s="39"/>
    </row>
    <row r="24" spans="2:7" x14ac:dyDescent="0.25">
      <c r="B24" s="11" t="s">
        <v>178</v>
      </c>
      <c r="C24" s="11" t="s">
        <v>75</v>
      </c>
      <c r="D24" s="11" t="s">
        <v>176</v>
      </c>
      <c r="E24" s="11" t="s">
        <v>179</v>
      </c>
      <c r="F24" s="11" t="s">
        <v>118</v>
      </c>
      <c r="G24" s="11" t="s">
        <v>156</v>
      </c>
    </row>
    <row r="25" spans="2:7" x14ac:dyDescent="0.25">
      <c r="B25" s="11" t="s">
        <v>46</v>
      </c>
      <c r="C25" s="11">
        <f>COUNTIF(HR_Data[Gender], $B25)</f>
        <v>882</v>
      </c>
      <c r="D25" s="11">
        <f>$C25/COUNTA(HR_Data[Gender])*100</f>
        <v>60</v>
      </c>
      <c r="E25" s="8">
        <f>AVERAGEIF(HR_Data[Gender], $B25, HR_Data[MonthlyIncome])</f>
        <v>6380.5079365079364</v>
      </c>
      <c r="F25" s="8">
        <f>AVERAGEIF(HR_Data[Gender], $B25, HR_Data[MonthlyIncome])</f>
        <v>6380.5079365079364</v>
      </c>
      <c r="G25" s="8">
        <f>AVERAGEIF(HR_Data[Gender], $B25, HR_Data[PerformanceRating])</f>
        <v>3.1496598639455784</v>
      </c>
    </row>
    <row r="26" spans="2:7" x14ac:dyDescent="0.25">
      <c r="B26" s="11" t="s">
        <v>39</v>
      </c>
      <c r="C26" s="11">
        <f>COUNTIF(HR_Data[Gender], $B26)</f>
        <v>588</v>
      </c>
      <c r="D26" s="11">
        <f>$C26/COUNTA(HR_Data[Gender])*100</f>
        <v>40</v>
      </c>
      <c r="E26" s="8">
        <f>AVERAGEIF(HR_Data[Gender], $B26, HR_Data[MonthlyIncome])</f>
        <v>6686.5663265306121</v>
      </c>
      <c r="F26" s="8">
        <f>AVERAGEIF(HR_Data[Gender], $B26, HR_Data[MonthlyIncome])</f>
        <v>6686.5663265306121</v>
      </c>
      <c r="G26" s="8">
        <f>AVERAGEIF(HR_Data[Gender], $B26, HR_Data[PerformanceRating])</f>
        <v>3.1598639455782314</v>
      </c>
    </row>
    <row r="29" spans="2:7" ht="18.75" x14ac:dyDescent="0.3">
      <c r="B29" s="39" t="s">
        <v>94</v>
      </c>
      <c r="C29" s="39"/>
      <c r="D29" s="39"/>
      <c r="E29" s="39"/>
      <c r="F29" s="39"/>
    </row>
    <row r="30" spans="2:7" x14ac:dyDescent="0.25">
      <c r="B30" s="11" t="s">
        <v>94</v>
      </c>
      <c r="C30" s="11" t="s">
        <v>75</v>
      </c>
      <c r="D30" s="11" t="s">
        <v>176</v>
      </c>
      <c r="E30" s="11" t="s">
        <v>179</v>
      </c>
      <c r="F30" s="11" t="s">
        <v>180</v>
      </c>
    </row>
    <row r="31" spans="2:7" x14ac:dyDescent="0.25">
      <c r="B31" s="11" t="s">
        <v>41</v>
      </c>
      <c r="C31" s="11">
        <f>COUNTIF(HR_Data[MaritalStatus], $B31)</f>
        <v>470</v>
      </c>
      <c r="D31" s="8">
        <f>$C31/COUNTA(HR_Data[MaritalStatus])*100</f>
        <v>31.972789115646261</v>
      </c>
      <c r="E31" s="9">
        <f>AVERAGEIF(HR_Data[MaritalStatus], $B31, HR_Data[Age])</f>
        <v>35.336170212765957</v>
      </c>
      <c r="F31" s="8">
        <f>COUNTIFS(HR_Data[MaritalStatus], $B31, HR_Data[Attrition], "Yes")/$C31*100</f>
        <v>25.531914893617021</v>
      </c>
    </row>
    <row r="32" spans="2:7" x14ac:dyDescent="0.25">
      <c r="B32" s="11" t="s">
        <v>48</v>
      </c>
      <c r="C32" s="11">
        <f>COUNTIF(HR_Data[MaritalStatus], $B32)</f>
        <v>673</v>
      </c>
      <c r="D32" s="8">
        <f>$C32/COUNTA(HR_Data[MaritalStatus])*100</f>
        <v>45.782312925170068</v>
      </c>
      <c r="E32" s="9">
        <f>AVERAGEIF(HR_Data[MaritalStatus], $B32, HR_Data[Age])</f>
        <v>37.757800891530458</v>
      </c>
      <c r="F32" s="8">
        <f>COUNTIFS(HR_Data[MaritalStatus], $B32, HR_Data[Attrition], "Yes")/$C32*100</f>
        <v>12.481426448736999</v>
      </c>
    </row>
    <row r="33" spans="2:6" x14ac:dyDescent="0.25">
      <c r="B33" s="11" t="s">
        <v>52</v>
      </c>
      <c r="C33" s="11">
        <f>COUNTIF(HR_Data[MaritalStatus], $B33)</f>
        <v>327</v>
      </c>
      <c r="D33" s="8">
        <f>$C33/COUNTA(HR_Data[MaritalStatus])*100</f>
        <v>22.244897959183675</v>
      </c>
      <c r="E33" s="9">
        <f>AVERAGEIF(HR_Data[MaritalStatus], $B33, HR_Data[Age])</f>
        <v>37.489296636085626</v>
      </c>
      <c r="F33" s="8">
        <f>COUNTIFS(HR_Data[MaritalStatus], $B33, HR_Data[Attrition], "Yes")/$C33*100</f>
        <v>10.091743119266056</v>
      </c>
    </row>
    <row r="34" spans="2:6" x14ac:dyDescent="0.25">
      <c r="D34" s="15"/>
    </row>
    <row r="35" spans="2:6" x14ac:dyDescent="0.25">
      <c r="D35" s="15"/>
    </row>
    <row r="36" spans="2:6" ht="18.75" x14ac:dyDescent="0.3">
      <c r="B36" s="39" t="s">
        <v>181</v>
      </c>
      <c r="C36" s="39"/>
      <c r="D36" s="39"/>
      <c r="E36" s="39"/>
      <c r="F36" s="39"/>
    </row>
    <row r="37" spans="2:6" x14ac:dyDescent="0.25">
      <c r="B37" s="11" t="s">
        <v>6</v>
      </c>
      <c r="C37" s="11" t="s">
        <v>126</v>
      </c>
      <c r="D37" s="11" t="s">
        <v>75</v>
      </c>
      <c r="E37" s="11" t="s">
        <v>176</v>
      </c>
      <c r="F37" s="11" t="s">
        <v>118</v>
      </c>
    </row>
    <row r="38" spans="2:6" x14ac:dyDescent="0.25">
      <c r="B38" s="11">
        <v>1</v>
      </c>
      <c r="C38" s="11" t="s">
        <v>127</v>
      </c>
      <c r="D38" s="11">
        <f>COUNTIF(HR_Data[Education], $B38)</f>
        <v>170</v>
      </c>
      <c r="E38" s="8">
        <f>$B38/COUNTA(HR_Data[Education])*100</f>
        <v>6.8027210884353734E-2</v>
      </c>
      <c r="F38" s="8">
        <f>AVERAGEIF(HR_Data[Education], $B38, HR_Data[MonthlyIncome])</f>
        <v>5640.5705882352941</v>
      </c>
    </row>
    <row r="39" spans="2:6" x14ac:dyDescent="0.25">
      <c r="B39" s="11">
        <v>2</v>
      </c>
      <c r="C39" s="11" t="s">
        <v>128</v>
      </c>
      <c r="D39" s="11">
        <f>COUNTIF(HR_Data[Education], $B39)</f>
        <v>282</v>
      </c>
      <c r="E39" s="8">
        <f>$B39/COUNTA(HR_Data[Education])*100</f>
        <v>0.13605442176870747</v>
      </c>
      <c r="F39" s="8">
        <f>AVERAGEIF(HR_Data[Education], $B39, HR_Data[MonthlyIncome])</f>
        <v>6226.6453900709221</v>
      </c>
    </row>
    <row r="40" spans="2:6" x14ac:dyDescent="0.25">
      <c r="B40" s="11">
        <v>3</v>
      </c>
      <c r="C40" s="11" t="s">
        <v>129</v>
      </c>
      <c r="D40" s="11">
        <f>COUNTIF(HR_Data[Education], $B40)</f>
        <v>572</v>
      </c>
      <c r="E40" s="8">
        <f>$B40/COUNTA(HR_Data[Education])*100</f>
        <v>0.20408163265306123</v>
      </c>
      <c r="F40" s="8">
        <f>AVERAGEIF(HR_Data[Education], $B40, HR_Data[MonthlyIncome])</f>
        <v>6517.2639860139861</v>
      </c>
    </row>
    <row r="41" spans="2:6" x14ac:dyDescent="0.25">
      <c r="B41" s="11">
        <v>4</v>
      </c>
      <c r="C41" s="11" t="s">
        <v>130</v>
      </c>
      <c r="D41" s="11">
        <f>COUNTIF(HR_Data[Education], $B41)</f>
        <v>398</v>
      </c>
      <c r="E41" s="8">
        <f>$B41/COUNTA(HR_Data[Education])*100</f>
        <v>0.27210884353741494</v>
      </c>
      <c r="F41" s="8">
        <f>AVERAGEIF(HR_Data[Education], $B41, HR_Data[MonthlyIncome])</f>
        <v>6832.4020100502512</v>
      </c>
    </row>
    <row r="42" spans="2:6" x14ac:dyDescent="0.25">
      <c r="B42" s="11">
        <v>5</v>
      </c>
      <c r="C42" s="11" t="s">
        <v>131</v>
      </c>
      <c r="D42" s="11">
        <f>COUNTIF(HR_Data[Education], $B42)</f>
        <v>48</v>
      </c>
      <c r="E42" s="8">
        <f>$B42/COUNTA(HR_Data[Education])*100</f>
        <v>0.3401360544217687</v>
      </c>
      <c r="F42" s="8">
        <f>AVERAGEIF(HR_Data[Education], $B42, HR_Data[MonthlyIncome])</f>
        <v>8277.6458333333339</v>
      </c>
    </row>
    <row r="45" spans="2:6" ht="18.75" x14ac:dyDescent="0.3">
      <c r="B45" s="39" t="s">
        <v>182</v>
      </c>
      <c r="C45" s="39"/>
      <c r="D45" s="39"/>
      <c r="E45" s="39"/>
      <c r="F45" s="39"/>
    </row>
    <row r="46" spans="2:6" x14ac:dyDescent="0.25">
      <c r="B46" s="11" t="s">
        <v>182</v>
      </c>
      <c r="C46" s="11" t="s">
        <v>75</v>
      </c>
      <c r="D46" s="11" t="s">
        <v>176</v>
      </c>
      <c r="E46" s="11" t="s">
        <v>118</v>
      </c>
      <c r="F46" s="11" t="s">
        <v>180</v>
      </c>
    </row>
    <row r="47" spans="2:6" x14ac:dyDescent="0.25">
      <c r="B47" s="11" t="s">
        <v>38</v>
      </c>
      <c r="C47" s="11">
        <f>COUNTIF(HR_Data[EducationField], $B47)</f>
        <v>606</v>
      </c>
      <c r="D47" s="8">
        <f>$C47/COUNTA(HR_Data[EducationField])*100</f>
        <v>41.224489795918366</v>
      </c>
      <c r="E47" s="8">
        <f>AVERAGEIF(HR_Data[EducationField], $B47, HR_Data[MonthlyIncome])</f>
        <v>6463.288778877888</v>
      </c>
      <c r="F47" s="8">
        <f>COUNTIFS(HR_Data[EducationField], $B47, HR_Data[Attrition], "Yes")/$C47*100</f>
        <v>14.686468646864686</v>
      </c>
    </row>
    <row r="48" spans="2:6" x14ac:dyDescent="0.25">
      <c r="B48" s="11" t="s">
        <v>61</v>
      </c>
      <c r="C48" s="11">
        <f>COUNTIF(HR_Data[EducationField], $B48)</f>
        <v>27</v>
      </c>
      <c r="D48" s="8">
        <f>$C48/COUNTA(HR_Data[EducationField])*100</f>
        <v>1.8367346938775513</v>
      </c>
      <c r="E48" s="8">
        <f>AVERAGEIF(HR_Data[EducationField], $B48, HR_Data[MonthlyIncome])</f>
        <v>7241.1481481481478</v>
      </c>
      <c r="F48" s="8">
        <f>COUNTIFS(HR_Data[EducationField], $B48, HR_Data[Attrition], "Yes")/$C48*100</f>
        <v>25.925925925925924</v>
      </c>
    </row>
    <row r="49" spans="2:6" x14ac:dyDescent="0.25">
      <c r="B49" s="11" t="s">
        <v>60</v>
      </c>
      <c r="C49" s="11">
        <f>COUNTIF(HR_Data[EducationField], $B49)</f>
        <v>132</v>
      </c>
      <c r="D49" s="8">
        <f>$C49/COUNTA(HR_Data[EducationField])*100</f>
        <v>8.9795918367346932</v>
      </c>
      <c r="E49" s="8">
        <f>AVERAGEIF(HR_Data[EducationField], $B49, HR_Data[MonthlyIncome])</f>
        <v>5758.30303030303</v>
      </c>
      <c r="F49" s="8">
        <f>COUNTIFS(HR_Data[EducationField], $B49, HR_Data[Attrition], "Yes")/$C49*100</f>
        <v>24.242424242424242</v>
      </c>
    </row>
    <row r="50" spans="2:6" x14ac:dyDescent="0.25">
      <c r="B50" s="11" t="s">
        <v>59</v>
      </c>
      <c r="C50" s="11">
        <f>COUNTIF(HR_Data[EducationField], $B50)</f>
        <v>159</v>
      </c>
      <c r="D50" s="8">
        <f>$C50/COUNTA(HR_Data[EducationField])*100</f>
        <v>10.816326530612246</v>
      </c>
      <c r="E50" s="8">
        <f>AVERAGEIF(HR_Data[EducationField], $B50, HR_Data[MonthlyIncome])</f>
        <v>7348.5849056603774</v>
      </c>
      <c r="F50" s="8">
        <f>COUNTIFS(HR_Data[EducationField], $B50, HR_Data[Attrition], "Yes")/$C50*100</f>
        <v>22.012578616352201</v>
      </c>
    </row>
    <row r="51" spans="2:6" x14ac:dyDescent="0.25">
      <c r="B51" s="11" t="s">
        <v>51</v>
      </c>
      <c r="C51" s="11">
        <f>COUNTIF(HR_Data[EducationField], $B51)</f>
        <v>464</v>
      </c>
      <c r="D51" s="8">
        <f>$C51/COUNTA(HR_Data[EducationField])*100</f>
        <v>31.564625850340132</v>
      </c>
      <c r="E51" s="8">
        <f>AVERAGEIF(HR_Data[EducationField], $B51, HR_Data[MonthlyIncome])</f>
        <v>6510.0366379310344</v>
      </c>
      <c r="F51" s="8">
        <f>COUNTIFS(HR_Data[EducationField], $B51, HR_Data[Attrition], "Yes")/$C51*100</f>
        <v>13.577586206896552</v>
      </c>
    </row>
    <row r="52" spans="2:6" x14ac:dyDescent="0.25">
      <c r="B52" s="11" t="s">
        <v>49</v>
      </c>
      <c r="C52" s="11">
        <f>COUNTIF(HR_Data[EducationField], $B52)</f>
        <v>82</v>
      </c>
      <c r="D52" s="8">
        <f>$C52/COUNTA(HR_Data[EducationField])*100</f>
        <v>5.5782312925170068</v>
      </c>
      <c r="E52" s="8">
        <f>AVERAGEIF(HR_Data[EducationField], $B52, HR_Data[MonthlyIncome])</f>
        <v>6071.5487804878048</v>
      </c>
      <c r="F52" s="8">
        <f>COUNTIFS(HR_Data[EducationField], $B52, HR_Data[Attrition], "Yes")/$C52*100</f>
        <v>13.414634146341465</v>
      </c>
    </row>
    <row r="55" spans="2:6" ht="18.75" x14ac:dyDescent="0.3">
      <c r="B55" s="39" t="s">
        <v>183</v>
      </c>
      <c r="C55" s="39"/>
      <c r="D55" s="39"/>
      <c r="E55" s="39"/>
    </row>
    <row r="56" spans="2:6" x14ac:dyDescent="0.25">
      <c r="B56" t="s">
        <v>184</v>
      </c>
      <c r="C56" t="s">
        <v>75</v>
      </c>
      <c r="D56" t="s">
        <v>176</v>
      </c>
      <c r="E56" t="s">
        <v>185</v>
      </c>
    </row>
    <row r="57" spans="2:6" x14ac:dyDescent="0.25">
      <c r="B57" t="s">
        <v>186</v>
      </c>
      <c r="C57" cm="1">
        <f t="array" ref="C57">SUMPRODUCT((HR_Data[DistanceFromHome]&gt;=0)*(HR_Data[DistanceFromHome]&lt;=5))</f>
        <v>632</v>
      </c>
      <c r="D57" s="18">
        <f>$C57/COUNTA(HR_Data[DistanceFromHome])*100</f>
        <v>42.993197278911566</v>
      </c>
      <c r="E57" s="15" cm="1">
        <f t="array" ref="E57">SUMPRODUCT((HR_Data[DistanceFromHome]&gt;=0)*(HR_Data[DistanceFromHome]&lt;=5)*(HR_Data[Attrition]="Yes"))/$C57*100</f>
        <v>13.765822784810128</v>
      </c>
    </row>
    <row r="58" spans="2:6" x14ac:dyDescent="0.25">
      <c r="B58" t="s">
        <v>187</v>
      </c>
      <c r="C58" cm="1">
        <f t="array" ref="C58">SUMPRODUCT((HR_Data[DistanceFromHome]&gt;=6)*(HR_Data[DistanceFromHome]&lt;=10))</f>
        <v>394</v>
      </c>
      <c r="D58" s="18">
        <f>$C58/COUNTA(HR_Data[DistanceFromHome])*100</f>
        <v>26.802721088435373</v>
      </c>
      <c r="E58" s="15" cm="1">
        <f t="array" ref="E58">SUMPRODUCT((HR_Data[DistanceFromHome]&gt;=6)*(HR_Data[DistanceFromHome]&lt;=10)*(HR_Data[Attrition]="Yes"))/C58*100</f>
        <v>14.467005076142131</v>
      </c>
    </row>
    <row r="59" spans="2:6" x14ac:dyDescent="0.25">
      <c r="B59" t="s">
        <v>98</v>
      </c>
      <c r="C59" cm="1">
        <f t="array" ref="C59">SUMPRODUCT((HR_Data[DistanceFromHome]&gt;=11)*(HR_Data[DistanceFromHome]&lt;=20))</f>
        <v>240</v>
      </c>
      <c r="D59" s="18">
        <f>$C59/COUNTA(HR_Data[DistanceFromHome])*100</f>
        <v>16.326530612244898</v>
      </c>
      <c r="E59" s="15" cm="1">
        <f t="array" ref="E59">SUMPRODUCT((HR_Data[DistanceFromHome]&gt;=11)*(HR_Data[DistanceFromHome]&lt;=20)*(HR_Data[Attrition]="Yes"))/C59*100</f>
        <v>20</v>
      </c>
    </row>
    <row r="60" spans="2:6" x14ac:dyDescent="0.25">
      <c r="B60" t="s">
        <v>188</v>
      </c>
      <c r="C60" cm="1">
        <f t="array" ref="C60">SUMPRODUCT((HR_Data[DistanceFromHome]&gt;=21)*1)</f>
        <v>204</v>
      </c>
      <c r="D60" s="18">
        <f>$C60/COUNTA(HR_Data[DistanceFromHome])*100</f>
        <v>13.877551020408163</v>
      </c>
      <c r="E60" s="15" cm="1">
        <f t="array" ref="E60">SUMPRODUCT((HR_Data[DistanceFromHome]&gt;=21)*(HR_Data[Attrition]="Yes"))/C60*100</f>
        <v>22.058823529411764</v>
      </c>
    </row>
  </sheetData>
  <mergeCells count="8">
    <mergeCell ref="B45:F45"/>
    <mergeCell ref="B55:E55"/>
    <mergeCell ref="B5:C5"/>
    <mergeCell ref="A1:H2"/>
    <mergeCell ref="B14:F14"/>
    <mergeCell ref="B23:F23"/>
    <mergeCell ref="B29:F29"/>
    <mergeCell ref="B36:F36"/>
  </mergeCells>
  <pageMargins left="0.7" right="0.7" top="0.75" bottom="0.75" header="0.3" footer="0.3"/>
  <ignoredErrors>
    <ignoredError sqref="D57 E58 E59:E60" calculatedColumn="1"/>
  </ignoredErrors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972B-E4A8-4D1F-B11D-FC4DFDA75040}">
  <dimension ref="A1:J45"/>
  <sheetViews>
    <sheetView topLeftCell="G6" workbookViewId="0">
      <selection activeCell="G52" sqref="G52"/>
    </sheetView>
  </sheetViews>
  <sheetFormatPr defaultRowHeight="15" x14ac:dyDescent="0.25"/>
  <cols>
    <col min="1" max="1" width="7" customWidth="1"/>
    <col min="2" max="2" width="25.5703125" customWidth="1"/>
    <col min="3" max="3" width="22.140625" customWidth="1"/>
    <col min="4" max="4" width="15.140625" customWidth="1"/>
    <col min="5" max="5" width="23.85546875" customWidth="1"/>
    <col min="6" max="6" width="21.85546875" customWidth="1"/>
    <col min="7" max="7" width="20.7109375" customWidth="1"/>
    <col min="8" max="8" width="25" bestFit="1" customWidth="1"/>
    <col min="9" max="9" width="21.140625" customWidth="1"/>
    <col min="10" max="10" width="28.85546875" bestFit="1" customWidth="1"/>
  </cols>
  <sheetData>
    <row r="1" spans="1:10" ht="15" customHeight="1" x14ac:dyDescent="0.25">
      <c r="A1" s="43" t="s">
        <v>189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15" customHeigh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</row>
    <row r="5" spans="1:10" ht="18.75" x14ac:dyDescent="0.3">
      <c r="B5" s="42" t="s">
        <v>190</v>
      </c>
      <c r="C5" s="42"/>
      <c r="D5" s="42"/>
      <c r="E5" s="42"/>
      <c r="F5" s="42"/>
      <c r="G5" s="42"/>
      <c r="H5" s="42"/>
    </row>
    <row r="6" spans="1:10" x14ac:dyDescent="0.25">
      <c r="B6" s="11" t="s">
        <v>4</v>
      </c>
      <c r="C6" s="11" t="s">
        <v>75</v>
      </c>
      <c r="D6" s="11" t="s">
        <v>176</v>
      </c>
      <c r="E6" s="11" t="s">
        <v>179</v>
      </c>
      <c r="F6" s="11" t="s">
        <v>118</v>
      </c>
      <c r="G6" s="11" t="s">
        <v>156</v>
      </c>
      <c r="H6" s="11" t="s">
        <v>180</v>
      </c>
    </row>
    <row r="7" spans="1:10" x14ac:dyDescent="0.25">
      <c r="B7" s="11" t="s">
        <v>61</v>
      </c>
      <c r="C7" s="11">
        <f>COUNTIF(HR_Data[Department], $B7)</f>
        <v>63</v>
      </c>
      <c r="D7" s="8">
        <f>$C7/COUNTA(HR_Data[Department])*100</f>
        <v>4.2857142857142856</v>
      </c>
      <c r="E7" s="8">
        <f>AVERAGEIF(HR_Data[Department], $B7, HR_Data[Age])</f>
        <v>37.80952380952381</v>
      </c>
      <c r="F7" s="8">
        <f>AVERAGEIF(HR_Data[Department], $B7, HR_Data[MonthlyIncome])</f>
        <v>6654.5079365079364</v>
      </c>
      <c r="G7" s="17">
        <f>AVERAGEIF(HR_Data[Department], $B7, HR_Data[PerformanceRating])</f>
        <v>3.1428571428571428</v>
      </c>
      <c r="H7" s="8">
        <f>COUNTIFS(HR_Data[Department], $B7, HR_Data[Attrition], "Yes")/$C7*100</f>
        <v>19.047619047619047</v>
      </c>
    </row>
    <row r="8" spans="1:10" x14ac:dyDescent="0.25">
      <c r="B8" s="11" t="s">
        <v>37</v>
      </c>
      <c r="C8" s="11">
        <f>COUNTIF(HR_Data[Department], $B8)</f>
        <v>446</v>
      </c>
      <c r="D8" s="8">
        <f>$C8/COUNTA(HR_Data[Department])*100</f>
        <v>30.34013605442177</v>
      </c>
      <c r="E8" s="8">
        <f>AVERAGEIF(HR_Data[Department], $B8, HR_Data[Age])</f>
        <v>36.542600896860989</v>
      </c>
      <c r="F8" s="8">
        <f>AVERAGEIF(HR_Data[Department], $B8, HR_Data[MonthlyIncome])</f>
        <v>6959.17264573991</v>
      </c>
      <c r="G8" s="17">
        <f>AVERAGEIF(HR_Data[Department], $B8, HR_Data[PerformanceRating])</f>
        <v>3.1367713004484306</v>
      </c>
      <c r="H8" s="8">
        <f>COUNTIFS(HR_Data[Department], $B8, HR_Data[Attrition], "Yes")/$C8*100</f>
        <v>20.627802690582961</v>
      </c>
    </row>
    <row r="9" spans="1:10" x14ac:dyDescent="0.25">
      <c r="B9" s="11" t="s">
        <v>45</v>
      </c>
      <c r="C9" s="11">
        <f>COUNTIF(HR_Data[Department], $B9)</f>
        <v>961</v>
      </c>
      <c r="D9" s="8">
        <f>$C9/COUNTA(HR_Data[Department])*100</f>
        <v>65.374149659863946</v>
      </c>
      <c r="E9" s="8">
        <f>AVERAGEIF(HR_Data[Department], $B9, HR_Data[Age])</f>
        <v>37.042663891779398</v>
      </c>
      <c r="F9" s="8">
        <f>AVERAGEIF(HR_Data[Department], $B9, HR_Data[MonthlyIncome])</f>
        <v>6281.2528616024974</v>
      </c>
      <c r="G9" s="17">
        <f>AVERAGEIF(HR_Data[Department], $B9, HR_Data[PerformanceRating])</f>
        <v>3.1623309053069719</v>
      </c>
      <c r="H9" s="8">
        <f>COUNTIFS(HR_Data[Department], $B9, HR_Data[Attrition], "Yes")/$C9*100</f>
        <v>13.839750260145681</v>
      </c>
    </row>
    <row r="12" spans="1:10" ht="18.75" x14ac:dyDescent="0.3">
      <c r="B12" s="41" t="s">
        <v>194</v>
      </c>
      <c r="C12" s="41"/>
    </row>
    <row r="13" spans="1:10" ht="18.75" x14ac:dyDescent="0.3">
      <c r="B13" s="11" t="s">
        <v>149</v>
      </c>
      <c r="C13" s="11" t="s">
        <v>110</v>
      </c>
      <c r="E13" s="41" t="s">
        <v>197</v>
      </c>
      <c r="F13" s="41"/>
      <c r="G13" s="41"/>
    </row>
    <row r="14" spans="1:10" x14ac:dyDescent="0.25">
      <c r="B14" s="11" t="s">
        <v>63</v>
      </c>
      <c r="C14" s="11">
        <f>COUNTIF(HR_Data[Department], "Human Resources")</f>
        <v>63</v>
      </c>
      <c r="E14" s="11" t="s">
        <v>95</v>
      </c>
      <c r="F14" s="11" t="s">
        <v>75</v>
      </c>
      <c r="G14" s="11" t="s">
        <v>118</v>
      </c>
    </row>
    <row r="15" spans="1:10" x14ac:dyDescent="0.25">
      <c r="B15" s="11" t="s">
        <v>70</v>
      </c>
      <c r="C15" s="11">
        <f>COUNTIFS(HR_Data[Department], "Human Resources", HR_Data[Gender], "Male")</f>
        <v>43</v>
      </c>
      <c r="E15" s="11" t="s">
        <v>61</v>
      </c>
      <c r="F15" s="11">
        <f>COUNTIFS(HR_Data[Department], "Human Resources", HR_Data[JobRole], $E15)</f>
        <v>52</v>
      </c>
      <c r="G15" s="8">
        <f>AVERAGEIFS(HR_Data[MonthlyIncome], HR_Data[Department], "*Human Resources*", HR_Data[JobRole], "*Human Resources*")</f>
        <v>4235.75</v>
      </c>
    </row>
    <row r="16" spans="1:10" x14ac:dyDescent="0.25">
      <c r="B16" s="11" t="s">
        <v>71</v>
      </c>
      <c r="C16" s="11">
        <f>COUNTIFS(HR_Data[Department], "Human Resources", HR_Data[Gender], "Female")</f>
        <v>20</v>
      </c>
      <c r="E16" s="11" t="s">
        <v>56</v>
      </c>
      <c r="F16" s="11">
        <f>COUNTIFS(HR_Data[Department], "Human Resources", HR_Data[JobRole], $E16)</f>
        <v>11</v>
      </c>
      <c r="G16" s="8">
        <f>AVERAGEIFS(HR_Data[MonthlyIncome], HR_Data[Department], "*Human Resources*", HR_Data[JobRole], "*Manager*")</f>
        <v>18088.636363636364</v>
      </c>
    </row>
    <row r="17" spans="2:7" x14ac:dyDescent="0.25">
      <c r="B17" s="11" t="s">
        <v>191</v>
      </c>
      <c r="C17" s="8">
        <f>AVERAGEIF(HR_Data[Department], "Human Resources", HR_Data[YearsAtCompany])</f>
        <v>7.2380952380952381</v>
      </c>
    </row>
    <row r="18" spans="2:7" x14ac:dyDescent="0.25">
      <c r="B18" s="11" t="s">
        <v>73</v>
      </c>
      <c r="C18" s="8">
        <f>AVERAGEIF(HR_Data[Department], "Human Resources", HR_Data[JobSatisfaction])</f>
        <v>2.6031746031746033</v>
      </c>
    </row>
    <row r="19" spans="2:7" x14ac:dyDescent="0.25">
      <c r="B19" s="11" t="s">
        <v>154</v>
      </c>
      <c r="C19" s="8">
        <f>AVERAGEIF(HR_Data[Department], "Human Resources", HR_Data[TrainingTimesLastYear])</f>
        <v>2.5555555555555554</v>
      </c>
    </row>
    <row r="20" spans="2:7" x14ac:dyDescent="0.25">
      <c r="B20" s="11" t="s">
        <v>192</v>
      </c>
      <c r="C20" s="11">
        <f>COUNTIFS(HR_Data[Department], "Human Resources", HR_Data[OverTime], "Yes")</f>
        <v>17</v>
      </c>
    </row>
    <row r="21" spans="2:7" x14ac:dyDescent="0.25">
      <c r="B21" s="11" t="s">
        <v>193</v>
      </c>
      <c r="C21" s="8">
        <f>C20/C14*100</f>
        <v>26.984126984126984</v>
      </c>
    </row>
    <row r="24" spans="2:7" ht="18.75" x14ac:dyDescent="0.3">
      <c r="B24" s="41" t="s">
        <v>195</v>
      </c>
      <c r="C24" s="41"/>
    </row>
    <row r="25" spans="2:7" ht="18.75" x14ac:dyDescent="0.3">
      <c r="B25" s="11" t="s">
        <v>149</v>
      </c>
      <c r="C25" s="11" t="s">
        <v>110</v>
      </c>
      <c r="E25" s="41" t="s">
        <v>198</v>
      </c>
      <c r="F25" s="41"/>
      <c r="G25" s="41"/>
    </row>
    <row r="26" spans="2:7" x14ac:dyDescent="0.25">
      <c r="B26" s="11" t="s">
        <v>63</v>
      </c>
      <c r="C26" s="11">
        <f>COUNTIF(HR_Data[Department], "Research &amp; Development")</f>
        <v>961</v>
      </c>
      <c r="E26" s="11" t="s">
        <v>95</v>
      </c>
      <c r="F26" s="11" t="s">
        <v>75</v>
      </c>
      <c r="G26" s="11" t="s">
        <v>118</v>
      </c>
    </row>
    <row r="27" spans="2:7" x14ac:dyDescent="0.25">
      <c r="B27" s="11" t="s">
        <v>70</v>
      </c>
      <c r="C27" s="11">
        <f>COUNTIFS(HR_Data[Department], "Research &amp; Development", HR_Data[Gender], "Male")</f>
        <v>582</v>
      </c>
      <c r="E27" s="11" t="s">
        <v>54</v>
      </c>
      <c r="F27" s="11">
        <f>COUNTIFS(HR_Data[Department], "Research &amp; Development", HR_Data[JobRole], $E27)</f>
        <v>131</v>
      </c>
      <c r="G27" s="8">
        <f>AVERAGEIFS(HR_Data[MonthlyIncome], HR_Data[Department], "*Research &amp; Development*", HR_Data[JobRole], $E27)</f>
        <v>7528.7633587786258</v>
      </c>
    </row>
    <row r="28" spans="2:7" x14ac:dyDescent="0.25">
      <c r="B28" s="11" t="s">
        <v>71</v>
      </c>
      <c r="C28" s="11">
        <f>COUNTIFS(HR_Data[Department], "Research &amp; Development", HR_Data[Gender], "Female")</f>
        <v>379</v>
      </c>
      <c r="E28" s="11" t="s">
        <v>50</v>
      </c>
      <c r="F28" s="11">
        <f>COUNTIFS(HR_Data[Department], "Research &amp; Development", HR_Data[JobRole], $E28)</f>
        <v>259</v>
      </c>
      <c r="G28" s="8">
        <f>AVERAGEIFS(HR_Data[MonthlyIncome], HR_Data[Department], "*Research &amp; Development*", HR_Data[JobRole], $E28)</f>
        <v>3237.169884169884</v>
      </c>
    </row>
    <row r="29" spans="2:7" x14ac:dyDescent="0.25">
      <c r="B29" s="11" t="s">
        <v>191</v>
      </c>
      <c r="C29" s="8">
        <f>AVERAGEIF(HR_Data[Department], "Research &amp; Development", HR_Data[YearsAtCompany])</f>
        <v>6.8647242455775235</v>
      </c>
      <c r="E29" s="11" t="s">
        <v>56</v>
      </c>
      <c r="F29" s="11">
        <f>COUNTIFS(HR_Data[Department], "Research &amp; Development", HR_Data[JobRole], $E29)</f>
        <v>54</v>
      </c>
      <c r="G29" s="8">
        <f>AVERAGEIFS(HR_Data[MonthlyIncome], HR_Data[Department], "*Research &amp; Development*", HR_Data[JobRole], $E29)</f>
        <v>17130.333333333332</v>
      </c>
    </row>
    <row r="30" spans="2:7" x14ac:dyDescent="0.25">
      <c r="B30" s="11" t="s">
        <v>73</v>
      </c>
      <c r="C30" s="8">
        <f>AVERAGEIF(HR_Data[Department], "Research &amp; Development", HR_Data[JobSatisfaction])</f>
        <v>2.7263267429760667</v>
      </c>
      <c r="E30" s="11" t="s">
        <v>53</v>
      </c>
      <c r="F30" s="11">
        <f>COUNTIFS(HR_Data[Department], "Research &amp; Development", HR_Data[JobRole], $E30)</f>
        <v>145</v>
      </c>
      <c r="G30" s="8">
        <f>AVERAGEIFS(HR_Data[MonthlyIncome], HR_Data[Department], "*Research &amp; Development*", HR_Data[JobRole], $E30)</f>
        <v>7295.1379310344828</v>
      </c>
    </row>
    <row r="31" spans="2:7" x14ac:dyDescent="0.25">
      <c r="B31" s="11" t="s">
        <v>154</v>
      </c>
      <c r="C31" s="8">
        <f>AVERAGEIF(HR_Data[Department], "Research &amp; Development", HR_Data[TrainingTimesLastYear])</f>
        <v>2.7929240374609781</v>
      </c>
      <c r="E31" s="11" t="s">
        <v>58</v>
      </c>
      <c r="F31" s="11">
        <f>COUNTIFS(HR_Data[Department], "Research &amp; Development", HR_Data[JobRole], $E31)</f>
        <v>80</v>
      </c>
      <c r="G31" s="8">
        <f>AVERAGEIFS(HR_Data[MonthlyIncome], HR_Data[Department], "*Research &amp; Development*", HR_Data[JobRole], $E31)</f>
        <v>16033.55</v>
      </c>
    </row>
    <row r="32" spans="2:7" x14ac:dyDescent="0.25">
      <c r="B32" s="11" t="s">
        <v>192</v>
      </c>
      <c r="C32" s="11">
        <f>COUNTIFS(HR_Data[Department], "Research &amp; Development", HR_Data[Attrition], "Yes")</f>
        <v>133</v>
      </c>
      <c r="E32" s="11" t="s">
        <v>47</v>
      </c>
      <c r="F32" s="11">
        <f>COUNTIFS(HR_Data[Department], "Research &amp; Development", HR_Data[JobRole], $E32)</f>
        <v>292</v>
      </c>
      <c r="G32" s="8">
        <f>AVERAGEIFS(HR_Data[MonthlyIncome], HR_Data[Department], "*Research &amp; Development*", HR_Data[JobRole], $E32)</f>
        <v>3239.972602739726</v>
      </c>
    </row>
    <row r="33" spans="2:7" x14ac:dyDescent="0.25">
      <c r="B33" s="11" t="s">
        <v>193</v>
      </c>
      <c r="C33" s="8">
        <f>C32/C26*100</f>
        <v>13.839750260145681</v>
      </c>
    </row>
    <row r="36" spans="2:7" ht="18.75" x14ac:dyDescent="0.3">
      <c r="B36" s="41" t="s">
        <v>196</v>
      </c>
      <c r="C36" s="41"/>
    </row>
    <row r="37" spans="2:7" x14ac:dyDescent="0.25">
      <c r="B37" s="11" t="s">
        <v>109</v>
      </c>
      <c r="C37" s="11" t="s">
        <v>110</v>
      </c>
    </row>
    <row r="38" spans="2:7" ht="18.75" x14ac:dyDescent="0.3">
      <c r="B38" s="11" t="s">
        <v>63</v>
      </c>
      <c r="C38" s="11">
        <f>COUNTIF(HR_Data[Department], "Sales")</f>
        <v>446</v>
      </c>
      <c r="E38" s="41" t="s">
        <v>199</v>
      </c>
      <c r="F38" s="41"/>
      <c r="G38" s="41"/>
    </row>
    <row r="39" spans="2:7" x14ac:dyDescent="0.25">
      <c r="B39" s="11" t="s">
        <v>70</v>
      </c>
      <c r="C39" s="11">
        <f>COUNTIFS(HR_Data[Department], "Sales", HR_Data[Gender], "Male")</f>
        <v>257</v>
      </c>
      <c r="E39" s="11" t="s">
        <v>200</v>
      </c>
      <c r="F39" s="11" t="s">
        <v>75</v>
      </c>
      <c r="G39" s="11" t="s">
        <v>118</v>
      </c>
    </row>
    <row r="40" spans="2:7" x14ac:dyDescent="0.25">
      <c r="B40" s="11" t="s">
        <v>71</v>
      </c>
      <c r="C40" s="11">
        <f>COUNTIFS(HR_Data[Department], "Sales", HR_Data[Gender], "Female")</f>
        <v>189</v>
      </c>
      <c r="E40" s="11" t="s">
        <v>56</v>
      </c>
      <c r="F40" s="11">
        <f>COUNTIFS(HR_Data[Department], "Sales", HR_Data[JobRole], $E40)</f>
        <v>37</v>
      </c>
      <c r="G40" s="8">
        <f>AVERAGEIFS(HR_Data[MonthlyIncome], HR_Data[Department], "*Sales*", HR_Data[JobRole], $E40)</f>
        <v>16986.972972972973</v>
      </c>
    </row>
    <row r="41" spans="2:7" x14ac:dyDescent="0.25">
      <c r="B41" s="11" t="s">
        <v>191</v>
      </c>
      <c r="C41" s="8">
        <f>AVERAGEIF(HR_Data[Department], "Sales", HR_Data[YearsAtCompany])</f>
        <v>7.2847533632286998</v>
      </c>
      <c r="E41" s="11" t="s">
        <v>40</v>
      </c>
      <c r="F41" s="11">
        <f>COUNTIFS(HR_Data[Department], "Sales", HR_Data[JobRole], $E41)</f>
        <v>326</v>
      </c>
      <c r="G41" s="8">
        <f>AVERAGEIFS(HR_Data[MonthlyIncome], HR_Data[Department], "*Sales*", HR_Data[JobRole], $E41)</f>
        <v>6924.2791411042945</v>
      </c>
    </row>
    <row r="42" spans="2:7" x14ac:dyDescent="0.25">
      <c r="B42" s="11" t="s">
        <v>73</v>
      </c>
      <c r="C42" s="8">
        <f>AVERAGEIF(HR_Data[Department], "Sales", HR_Data[JobSatisfaction])</f>
        <v>2.7511210762331837</v>
      </c>
      <c r="E42" s="11" t="s">
        <v>57</v>
      </c>
      <c r="F42" s="11">
        <f>COUNTIFS(HR_Data[Department], "Sales", HR_Data[JobRole], $E42)</f>
        <v>83</v>
      </c>
      <c r="G42" s="8">
        <f>AVERAGEIFS(HR_Data[MonthlyIncome], HR_Data[Department], "*Sales*", HR_Data[JobRole], $E42)</f>
        <v>2626</v>
      </c>
    </row>
    <row r="43" spans="2:7" x14ac:dyDescent="0.25">
      <c r="B43" s="11" t="s">
        <v>154</v>
      </c>
      <c r="C43" s="8">
        <f>AVERAGEIF(HR_Data[Department], "Sales", HR_Data[TrainingTimesLastYear])</f>
        <v>2.8475336322869955</v>
      </c>
    </row>
    <row r="44" spans="2:7" x14ac:dyDescent="0.25">
      <c r="B44" s="11" t="s">
        <v>192</v>
      </c>
      <c r="C44" s="11">
        <f>COUNTIFS(HR_Data[Department], "Sales", HR_Data[OverTime], "Yes")</f>
        <v>128</v>
      </c>
    </row>
    <row r="45" spans="2:7" x14ac:dyDescent="0.25">
      <c r="B45" s="11" t="s">
        <v>193</v>
      </c>
      <c r="C45" s="8">
        <f>C44/C38*100</f>
        <v>28.699551569506728</v>
      </c>
      <c r="D45" s="11"/>
    </row>
  </sheetData>
  <mergeCells count="8">
    <mergeCell ref="E13:G13"/>
    <mergeCell ref="E25:G25"/>
    <mergeCell ref="E38:G38"/>
    <mergeCell ref="B5:H5"/>
    <mergeCell ref="A1:J2"/>
    <mergeCell ref="B12:C12"/>
    <mergeCell ref="B36:C36"/>
    <mergeCell ref="B24:C24"/>
  </mergeCells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8A8D-BA73-4324-A23E-E49151493FFF}">
  <dimension ref="A1:J82"/>
  <sheetViews>
    <sheetView topLeftCell="C51" workbookViewId="0">
      <selection activeCell="F11" sqref="F11"/>
    </sheetView>
  </sheetViews>
  <sheetFormatPr defaultRowHeight="15" x14ac:dyDescent="0.25"/>
  <cols>
    <col min="2" max="2" width="30.140625" customWidth="1"/>
    <col min="3" max="3" width="20.85546875" customWidth="1"/>
    <col min="4" max="4" width="13.5703125" customWidth="1"/>
    <col min="5" max="5" width="18.42578125" customWidth="1"/>
    <col min="6" max="6" width="15.140625" customWidth="1"/>
  </cols>
  <sheetData>
    <row r="1" spans="1:10" x14ac:dyDescent="0.25">
      <c r="A1" s="45" t="s">
        <v>201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</row>
    <row r="5" spans="1:10" ht="18.75" x14ac:dyDescent="0.3">
      <c r="B5" s="44" t="s">
        <v>208</v>
      </c>
      <c r="C5" s="44"/>
    </row>
    <row r="6" spans="1:10" x14ac:dyDescent="0.25">
      <c r="B6" s="11" t="s">
        <v>109</v>
      </c>
      <c r="C6" s="11" t="s">
        <v>110</v>
      </c>
    </row>
    <row r="7" spans="1:10" x14ac:dyDescent="0.25">
      <c r="B7" s="11" t="s">
        <v>202</v>
      </c>
      <c r="C7" s="8">
        <f>AVERAGE(HR_Data[YearsAtCompany])</f>
        <v>7.0081632653061225</v>
      </c>
    </row>
    <row r="8" spans="1:10" x14ac:dyDescent="0.25">
      <c r="B8" s="11" t="s">
        <v>203</v>
      </c>
      <c r="C8" s="8">
        <f>MEDIAN(HR_Data[YearsAtCompany])</f>
        <v>5</v>
      </c>
    </row>
    <row r="9" spans="1:10" x14ac:dyDescent="0.25">
      <c r="B9" s="11" t="s">
        <v>204</v>
      </c>
      <c r="C9" s="8">
        <f>AVERAGE(HR_Data[TotalWorkingYears])</f>
        <v>11.279591836734694</v>
      </c>
    </row>
    <row r="10" spans="1:10" x14ac:dyDescent="0.25">
      <c r="B10" s="11" t="s">
        <v>205</v>
      </c>
      <c r="C10" s="8">
        <f>AVERAGE(HR_Data[YearsInCurrentRole])</f>
        <v>4.2292517006802717</v>
      </c>
    </row>
    <row r="11" spans="1:10" x14ac:dyDescent="0.25">
      <c r="B11" s="11" t="s">
        <v>206</v>
      </c>
      <c r="C11" s="8">
        <f>AVERAGE(HR_Data[YearsSinceLastPromotion])</f>
        <v>2.1877551020408164</v>
      </c>
    </row>
    <row r="12" spans="1:10" x14ac:dyDescent="0.25">
      <c r="B12" s="11" t="s">
        <v>207</v>
      </c>
      <c r="C12" s="8">
        <f>AVERAGE(HR_Data[YearsWithCurrManager])</f>
        <v>4.1231292517006803</v>
      </c>
    </row>
    <row r="15" spans="1:10" ht="18.75" x14ac:dyDescent="0.3">
      <c r="B15" s="44" t="s">
        <v>210</v>
      </c>
      <c r="C15" s="44"/>
      <c r="D15" s="44"/>
      <c r="E15" s="44"/>
      <c r="F15" s="44"/>
    </row>
    <row r="16" spans="1:10" x14ac:dyDescent="0.25">
      <c r="B16" s="11" t="s">
        <v>209</v>
      </c>
      <c r="C16" s="11" t="s">
        <v>75</v>
      </c>
      <c r="D16" s="11" t="s">
        <v>176</v>
      </c>
      <c r="E16" s="11" t="s">
        <v>118</v>
      </c>
      <c r="F16" s="11" t="s">
        <v>180</v>
      </c>
    </row>
    <row r="17" spans="2:6" x14ac:dyDescent="0.25">
      <c r="B17" s="11" t="s">
        <v>140</v>
      </c>
      <c r="C17" s="11" cm="1">
        <f t="array" ref="C17">SUMPRODUCT((HR_Data[YearsAtCompany]&gt;=0)*(HR_Data[YearsAtCompany]&lt;=2))</f>
        <v>342</v>
      </c>
      <c r="D17" s="8">
        <f>$C17/COUNTA(HR_Data[YearsAtCompany])*100</f>
        <v>23.26530612244898</v>
      </c>
      <c r="E17" s="8">
        <f>AVERAGEIFS(HR_Data[MonthlyIncome],HR_Data[YearsAtCompany],"&gt;=0",HR_Data[YearsAtCompany],"&lt;=2")</f>
        <v>4709.3362573099412</v>
      </c>
      <c r="F17" s="8" cm="1">
        <f t="array" ref="F17">SUMPRODUCT((HR_Data[YearsAtCompany]&gt;=0)*(HR_Data[YearsAtCompany]&lt;=2)*(HR_Data[Attrition]="Yes"))/C17*100</f>
        <v>29.82456140350877</v>
      </c>
    </row>
    <row r="18" spans="2:6" x14ac:dyDescent="0.25">
      <c r="B18" s="11" t="s">
        <v>141</v>
      </c>
      <c r="C18" s="11" cm="1">
        <f t="array" ref="C18">SUMPRODUCT((HR_Data[YearsAtCompany]&gt;=3)*(HR_Data[YearsAtCompany]&lt;=5))</f>
        <v>434</v>
      </c>
      <c r="D18" s="8">
        <f>$C18/COUNTA(HR_Data[YearsAtCompany])*100</f>
        <v>29.523809523809526</v>
      </c>
      <c r="E18" s="8">
        <f>AVERAGEIFS(HR_Data[MonthlyIncome],HR_Data[YearsAtCompany],"&gt;=3",HR_Data[YearsAtCompany],"&lt;=5")</f>
        <v>5364.8917050691243</v>
      </c>
      <c r="F18" s="8" cm="1">
        <f t="array" ref="F18">SUMPRODUCT((HR_Data[YearsAtCompany]&gt;=3)*(HR_Data[YearsAtCompany]&lt;=5)*(HR_Data[Attrition]="Yes"))/C18*100</f>
        <v>13.82488479262673</v>
      </c>
    </row>
    <row r="19" spans="2:6" x14ac:dyDescent="0.25">
      <c r="B19" s="11" t="s">
        <v>144</v>
      </c>
      <c r="C19" s="11" cm="1">
        <f t="array" ref="C19">SUMPRODUCT((HR_Data[YearsAtCompany]&gt;=6)*(HR_Data[YearsAtCompany]&lt;=10))</f>
        <v>448</v>
      </c>
      <c r="D19" s="8">
        <f>$C19/COUNTA(HR_Data[YearsAtCompany])*100</f>
        <v>30.476190476190478</v>
      </c>
      <c r="E19" s="8">
        <f>AVERAGEIFS(HR_Data[MonthlyIncome],HR_Data[YearsAtCompany],"&gt;=6",HR_Data[YearsAtCompany],"&lt;=10")</f>
        <v>6567.3705357142853</v>
      </c>
      <c r="F19" s="8" cm="1">
        <f t="array" ref="F19">SUMPRODUCT((HR_Data[YearsAtCompany]&gt;=6)*(HR_Data[YearsAtCompany]&lt;=10)*(HR_Data[Attrition]="Yes"))/C19*100</f>
        <v>12.276785714285714</v>
      </c>
    </row>
    <row r="20" spans="2:6" x14ac:dyDescent="0.25">
      <c r="B20" s="11" t="s">
        <v>211</v>
      </c>
      <c r="C20" s="11" cm="1">
        <f t="array" ref="C20">SUMPRODUCT((HR_Data[YearsAtCompany]&gt;=11)*(HR_Data[YearsAtCompany]&lt;=15))</f>
        <v>108</v>
      </c>
      <c r="D20" s="8">
        <f>$C20/COUNTA(HR_Data[YearsAtCompany])*100</f>
        <v>7.3469387755102051</v>
      </c>
      <c r="E20" s="8">
        <f>AVERAGEIFS(HR_Data[MonthlyIncome],HR_Data[YearsAtCompany],"&gt;=11",HR_Data[YearsAtCompany],"&lt;=15")</f>
        <v>7728.8148148148148</v>
      </c>
      <c r="F20" s="8" cm="1">
        <f t="array" ref="F20">SUMPRODUCT((HR_Data[YearsAtCompany]&gt;=11)*(HR_Data[YearsAtCompany]&lt;=15)*(HR_Data[Attrition]="Yes"))/C20*100</f>
        <v>6.481481481481481</v>
      </c>
    </row>
    <row r="21" spans="2:6" x14ac:dyDescent="0.25">
      <c r="B21" s="11" t="s">
        <v>212</v>
      </c>
      <c r="C21" s="11" cm="1">
        <f t="array" ref="C21">SUMPRODUCT((HR_Data[YearsAtCompany]&gt;=16)*(HR_Data[YearsAtCompany]&lt;=20))</f>
        <v>72</v>
      </c>
      <c r="D21" s="8">
        <f>$C21/COUNTA(HR_Data[YearsAtCompany])*100</f>
        <v>4.8979591836734695</v>
      </c>
      <c r="E21" s="8">
        <f>AVERAGEIFS(HR_Data[MonthlyIncome],HR_Data[YearsAtCompany],"&gt;=16",HR_Data[YearsAtCompany],"&lt;=20")</f>
        <v>10929.625</v>
      </c>
      <c r="F21" s="8" cm="1">
        <f t="array" ref="F21">SUMPRODUCT((HR_Data[YearsAtCompany]&gt;=16)*(HR_Data[YearsAtCompany]&lt;=20)*(HR_Data[Attrition]="Yes"))/C21*100</f>
        <v>6.9444444444444446</v>
      </c>
    </row>
    <row r="22" spans="2:6" x14ac:dyDescent="0.25">
      <c r="B22" s="11" t="s">
        <v>143</v>
      </c>
      <c r="C22" s="11" cm="1">
        <f t="array" ref="C22">SUMPRODUCT((HR_Data[YearsAtCompany]&gt;=21)*1)</f>
        <v>66</v>
      </c>
      <c r="D22" s="8">
        <f>$C22/COUNTA(HR_Data[YearsAtCompany])*100</f>
        <v>4.4897959183673466</v>
      </c>
      <c r="E22" s="8">
        <f>AVERAGEIFS(HR_Data[MonthlyIncome],HR_Data[YearsAtCompany],"&gt;=21")</f>
        <v>16007.969696969696</v>
      </c>
      <c r="F22" s="8" cm="1">
        <f t="array" ref="F22">SUMPRODUCT((HR_Data[YearsAtCompany]&gt;=21)*(HR_Data[Attrition]="Yes"))/C22*100</f>
        <v>12.121212121212121</v>
      </c>
    </row>
    <row r="25" spans="2:6" ht="18.75" x14ac:dyDescent="0.3">
      <c r="B25" s="44" t="s">
        <v>213</v>
      </c>
      <c r="C25" s="44"/>
      <c r="D25" s="44"/>
      <c r="E25" s="44"/>
    </row>
    <row r="26" spans="2:6" x14ac:dyDescent="0.25">
      <c r="B26" s="11" t="s">
        <v>214</v>
      </c>
      <c r="C26" s="11" t="s">
        <v>75</v>
      </c>
      <c r="D26" s="11" t="s">
        <v>118</v>
      </c>
      <c r="E26" s="11" t="s">
        <v>156</v>
      </c>
    </row>
    <row r="27" spans="2:6" x14ac:dyDescent="0.25">
      <c r="B27" s="11" t="s">
        <v>215</v>
      </c>
      <c r="C27" s="11" cm="1">
        <f t="array" ref="C27">SUMPRODUCT((HR_Data[TotalWorkingYears]&gt;=0)*(HR_Data[TotalWorkingYears]&lt;=5))</f>
        <v>316</v>
      </c>
      <c r="D27" s="8">
        <f>AVERAGEIFS(HR_Data[MonthlyIncome], HR_Data[TotalWorkingYears], "&gt;=0", HR_Data[TotalWorkingYears], "&lt;=5")</f>
        <v>2937.6265822784812</v>
      </c>
      <c r="E27" s="8">
        <f>AVERAGEIFS(HR_Data[PerformanceRating], HR_Data[TotalWorkingYears], "&gt;=0", HR_Data[TotalWorkingYears], "&lt;=5")</f>
        <v>3.1455696202531644</v>
      </c>
    </row>
    <row r="28" spans="2:6" x14ac:dyDescent="0.25">
      <c r="B28" s="11" t="s">
        <v>144</v>
      </c>
      <c r="C28" s="11" cm="1">
        <f t="array" ref="C28">SUMPRODUCT((HR_Data[TotalWorkingYears]&gt;=6)*(HR_Data[TotalWorkingYears]&lt;=10))</f>
        <v>607</v>
      </c>
      <c r="D28" s="8">
        <f>AVERAGEIFS(HR_Data[MonthlyIncome], HR_Data[TotalWorkingYears], "&gt;=6", HR_Data[TotalWorkingYears], "&lt;=10")</f>
        <v>5189.7462932454691</v>
      </c>
      <c r="E28" s="8">
        <f>AVERAGEIFS(HR_Data[PerformanceRating], HR_Data[TotalWorkingYears], "&gt;=6", HR_Data[TotalWorkingYears], "&lt;=10")</f>
        <v>3.1466227347611202</v>
      </c>
    </row>
    <row r="29" spans="2:6" x14ac:dyDescent="0.25">
      <c r="B29" s="11" t="s">
        <v>142</v>
      </c>
      <c r="C29" s="11" cm="1">
        <f t="array" ref="C29">SUMPRODUCT((HR_Data[TotalWorkingYears]&gt;=11)*(HR_Data[TotalWorkingYears]&lt;=20))</f>
        <v>340</v>
      </c>
      <c r="D29" s="8">
        <f>AVERAGEIFS(HR_Data[MonthlyIncome], HR_Data[TotalWorkingYears], "&gt;=11", HR_Data[TotalWorkingYears], "&lt;=20")</f>
        <v>6635.5205882352939</v>
      </c>
      <c r="E29" s="8">
        <f>AVERAGEIFS(HR_Data[PerformanceRating], HR_Data[TotalWorkingYears], "&gt;=11", HR_Data[TotalWorkingYears], "&lt;=20")</f>
        <v>3.1823529411764704</v>
      </c>
    </row>
    <row r="30" spans="2:6" x14ac:dyDescent="0.25">
      <c r="B30" s="11" t="s">
        <v>216</v>
      </c>
      <c r="C30" s="11" cm="1">
        <f t="array" ref="C30">SUMPRODUCT((HR_Data[TotalWorkingYears]&gt;=21)*(HR_Data[TotalWorkingYears]&lt;=30))</f>
        <v>161</v>
      </c>
      <c r="D30" s="8">
        <f>AVERAGEIFS(HR_Data[MonthlyIncome], HR_Data[TotalWorkingYears], "&gt;=21", HR_Data[TotalWorkingYears], "&lt;=30")</f>
        <v>15441.826086956522</v>
      </c>
      <c r="E30" s="8">
        <f>AVERAGEIFS(HR_Data[PerformanceRating], HR_Data[TotalWorkingYears], "&gt;=21", HR_Data[TotalWorkingYears], "&lt;=30")</f>
        <v>3.1242236024844718</v>
      </c>
    </row>
    <row r="31" spans="2:6" x14ac:dyDescent="0.25">
      <c r="B31" s="11" t="s">
        <v>217</v>
      </c>
      <c r="C31" s="11" cm="1">
        <f t="array" ref="C31">SUMPRODUCT((HR_Data[TotalWorkingYears]&gt;=31)*1)</f>
        <v>46</v>
      </c>
      <c r="D31" s="8">
        <f>AVERAGEIFS(HR_Data[MonthlyIncome], HR_Data[TotalWorkingYears], "&gt;=31")</f>
        <v>16057.217391304348</v>
      </c>
      <c r="E31" s="8">
        <f>AVERAGEIFS(HR_Data[PerformanceRating], HR_Data[TotalWorkingYears], "&gt;=31")</f>
        <v>3.1956521739130435</v>
      </c>
    </row>
    <row r="34" spans="2:5" ht="18.75" x14ac:dyDescent="0.3">
      <c r="B34" s="44" t="s">
        <v>218</v>
      </c>
      <c r="C34" s="44"/>
      <c r="D34" s="44"/>
      <c r="E34" s="44"/>
    </row>
    <row r="35" spans="2:5" x14ac:dyDescent="0.25">
      <c r="B35" s="11" t="s">
        <v>218</v>
      </c>
      <c r="C35" s="11" t="s">
        <v>75</v>
      </c>
      <c r="D35" s="11" t="s">
        <v>176</v>
      </c>
      <c r="E35" s="11" t="s">
        <v>180</v>
      </c>
    </row>
    <row r="36" spans="2:5" x14ac:dyDescent="0.25">
      <c r="B36" s="11">
        <v>0</v>
      </c>
      <c r="C36" s="11">
        <f>COUNTIF(HR_Data[YearsSinceLastPromotion], $B36)</f>
        <v>581</v>
      </c>
      <c r="D36" s="8">
        <f>$C36/COUNTA(HR_Data[YearsSinceLastPromotion])*100</f>
        <v>39.523809523809526</v>
      </c>
      <c r="E36" s="8">
        <f>COUNTIFS(HR_Data[YearsSinceLastPromotion], $B36, HR_Data[Attrition], "Yes")/C$36*100</f>
        <v>18.9328743545611</v>
      </c>
    </row>
    <row r="37" spans="2:5" x14ac:dyDescent="0.25">
      <c r="B37" s="11">
        <v>1</v>
      </c>
      <c r="C37" s="11">
        <f>COUNTIF(HR_Data[YearsSinceLastPromotion], $B37)</f>
        <v>357</v>
      </c>
      <c r="D37" s="8">
        <f>$C37/COUNTA(HR_Data[YearsSinceLastPromotion])*100</f>
        <v>24.285714285714285</v>
      </c>
      <c r="E37" s="8">
        <f>COUNTIFS(HR_Data[YearsSinceLastPromotion], $B37, HR_Data[Attrition], "Yes")/C$36*100</f>
        <v>8.4337349397590362</v>
      </c>
    </row>
    <row r="38" spans="2:5" x14ac:dyDescent="0.25">
      <c r="B38" s="11">
        <v>2</v>
      </c>
      <c r="C38" s="11">
        <f>COUNTIF(HR_Data[YearsSinceLastPromotion], $B38)</f>
        <v>159</v>
      </c>
      <c r="D38" s="8">
        <f>$C38/COUNTA(HR_Data[YearsSinceLastPromotion])*100</f>
        <v>10.816326530612246</v>
      </c>
      <c r="E38" s="8">
        <f>COUNTIFS(HR_Data[YearsSinceLastPromotion], $B38, HR_Data[Attrition], "Yes")/C$36*100</f>
        <v>4.6471600688468158</v>
      </c>
    </row>
    <row r="39" spans="2:5" x14ac:dyDescent="0.25">
      <c r="B39" s="11">
        <v>3</v>
      </c>
      <c r="C39" s="11">
        <f>COUNTIF(HR_Data[YearsSinceLastPromotion], $B39)</f>
        <v>52</v>
      </c>
      <c r="D39" s="8">
        <f>$C39/COUNTA(HR_Data[YearsSinceLastPromotion])*100</f>
        <v>3.5374149659863949</v>
      </c>
      <c r="E39" s="8">
        <f>COUNTIFS(HR_Data[YearsSinceLastPromotion], $B39, HR_Data[Attrition], "Yes")/C$36*100</f>
        <v>1.5490533562822719</v>
      </c>
    </row>
    <row r="40" spans="2:5" x14ac:dyDescent="0.25">
      <c r="B40" s="11">
        <v>4</v>
      </c>
      <c r="C40" s="11">
        <f>COUNTIF(HR_Data[YearsSinceLastPromotion], $B40)</f>
        <v>61</v>
      </c>
      <c r="D40" s="8">
        <f>$C40/COUNTA(HR_Data[YearsSinceLastPromotion])*100</f>
        <v>4.149659863945578</v>
      </c>
      <c r="E40" s="8">
        <f>COUNTIFS(HR_Data[YearsSinceLastPromotion], $B40, HR_Data[Attrition], "Yes")/C$36*100</f>
        <v>0.86058519793459543</v>
      </c>
    </row>
    <row r="41" spans="2:5" x14ac:dyDescent="0.25">
      <c r="B41" s="11">
        <v>5</v>
      </c>
      <c r="C41" s="11">
        <f>COUNTIF(HR_Data[YearsSinceLastPromotion], $B41)</f>
        <v>45</v>
      </c>
      <c r="D41" s="8">
        <f>$C41/COUNTA(HR_Data[YearsSinceLastPromotion])*100</f>
        <v>3.0612244897959182</v>
      </c>
      <c r="E41" s="8">
        <f>COUNTIFS(HR_Data[YearsSinceLastPromotion], $B41, HR_Data[Attrition], "Yes")/C$36*100</f>
        <v>0.34423407917383825</v>
      </c>
    </row>
    <row r="42" spans="2:5" x14ac:dyDescent="0.25">
      <c r="B42" s="11">
        <v>6</v>
      </c>
      <c r="C42" s="11">
        <f>COUNTIF(HR_Data[YearsSinceLastPromotion], $B42)</f>
        <v>32</v>
      </c>
      <c r="D42" s="8">
        <f>$C42/COUNTA(HR_Data[YearsSinceLastPromotion])*100</f>
        <v>2.1768707482993195</v>
      </c>
      <c r="E42" s="8">
        <f>COUNTIFS(HR_Data[YearsSinceLastPromotion], $B42, HR_Data[Attrition], "Yes")/C$36*100</f>
        <v>1.0327022375215147</v>
      </c>
    </row>
    <row r="43" spans="2:5" x14ac:dyDescent="0.25">
      <c r="B43" s="11">
        <v>7</v>
      </c>
      <c r="C43" s="11">
        <f>COUNTIF(HR_Data[YearsSinceLastPromotion], $B43)</f>
        <v>76</v>
      </c>
      <c r="D43" s="8">
        <f>$C43/COUNTA(HR_Data[YearsSinceLastPromotion])*100</f>
        <v>5.1700680272108839</v>
      </c>
      <c r="E43" s="8">
        <f>COUNTIFS(HR_Data[YearsSinceLastPromotion], $B43, HR_Data[Attrition], "Yes")/C$36*100</f>
        <v>2.753872633390706</v>
      </c>
    </row>
    <row r="44" spans="2:5" x14ac:dyDescent="0.25">
      <c r="B44" s="11">
        <v>8</v>
      </c>
      <c r="C44" s="11">
        <f>COUNTIF(HR_Data[YearsSinceLastPromotion], $B44)</f>
        <v>18</v>
      </c>
      <c r="D44" s="8">
        <f>$C44/COUNTA(HR_Data[YearsSinceLastPromotion])*100</f>
        <v>1.2244897959183674</v>
      </c>
      <c r="E44" s="8">
        <f>COUNTIFS(HR_Data[YearsSinceLastPromotion], $B44, HR_Data[Attrition], "Yes")/C$36*100</f>
        <v>0</v>
      </c>
    </row>
    <row r="45" spans="2:5" x14ac:dyDescent="0.25">
      <c r="B45" s="11">
        <v>9</v>
      </c>
      <c r="C45" s="11">
        <f>COUNTIF(HR_Data[YearsSinceLastPromotion], $B45)</f>
        <v>17</v>
      </c>
      <c r="D45" s="8">
        <f>$C45/COUNTA(HR_Data[YearsSinceLastPromotion])*100</f>
        <v>1.1564625850340136</v>
      </c>
      <c r="E45" s="8">
        <f>COUNTIFS(HR_Data[YearsSinceLastPromotion], $B45, HR_Data[Attrition], "Yes")/C$36*100</f>
        <v>0.6884681583476765</v>
      </c>
    </row>
    <row r="46" spans="2:5" x14ac:dyDescent="0.25">
      <c r="B46" s="11">
        <v>10</v>
      </c>
      <c r="C46" s="11">
        <f>COUNTIF(HR_Data[YearsSinceLastPromotion], $B46)</f>
        <v>6</v>
      </c>
      <c r="D46" s="8">
        <f>$C46/COUNTA(HR_Data[YearsSinceLastPromotion])*100</f>
        <v>0.40816326530612246</v>
      </c>
      <c r="E46" s="8">
        <f>COUNTIFS(HR_Data[YearsSinceLastPromotion], $B46, HR_Data[Attrition], "Yes")/C$36*100</f>
        <v>0.17211703958691912</v>
      </c>
    </row>
    <row r="47" spans="2:5" x14ac:dyDescent="0.25">
      <c r="B47" s="11">
        <v>11</v>
      </c>
      <c r="C47" s="11">
        <f>COUNTIF(HR_Data[YearsSinceLastPromotion], $B47)</f>
        <v>24</v>
      </c>
      <c r="D47" s="8">
        <f>$C47/COUNTA(HR_Data[YearsSinceLastPromotion])*100</f>
        <v>1.6326530612244898</v>
      </c>
      <c r="E47" s="8">
        <f>COUNTIFS(HR_Data[YearsSinceLastPromotion], $B47, HR_Data[Attrition], "Yes")/C$36*100</f>
        <v>0.34423407917383825</v>
      </c>
    </row>
    <row r="48" spans="2:5" x14ac:dyDescent="0.25">
      <c r="B48" s="11">
        <v>12</v>
      </c>
      <c r="C48" s="11">
        <f>COUNTIF(HR_Data[YearsSinceLastPromotion], $B48)</f>
        <v>10</v>
      </c>
      <c r="D48" s="8">
        <f>$C48/COUNTA(HR_Data[YearsSinceLastPromotion])*100</f>
        <v>0.68027210884353739</v>
      </c>
      <c r="E48" s="8">
        <f>COUNTIFS(HR_Data[YearsSinceLastPromotion], $B48, HR_Data[Attrition], "Yes")/C$36*100</f>
        <v>0</v>
      </c>
    </row>
    <row r="49" spans="2:6" x14ac:dyDescent="0.25">
      <c r="B49" s="11">
        <v>13</v>
      </c>
      <c r="C49" s="11">
        <f>COUNTIF(HR_Data[YearsSinceLastPromotion], $B49)</f>
        <v>10</v>
      </c>
      <c r="D49" s="8">
        <f>$C49/COUNTA(HR_Data[YearsSinceLastPromotion])*100</f>
        <v>0.68027210884353739</v>
      </c>
      <c r="E49" s="8">
        <f>COUNTIFS(HR_Data[YearsSinceLastPromotion], $B49, HR_Data[Attrition], "Yes")/C$36*100</f>
        <v>0.34423407917383825</v>
      </c>
    </row>
    <row r="50" spans="2:6" x14ac:dyDescent="0.25">
      <c r="B50" s="11">
        <v>14</v>
      </c>
      <c r="C50" s="11">
        <f>COUNTIF(HR_Data[YearsSinceLastPromotion], $B50)</f>
        <v>9</v>
      </c>
      <c r="D50" s="8">
        <f>$C50/COUNTA(HR_Data[YearsSinceLastPromotion])*100</f>
        <v>0.61224489795918369</v>
      </c>
      <c r="E50" s="8">
        <f>COUNTIFS(HR_Data[YearsSinceLastPromotion], $B50, HR_Data[Attrition], "Yes")/C$36*100</f>
        <v>0.17211703958691912</v>
      </c>
    </row>
    <row r="51" spans="2:6" x14ac:dyDescent="0.25">
      <c r="B51" s="11">
        <v>15</v>
      </c>
      <c r="C51" s="11">
        <f>COUNTIF(HR_Data[YearsSinceLastPromotion], $B51)</f>
        <v>13</v>
      </c>
      <c r="D51" s="8">
        <f>$C51/COUNTA(HR_Data[YearsSinceLastPromotion])*100</f>
        <v>0.88435374149659873</v>
      </c>
      <c r="E51" s="8">
        <f>COUNTIFS(HR_Data[YearsSinceLastPromotion], $B51, HR_Data[Attrition], "Yes")/C$36*100</f>
        <v>0.51635111876075734</v>
      </c>
    </row>
    <row r="54" spans="2:6" ht="18.75" x14ac:dyDescent="0.3">
      <c r="B54" s="44" t="s">
        <v>219</v>
      </c>
      <c r="C54" s="44"/>
      <c r="D54" s="44"/>
      <c r="E54" s="44"/>
      <c r="F54" s="44"/>
    </row>
    <row r="55" spans="2:6" x14ac:dyDescent="0.25">
      <c r="B55" s="11" t="s">
        <v>220</v>
      </c>
      <c r="C55" s="11" t="s">
        <v>75</v>
      </c>
      <c r="D55" s="11" t="s">
        <v>191</v>
      </c>
      <c r="E55" s="11" t="s">
        <v>118</v>
      </c>
      <c r="F55" s="11" t="s">
        <v>179</v>
      </c>
    </row>
    <row r="56" spans="2:6" x14ac:dyDescent="0.25">
      <c r="B56" s="11">
        <v>1</v>
      </c>
      <c r="C56" s="11">
        <f>COUNTIF(HR_Data[JobLevel], $B56)</f>
        <v>543</v>
      </c>
      <c r="D56" s="8">
        <f>AVERAGEIF(HR_Data[JobLevel], $B56, HR_Data[YearsAtCompany])</f>
        <v>3.9318600368324126</v>
      </c>
      <c r="E56" s="8">
        <f>AVERAGEIF(HR_Data[JobLevel], $B56, HR_Data[MonthlyIncome])</f>
        <v>2786.9152854511972</v>
      </c>
      <c r="F56" s="8">
        <f>AVERAGEIF(HR_Data[JobLevel], $B56, HR_Data[Age])</f>
        <v>32.524861878453038</v>
      </c>
    </row>
    <row r="57" spans="2:6" x14ac:dyDescent="0.25">
      <c r="B57" s="11">
        <v>2</v>
      </c>
      <c r="C57" s="11">
        <f>COUNTIF(HR_Data[JobLevel], $B57)</f>
        <v>534</v>
      </c>
      <c r="D57" s="8">
        <f>AVERAGEIF(HR_Data[JobLevel], $B57, HR_Data[YearsAtCompany])</f>
        <v>6.7528089887640448</v>
      </c>
      <c r="E57" s="8">
        <f>AVERAGEIF(HR_Data[JobLevel], $B57, HR_Data[MonthlyIncome])</f>
        <v>5502.2771535580523</v>
      </c>
      <c r="F57" s="8">
        <f>AVERAGEIF(HR_Data[JobLevel], $B57, HR_Data[Age])</f>
        <v>36.599250936329589</v>
      </c>
    </row>
    <row r="58" spans="2:6" x14ac:dyDescent="0.25">
      <c r="B58" s="11">
        <v>3</v>
      </c>
      <c r="C58" s="11">
        <f>COUNTIF(HR_Data[JobLevel], $B58)</f>
        <v>218</v>
      </c>
      <c r="D58" s="8">
        <f>AVERAGEIF(HR_Data[JobLevel], $B58, HR_Data[YearsAtCompany])</f>
        <v>9.3807339449541285</v>
      </c>
      <c r="E58" s="8">
        <f>AVERAGEIF(HR_Data[JobLevel], $B58, HR_Data[MonthlyIncome])</f>
        <v>9817.2522935779816</v>
      </c>
      <c r="F58" s="8">
        <f>AVERAGEIF(HR_Data[JobLevel], $B58, HR_Data[Age])</f>
        <v>40.087155963302749</v>
      </c>
    </row>
    <row r="59" spans="2:6" x14ac:dyDescent="0.25">
      <c r="B59" s="11">
        <v>4</v>
      </c>
      <c r="C59" s="11">
        <f>COUNTIF(HR_Data[JobLevel], $B59)</f>
        <v>106</v>
      </c>
      <c r="D59" s="8">
        <f>AVERAGEIF(HR_Data[JobLevel], $B59, HR_Data[YearsAtCompany])</f>
        <v>13.886792452830189</v>
      </c>
      <c r="E59" s="8">
        <f>AVERAGEIF(HR_Data[JobLevel], $B59, HR_Data[MonthlyIncome])</f>
        <v>15503.783018867925</v>
      </c>
      <c r="F59" s="8">
        <f>AVERAGEIF(HR_Data[JobLevel], $B59, HR_Data[Age])</f>
        <v>47.537735849056602</v>
      </c>
    </row>
    <row r="60" spans="2:6" x14ac:dyDescent="0.25">
      <c r="B60" s="11">
        <v>5</v>
      </c>
      <c r="C60" s="11">
        <f>COUNTIF(HR_Data[JobLevel], $B60)</f>
        <v>69</v>
      </c>
      <c r="D60" s="8">
        <f>AVERAGEIF(HR_Data[JobLevel], $B60, HR_Data[YearsAtCompany])</f>
        <v>15.130434782608695</v>
      </c>
      <c r="E60" s="8">
        <f>AVERAGEIF(HR_Data[JobLevel], $B60, HR_Data[MonthlyIncome])</f>
        <v>19191.82608695652</v>
      </c>
      <c r="F60" s="8">
        <f>AVERAGEIF(HR_Data[JobLevel], $B60, HR_Data[Age])</f>
        <v>47.753623188405797</v>
      </c>
    </row>
    <row r="63" spans="2:6" ht="18.75" x14ac:dyDescent="0.3">
      <c r="B63" s="44" t="s">
        <v>221</v>
      </c>
      <c r="C63" s="44"/>
      <c r="D63" s="44"/>
      <c r="E63" s="44"/>
    </row>
    <row r="64" spans="2:6" x14ac:dyDescent="0.25">
      <c r="B64" s="11" t="s">
        <v>221</v>
      </c>
      <c r="C64" s="11" t="s">
        <v>75</v>
      </c>
      <c r="D64" s="11" t="s">
        <v>118</v>
      </c>
      <c r="E64" s="11" t="s">
        <v>180</v>
      </c>
    </row>
    <row r="65" spans="2:5" x14ac:dyDescent="0.25">
      <c r="B65" s="11">
        <v>0</v>
      </c>
      <c r="C65" s="11">
        <f>COUNTIF(HR_Data[NumCompaniesWorked], $B65)</f>
        <v>197</v>
      </c>
      <c r="D65" s="8">
        <f>AVERAGEIF(HR_Data[NumCompaniesWorked], $B65, HR_Data[MonthlyIncome])</f>
        <v>5805.2385786802033</v>
      </c>
      <c r="E65" s="8">
        <f>COUNTIFS(HR_Data[NumCompaniesWorked], $B65, HR_Data[Attrition], "Yes")/$C65*100</f>
        <v>11.6751269035533</v>
      </c>
    </row>
    <row r="66" spans="2:5" x14ac:dyDescent="0.25">
      <c r="B66" s="11">
        <v>1</v>
      </c>
      <c r="C66" s="11">
        <f>COUNTIF(HR_Data[NumCompaniesWorked], $B66)</f>
        <v>521</v>
      </c>
      <c r="D66" s="8">
        <f>AVERAGEIF(HR_Data[NumCompaniesWorked], $B66, HR_Data[MonthlyIncome])</f>
        <v>5259.9635316698659</v>
      </c>
      <c r="E66" s="8">
        <f>COUNTIFS(HR_Data[NumCompaniesWorked], $B66, HR_Data[Attrition], "Yes")/$C66*100</f>
        <v>18.809980806142036</v>
      </c>
    </row>
    <row r="67" spans="2:5" x14ac:dyDescent="0.25">
      <c r="B67" s="11">
        <v>2</v>
      </c>
      <c r="C67" s="11">
        <f>COUNTIF(HR_Data[NumCompaniesWorked], $B67)</f>
        <v>146</v>
      </c>
      <c r="D67" s="8">
        <f>AVERAGEIF(HR_Data[NumCompaniesWorked], $B67, HR_Data[MonthlyIncome])</f>
        <v>7688.678082191781</v>
      </c>
      <c r="E67" s="8">
        <f>COUNTIFS(HR_Data[NumCompaniesWorked], $B67, HR_Data[Attrition], "Yes")/$C67*100</f>
        <v>10.95890410958904</v>
      </c>
    </row>
    <row r="68" spans="2:5" x14ac:dyDescent="0.25">
      <c r="B68" s="11">
        <v>3</v>
      </c>
      <c r="C68" s="11">
        <f>COUNTIF(HR_Data[NumCompaniesWorked], $B68)</f>
        <v>159</v>
      </c>
      <c r="D68" s="8">
        <f>AVERAGEIF(HR_Data[NumCompaniesWorked], $B68, HR_Data[MonthlyIncome])</f>
        <v>8270.5471698113215</v>
      </c>
      <c r="E68" s="8">
        <f>COUNTIFS(HR_Data[NumCompaniesWorked], $B68, HR_Data[Attrition], "Yes")/$C68*100</f>
        <v>10.062893081761008</v>
      </c>
    </row>
    <row r="69" spans="2:5" x14ac:dyDescent="0.25">
      <c r="B69" s="11">
        <v>4</v>
      </c>
      <c r="C69" s="11">
        <f>COUNTIF(HR_Data[NumCompaniesWorked], $B69)</f>
        <v>139</v>
      </c>
      <c r="D69" s="8">
        <f>AVERAGEIF(HR_Data[NumCompaniesWorked], $B69, HR_Data[MonthlyIncome])</f>
        <v>7206.5539568345321</v>
      </c>
      <c r="E69" s="8">
        <f>COUNTIFS(HR_Data[NumCompaniesWorked], $B69, HR_Data[Attrition], "Yes")/$C69*100</f>
        <v>12.23021582733813</v>
      </c>
    </row>
    <row r="70" spans="2:5" x14ac:dyDescent="0.25">
      <c r="B70" s="11">
        <v>5</v>
      </c>
      <c r="C70" s="11">
        <f>COUNTIF(HR_Data[NumCompaniesWorked], $B70)</f>
        <v>63</v>
      </c>
      <c r="D70" s="8">
        <f>AVERAGEIF(HR_Data[NumCompaniesWorked], $B70, HR_Data[MonthlyIncome])</f>
        <v>6984.269841269841</v>
      </c>
      <c r="E70" s="8">
        <f>COUNTIFS(HR_Data[NumCompaniesWorked], $B70, HR_Data[Attrition], "Yes")/$C70*100</f>
        <v>25.396825396825395</v>
      </c>
    </row>
    <row r="71" spans="2:5" x14ac:dyDescent="0.25">
      <c r="B71" s="11">
        <v>6</v>
      </c>
      <c r="C71" s="11">
        <f>COUNTIF(HR_Data[NumCompaniesWorked], $B71)</f>
        <v>70</v>
      </c>
      <c r="D71" s="8">
        <f>AVERAGEIF(HR_Data[NumCompaniesWorked], $B71, HR_Data[MonthlyIncome])</f>
        <v>7104.3857142857141</v>
      </c>
      <c r="E71" s="8">
        <f>COUNTIFS(HR_Data[NumCompaniesWorked], $B71, HR_Data[Attrition], "Yes")/$C71*100</f>
        <v>22.857142857142858</v>
      </c>
    </row>
    <row r="72" spans="2:5" x14ac:dyDescent="0.25">
      <c r="B72" s="11">
        <v>7</v>
      </c>
      <c r="C72" s="11">
        <f>COUNTIF(HR_Data[NumCompaniesWorked], $B72)</f>
        <v>74</v>
      </c>
      <c r="D72" s="8">
        <f>AVERAGEIF(HR_Data[NumCompaniesWorked], $B72, HR_Data[MonthlyIncome])</f>
        <v>7812.0810810810808</v>
      </c>
      <c r="E72" s="8">
        <f>COUNTIFS(HR_Data[NumCompaniesWorked], $B72, HR_Data[Attrition], "Yes")/$C72*100</f>
        <v>22.972972972972975</v>
      </c>
    </row>
    <row r="73" spans="2:5" x14ac:dyDescent="0.25">
      <c r="B73" s="11">
        <v>8</v>
      </c>
      <c r="C73" s="11">
        <f>COUNTIF(HR_Data[NumCompaniesWorked], $B73)</f>
        <v>49</v>
      </c>
      <c r="D73" s="8">
        <f>AVERAGEIF(HR_Data[NumCompaniesWorked], $B73, HR_Data[MonthlyIncome])</f>
        <v>6628.0408163265311</v>
      </c>
      <c r="E73" s="8">
        <f>COUNTIFS(HR_Data[NumCompaniesWorked], $B73, HR_Data[Attrition], "Yes")/$C73*100</f>
        <v>12.244897959183673</v>
      </c>
    </row>
    <row r="74" spans="2:5" x14ac:dyDescent="0.25">
      <c r="B74" s="11">
        <v>9</v>
      </c>
      <c r="C74" s="11">
        <f>COUNTIF(HR_Data[NumCompaniesWorked], $B74)</f>
        <v>52</v>
      </c>
      <c r="D74" s="8">
        <f>AVERAGEIF(HR_Data[NumCompaniesWorked], $B74, HR_Data[MonthlyIncome])</f>
        <v>7611.0961538461543</v>
      </c>
      <c r="E74" s="8">
        <f>COUNTIFS(HR_Data[NumCompaniesWorked], $B74, HR_Data[Attrition], "Yes")/$C74*100</f>
        <v>23.076923076923077</v>
      </c>
    </row>
    <row r="77" spans="2:5" ht="18.75" x14ac:dyDescent="0.3">
      <c r="B77" s="44" t="s">
        <v>222</v>
      </c>
      <c r="C77" s="44"/>
      <c r="D77" s="44"/>
      <c r="E77" s="44"/>
    </row>
    <row r="78" spans="2:5" x14ac:dyDescent="0.25">
      <c r="B78" s="11" t="s">
        <v>223</v>
      </c>
      <c r="C78" s="11" t="s">
        <v>75</v>
      </c>
      <c r="D78" s="11" t="s">
        <v>176</v>
      </c>
      <c r="E78" s="11" t="s">
        <v>180</v>
      </c>
    </row>
    <row r="79" spans="2:5" x14ac:dyDescent="0.25">
      <c r="B79" s="11">
        <v>0</v>
      </c>
      <c r="C79" s="11">
        <f>COUNTIF(HR_Data[StockOptionLevel], $B79)</f>
        <v>631</v>
      </c>
      <c r="D79" s="8">
        <f>$C79/COUNTA(HR_Data[StockOptionLevel])*100</f>
        <v>42.925170068027214</v>
      </c>
      <c r="E79" s="8">
        <f>COUNTIFS(HR_Data[StockOptionLevel], $B79, HR_Data[Attrition], "Yes")/$C79*100</f>
        <v>24.405705229793977</v>
      </c>
    </row>
    <row r="80" spans="2:5" x14ac:dyDescent="0.25">
      <c r="B80" s="11">
        <v>1</v>
      </c>
      <c r="C80" s="11">
        <f>COUNTIF(HR_Data[StockOptionLevel], $B80)</f>
        <v>596</v>
      </c>
      <c r="D80" s="8">
        <f>$C80/COUNTA(HR_Data[StockOptionLevel])*100</f>
        <v>40.544217687074827</v>
      </c>
      <c r="E80" s="8">
        <f>COUNTIFS(HR_Data[StockOptionLevel], $B80, HR_Data[Attrition], "Yes")/$C80*100</f>
        <v>9.3959731543624159</v>
      </c>
    </row>
    <row r="81" spans="2:5" x14ac:dyDescent="0.25">
      <c r="B81" s="11">
        <v>2</v>
      </c>
      <c r="C81" s="11">
        <f>COUNTIF(HR_Data[StockOptionLevel], $B81)</f>
        <v>158</v>
      </c>
      <c r="D81" s="8">
        <f>$C81/COUNTA(HR_Data[StockOptionLevel])*100</f>
        <v>10.748299319727892</v>
      </c>
      <c r="E81" s="8">
        <f>COUNTIFS(HR_Data[StockOptionLevel], $B81, HR_Data[Attrition], "Yes")/$C81*100</f>
        <v>7.59493670886076</v>
      </c>
    </row>
    <row r="82" spans="2:5" x14ac:dyDescent="0.25">
      <c r="B82" s="11">
        <v>3</v>
      </c>
      <c r="C82" s="11">
        <f>COUNTIF(HR_Data[StockOptionLevel], $B82)</f>
        <v>85</v>
      </c>
      <c r="D82" s="8">
        <f>$C82/COUNTA(HR_Data[StockOptionLevel])*100</f>
        <v>5.7823129251700678</v>
      </c>
      <c r="E82" s="8">
        <f>COUNTIFS(HR_Data[StockOptionLevel], $B82, HR_Data[Attrition], "Yes")/$C82*100</f>
        <v>17.647058823529413</v>
      </c>
    </row>
  </sheetData>
  <mergeCells count="8">
    <mergeCell ref="B54:F54"/>
    <mergeCell ref="B63:E63"/>
    <mergeCell ref="B77:E77"/>
    <mergeCell ref="A1:J2"/>
    <mergeCell ref="B5:C5"/>
    <mergeCell ref="B15:F15"/>
    <mergeCell ref="B25:E25"/>
    <mergeCell ref="B34:E34"/>
  </mergeCells>
  <pageMargins left="0.7" right="0.7" top="0.75" bottom="0.75" header="0.3" footer="0.3"/>
  <ignoredErrors>
    <ignoredError sqref="C18 C19:C22" calculatedColumn="1"/>
  </ignoredErrors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6E43F-DCA2-4E8B-8941-25993771CF1F}">
  <dimension ref="A1:I84"/>
  <sheetViews>
    <sheetView topLeftCell="A63" zoomScale="106" workbookViewId="0">
      <selection activeCell="F73" sqref="F73"/>
    </sheetView>
  </sheetViews>
  <sheetFormatPr defaultRowHeight="15" x14ac:dyDescent="0.25"/>
  <cols>
    <col min="2" max="2" width="26" customWidth="1"/>
    <col min="3" max="3" width="21.28515625" customWidth="1"/>
    <col min="4" max="4" width="26" customWidth="1"/>
    <col min="5" max="5" width="25.28515625" customWidth="1"/>
    <col min="6" max="6" width="19.42578125" customWidth="1"/>
    <col min="7" max="7" width="13.28515625" customWidth="1"/>
  </cols>
  <sheetData>
    <row r="1" spans="1:9" x14ac:dyDescent="0.25">
      <c r="A1" s="38" t="s">
        <v>224</v>
      </c>
      <c r="B1" s="38"/>
      <c r="C1" s="38"/>
      <c r="D1" s="38"/>
      <c r="E1" s="38"/>
      <c r="F1" s="38"/>
      <c r="G1" s="38"/>
      <c r="H1" s="38"/>
      <c r="I1" s="38"/>
    </row>
    <row r="2" spans="1:9" x14ac:dyDescent="0.25">
      <c r="A2" s="38"/>
      <c r="B2" s="38"/>
      <c r="C2" s="38"/>
      <c r="D2" s="38"/>
      <c r="E2" s="38"/>
      <c r="F2" s="38"/>
      <c r="G2" s="38"/>
      <c r="H2" s="38"/>
      <c r="I2" s="38"/>
    </row>
    <row r="5" spans="1:9" ht="18.75" x14ac:dyDescent="0.3">
      <c r="B5" s="37" t="s">
        <v>225</v>
      </c>
      <c r="C5" s="37"/>
    </row>
    <row r="6" spans="1:9" x14ac:dyDescent="0.25">
      <c r="B6" s="11" t="s">
        <v>109</v>
      </c>
      <c r="C6" s="11" t="s">
        <v>110</v>
      </c>
    </row>
    <row r="7" spans="1:9" x14ac:dyDescent="0.25">
      <c r="B7" s="11" t="s">
        <v>226</v>
      </c>
      <c r="C7" s="8">
        <f>AVERAGE(HR_Data[JobSatisfaction])</f>
        <v>2.7285714285714286</v>
      </c>
    </row>
    <row r="8" spans="1:9" x14ac:dyDescent="0.25">
      <c r="B8" s="11" t="s">
        <v>227</v>
      </c>
      <c r="C8" s="8">
        <f>AVERAGE(HR_Data[EnvironmentSatisfaction])</f>
        <v>2.721768707482993</v>
      </c>
    </row>
    <row r="9" spans="1:9" x14ac:dyDescent="0.25">
      <c r="B9" s="11" t="s">
        <v>228</v>
      </c>
      <c r="C9" s="8">
        <f>AVERAGE(HR_Data[RelationshipSatisfaction])</f>
        <v>2.7122448979591836</v>
      </c>
    </row>
    <row r="10" spans="1:9" x14ac:dyDescent="0.25">
      <c r="B10" s="11" t="s">
        <v>229</v>
      </c>
      <c r="C10" s="8">
        <f>AVERAGE(HR_Data[WorkLifeBalance])</f>
        <v>2.7612244897959184</v>
      </c>
    </row>
    <row r="11" spans="1:9" x14ac:dyDescent="0.25">
      <c r="B11" s="11" t="s">
        <v>230</v>
      </c>
      <c r="C11" s="8">
        <f>AVERAGE(HR_Data[JobInvolvement])</f>
        <v>2.7299319727891156</v>
      </c>
    </row>
    <row r="14" spans="1:9" ht="18.75" x14ac:dyDescent="0.3">
      <c r="B14" s="37" t="s">
        <v>231</v>
      </c>
      <c r="C14" s="37"/>
      <c r="D14" s="37"/>
      <c r="E14" s="37"/>
      <c r="F14" s="37"/>
    </row>
    <row r="15" spans="1:9" x14ac:dyDescent="0.25">
      <c r="B15" s="11" t="s">
        <v>226</v>
      </c>
      <c r="C15" s="11" t="s">
        <v>232</v>
      </c>
      <c r="D15" s="11" t="s">
        <v>75</v>
      </c>
      <c r="E15" s="11" t="s">
        <v>176</v>
      </c>
      <c r="F15" s="11" t="s">
        <v>180</v>
      </c>
    </row>
    <row r="16" spans="1:9" x14ac:dyDescent="0.25">
      <c r="B16" s="11" t="s">
        <v>233</v>
      </c>
      <c r="C16" s="11">
        <v>1</v>
      </c>
      <c r="D16" s="11">
        <f>COUNTIF(HR_Data[JobSatisfaction], $C16)</f>
        <v>289</v>
      </c>
      <c r="E16" s="8">
        <f>$D16/COUNTA(HR_Data[JobSatisfaction])*100</f>
        <v>19.65986394557823</v>
      </c>
      <c r="F16" s="8">
        <f>COUNTIFS(HR_Data[JobSatisfaction],$C16,HR_Data[Attrition],"Yes")/$D16*100</f>
        <v>22.837370242214533</v>
      </c>
    </row>
    <row r="17" spans="2:6" x14ac:dyDescent="0.25">
      <c r="B17" s="11" t="s">
        <v>234</v>
      </c>
      <c r="C17" s="11">
        <v>2</v>
      </c>
      <c r="D17" s="11">
        <f>COUNTIF(HR_Data[JobSatisfaction], $C17)</f>
        <v>280</v>
      </c>
      <c r="E17" s="8">
        <f>$D17/COUNTA(HR_Data[JobSatisfaction])*100</f>
        <v>19.047619047619047</v>
      </c>
      <c r="F17" s="8">
        <f>COUNTIFS(HR_Data[JobSatisfaction],$C17,HR_Data[Attrition],"Yes")/$D17*100</f>
        <v>16.428571428571427</v>
      </c>
    </row>
    <row r="18" spans="2:6" x14ac:dyDescent="0.25">
      <c r="B18" s="11" t="s">
        <v>235</v>
      </c>
      <c r="C18" s="11">
        <v>3</v>
      </c>
      <c r="D18" s="11">
        <f>COUNTIF(HR_Data[JobSatisfaction], $C18)</f>
        <v>442</v>
      </c>
      <c r="E18" s="8">
        <f>$D18/COUNTA(HR_Data[JobSatisfaction])*100</f>
        <v>30.068027210884352</v>
      </c>
      <c r="F18" s="8">
        <f>COUNTIFS(HR_Data[JobSatisfaction],$C18,HR_Data[Attrition],"Yes")/$D18*100</f>
        <v>16.515837104072396</v>
      </c>
    </row>
    <row r="19" spans="2:6" x14ac:dyDescent="0.25">
      <c r="B19" s="11" t="s">
        <v>236</v>
      </c>
      <c r="C19" s="11">
        <v>4</v>
      </c>
      <c r="D19" s="11">
        <f>COUNTIF(HR_Data[JobSatisfaction], $C19)</f>
        <v>459</v>
      </c>
      <c r="E19" s="8">
        <f>$D19/COUNTA(HR_Data[JobSatisfaction])*100</f>
        <v>31.22448979591837</v>
      </c>
      <c r="F19" s="8">
        <f>COUNTIFS(HR_Data[JobSatisfaction],$C19,HR_Data[Attrition],"Yes")/$D19*100</f>
        <v>11.328976034858387</v>
      </c>
    </row>
    <row r="22" spans="2:6" ht="18.75" x14ac:dyDescent="0.3">
      <c r="B22" s="37" t="s">
        <v>227</v>
      </c>
      <c r="C22" s="37"/>
      <c r="D22" s="37"/>
      <c r="E22" s="37"/>
      <c r="F22" s="37"/>
    </row>
    <row r="23" spans="2:6" x14ac:dyDescent="0.25">
      <c r="B23" s="11" t="s">
        <v>227</v>
      </c>
      <c r="C23" s="11" t="s">
        <v>232</v>
      </c>
      <c r="D23" s="11" t="s">
        <v>75</v>
      </c>
      <c r="E23" s="11" t="s">
        <v>176</v>
      </c>
      <c r="F23" s="11" t="s">
        <v>180</v>
      </c>
    </row>
    <row r="24" spans="2:6" x14ac:dyDescent="0.25">
      <c r="B24" s="11" t="s">
        <v>233</v>
      </c>
      <c r="C24" s="11">
        <v>1</v>
      </c>
      <c r="D24" s="11">
        <f>COUNTIF(HR_Data[EnvironmentSatisfaction], $C24)</f>
        <v>284</v>
      </c>
      <c r="E24" s="8">
        <f>$D24/COUNTA(HR_Data[EnvironmentSatisfaction])*100</f>
        <v>19.319727891156464</v>
      </c>
      <c r="F24" s="8">
        <f>COUNTIFS(HR_Data[EnvironmentSatisfaction], $C24, HR_Data[Attrition], "Yes")/$D24*100</f>
        <v>25.352112676056336</v>
      </c>
    </row>
    <row r="25" spans="2:6" x14ac:dyDescent="0.25">
      <c r="B25" s="11" t="s">
        <v>234</v>
      </c>
      <c r="C25" s="11">
        <v>2</v>
      </c>
      <c r="D25" s="11">
        <f>COUNTIF(HR_Data[EnvironmentSatisfaction], $C25)</f>
        <v>287</v>
      </c>
      <c r="E25" s="8">
        <f>$D25/COUNTA(HR_Data[EnvironmentSatisfaction])*100</f>
        <v>19.523809523809526</v>
      </c>
      <c r="F25" s="8">
        <f>COUNTIFS(HR_Data[EnvironmentSatisfaction], $C25, HR_Data[Attrition], "Yes")/$D25*100</f>
        <v>14.982578397212542</v>
      </c>
    </row>
    <row r="26" spans="2:6" x14ac:dyDescent="0.25">
      <c r="B26" s="11" t="s">
        <v>235</v>
      </c>
      <c r="C26" s="11">
        <v>3</v>
      </c>
      <c r="D26" s="11">
        <f>COUNTIF(HR_Data[EnvironmentSatisfaction], $C26)</f>
        <v>453</v>
      </c>
      <c r="E26" s="8">
        <f>$D26/COUNTA(HR_Data[EnvironmentSatisfaction])*100</f>
        <v>30.816326530612244</v>
      </c>
      <c r="F26" s="8">
        <f>COUNTIFS(HR_Data[EnvironmentSatisfaction], $C26, HR_Data[Attrition], "Yes")/$D26*100</f>
        <v>13.686534216335541</v>
      </c>
    </row>
    <row r="27" spans="2:6" x14ac:dyDescent="0.25">
      <c r="B27" s="11" t="s">
        <v>236</v>
      </c>
      <c r="C27" s="11">
        <v>4</v>
      </c>
      <c r="D27" s="11">
        <f>COUNTIF(HR_Data[EnvironmentSatisfaction], $C27)</f>
        <v>446</v>
      </c>
      <c r="E27" s="8">
        <f>$D27/COUNTA(HR_Data[EnvironmentSatisfaction])*100</f>
        <v>30.34013605442177</v>
      </c>
      <c r="F27" s="8">
        <f>COUNTIFS(HR_Data[EnvironmentSatisfaction], $C27, HR_Data[Attrition], "Yes")/$D27*100</f>
        <v>13.452914798206278</v>
      </c>
    </row>
    <row r="30" spans="2:6" ht="18.75" x14ac:dyDescent="0.3">
      <c r="B30" s="37" t="s">
        <v>228</v>
      </c>
      <c r="C30" s="37"/>
      <c r="D30" s="37"/>
      <c r="E30" s="37"/>
      <c r="F30" s="37"/>
    </row>
    <row r="31" spans="2:6" x14ac:dyDescent="0.25">
      <c r="B31" s="11" t="s">
        <v>228</v>
      </c>
      <c r="C31" s="11" t="s">
        <v>232</v>
      </c>
      <c r="D31" s="11" t="s">
        <v>75</v>
      </c>
      <c r="E31" s="11" t="s">
        <v>176</v>
      </c>
      <c r="F31" s="11" t="s">
        <v>180</v>
      </c>
    </row>
    <row r="32" spans="2:6" x14ac:dyDescent="0.25">
      <c r="B32" s="11" t="s">
        <v>233</v>
      </c>
      <c r="C32" s="11">
        <v>1</v>
      </c>
      <c r="D32" s="11">
        <f>COUNTIF(HR_Data[RelationshipSatisfaction], $C32)</f>
        <v>276</v>
      </c>
      <c r="E32" s="8">
        <f>$D32/COUNTA(HR_Data[RelationshipSatisfaction])*100</f>
        <v>18.775510204081634</v>
      </c>
      <c r="F32" s="8">
        <f>COUNTIFS(HR_Data[RelationshipSatisfaction], $C32, HR_Data[Attrition], "Yes")/$D32*100</f>
        <v>20.652173913043477</v>
      </c>
    </row>
    <row r="33" spans="2:7" x14ac:dyDescent="0.25">
      <c r="B33" s="11" t="s">
        <v>234</v>
      </c>
      <c r="C33" s="11">
        <v>2</v>
      </c>
      <c r="D33" s="11">
        <f>COUNTIF(HR_Data[RelationshipSatisfaction], $C33)</f>
        <v>303</v>
      </c>
      <c r="E33" s="8">
        <f>$D33/COUNTA(HR_Data[RelationshipSatisfaction])*100</f>
        <v>20.612244897959183</v>
      </c>
      <c r="F33" s="8">
        <f>COUNTIFS(HR_Data[RelationshipSatisfaction], $C33, HR_Data[Attrition], "Yes")/$D33*100</f>
        <v>14.85148514851485</v>
      </c>
    </row>
    <row r="34" spans="2:7" x14ac:dyDescent="0.25">
      <c r="B34" s="11" t="s">
        <v>235</v>
      </c>
      <c r="C34" s="11">
        <v>3</v>
      </c>
      <c r="D34" s="11">
        <f>COUNTIF(HR_Data[RelationshipSatisfaction], $C34)</f>
        <v>459</v>
      </c>
      <c r="E34" s="8">
        <f>$D34/COUNTA(HR_Data[RelationshipSatisfaction])*100</f>
        <v>31.22448979591837</v>
      </c>
      <c r="F34" s="8">
        <f>COUNTIFS(HR_Data[RelationshipSatisfaction], $C34, HR_Data[Attrition], "Yes")/$D34*100</f>
        <v>15.468409586056644</v>
      </c>
    </row>
    <row r="35" spans="2:7" x14ac:dyDescent="0.25">
      <c r="B35" s="11" t="s">
        <v>236</v>
      </c>
      <c r="C35" s="11">
        <v>4</v>
      </c>
      <c r="D35" s="11">
        <f>COUNTIF(HR_Data[RelationshipSatisfaction], $C35)</f>
        <v>432</v>
      </c>
      <c r="E35" s="8">
        <f>$D35/COUNTA(HR_Data[RelationshipSatisfaction])*100</f>
        <v>29.387755102040821</v>
      </c>
      <c r="F35" s="8">
        <f>COUNTIFS(HR_Data[RelationshipSatisfaction], $C35, HR_Data[Attrition], "Yes")/$D35*100</f>
        <v>14.814814814814813</v>
      </c>
    </row>
    <row r="38" spans="2:7" ht="18.75" x14ac:dyDescent="0.3">
      <c r="B38" s="37" t="s">
        <v>237</v>
      </c>
      <c r="C38" s="37"/>
      <c r="D38" s="37"/>
      <c r="E38" s="37"/>
      <c r="F38" s="37"/>
    </row>
    <row r="39" spans="2:7" x14ac:dyDescent="0.25">
      <c r="B39" s="11" t="s">
        <v>237</v>
      </c>
      <c r="C39" s="11" t="s">
        <v>232</v>
      </c>
      <c r="D39" s="11" t="s">
        <v>75</v>
      </c>
      <c r="E39" s="11" t="s">
        <v>176</v>
      </c>
      <c r="F39" s="11" t="s">
        <v>180</v>
      </c>
    </row>
    <row r="40" spans="2:7" x14ac:dyDescent="0.25">
      <c r="B40" s="20" t="s">
        <v>233</v>
      </c>
      <c r="C40" s="11">
        <v>1</v>
      </c>
      <c r="D40" s="11">
        <f>COUNTIF(HR_Data[WorkLifeBalance], $C40)</f>
        <v>80</v>
      </c>
      <c r="E40" s="8">
        <f>$D40/COUNTA(HR_Data[WorkLifeBalance])*100</f>
        <v>5.4421768707482991</v>
      </c>
      <c r="F40" s="8">
        <f>COUNTIFS(HR_Data[WorkLifeBalance], $C40, HR_Data[Attrition], "Yes")/$D40*100</f>
        <v>31.25</v>
      </c>
    </row>
    <row r="41" spans="2:7" x14ac:dyDescent="0.25">
      <c r="B41" s="21" t="s">
        <v>234</v>
      </c>
      <c r="C41" s="11">
        <v>2</v>
      </c>
      <c r="D41" s="11">
        <f>COUNTIF(HR_Data[WorkLifeBalance], $C41)</f>
        <v>344</v>
      </c>
      <c r="E41" s="8">
        <f>$D41/COUNTA(HR_Data[WorkLifeBalance])*100</f>
        <v>23.401360544217688</v>
      </c>
      <c r="F41" s="8">
        <f>COUNTIFS(HR_Data[WorkLifeBalance], $C41, HR_Data[Attrition], "Yes")/$D41*100</f>
        <v>16.86046511627907</v>
      </c>
    </row>
    <row r="42" spans="2:7" x14ac:dyDescent="0.25">
      <c r="B42" s="20" t="s">
        <v>235</v>
      </c>
      <c r="C42" s="11">
        <v>3</v>
      </c>
      <c r="D42" s="11">
        <f>COUNTIF(HR_Data[WorkLifeBalance], $C42)</f>
        <v>893</v>
      </c>
      <c r="E42" s="8">
        <f>$D42/COUNTA(HR_Data[WorkLifeBalance])*100</f>
        <v>60.748299319727892</v>
      </c>
      <c r="F42" s="8">
        <f>COUNTIFS(HR_Data[WorkLifeBalance], $C42, HR_Data[Attrition], "Yes")/$D42*100</f>
        <v>14.221724524076148</v>
      </c>
    </row>
    <row r="43" spans="2:7" x14ac:dyDescent="0.25">
      <c r="B43" s="22" t="s">
        <v>236</v>
      </c>
      <c r="C43" s="11">
        <v>4</v>
      </c>
      <c r="D43" s="11">
        <f>COUNTIF(HR_Data[WorkLifeBalance], $C43)</f>
        <v>153</v>
      </c>
      <c r="E43" s="8">
        <f>$D43/COUNTA(HR_Data[WorkLifeBalance])*100</f>
        <v>10.408163265306122</v>
      </c>
      <c r="F43" s="8">
        <f>COUNTIFS(HR_Data[WorkLifeBalance], $C43, HR_Data[Attrition], "Yes")/$D43*100</f>
        <v>17.647058823529413</v>
      </c>
    </row>
    <row r="46" spans="2:7" ht="18.75" x14ac:dyDescent="0.3">
      <c r="B46" s="37" t="s">
        <v>238</v>
      </c>
      <c r="C46" s="37"/>
      <c r="D46" s="37"/>
      <c r="E46" s="37"/>
      <c r="F46" s="37"/>
      <c r="G46" s="37"/>
    </row>
    <row r="47" spans="2:7" x14ac:dyDescent="0.25">
      <c r="B47" s="11" t="s">
        <v>4</v>
      </c>
      <c r="C47" s="11" t="s">
        <v>226</v>
      </c>
      <c r="D47" s="11" t="s">
        <v>227</v>
      </c>
      <c r="E47" s="11" t="s">
        <v>228</v>
      </c>
      <c r="F47" s="11" t="s">
        <v>229</v>
      </c>
      <c r="G47" s="11" t="s">
        <v>239</v>
      </c>
    </row>
    <row r="48" spans="2:7" x14ac:dyDescent="0.25">
      <c r="B48" s="11" t="s">
        <v>61</v>
      </c>
      <c r="C48" s="8">
        <f>AVERAGEIF(HR_Data[Department], $B48, HR_Data[JobSatisfaction])</f>
        <v>2.6031746031746033</v>
      </c>
      <c r="D48" s="8">
        <f>AVERAGEIF(HR_Data[Department], $B48, HR_Data[EnvironmentSatisfaction])</f>
        <v>2.6825396825396823</v>
      </c>
      <c r="E48" s="8">
        <f>AVERAGEIF(HR_Data[Department], $B48, HR_Data[RelationshipSatisfaction])</f>
        <v>2.8888888888888888</v>
      </c>
      <c r="F48" s="8">
        <f>AVERAGEIF(HR_Data[Department], $B48, HR_Data[WorkLifeBalance])</f>
        <v>2.9206349206349205</v>
      </c>
      <c r="G48" s="8">
        <f>AVERAGE($C48:F48)</f>
        <v>2.7738095238095237</v>
      </c>
    </row>
    <row r="49" spans="2:7" x14ac:dyDescent="0.25">
      <c r="B49" s="11" t="s">
        <v>37</v>
      </c>
      <c r="C49" s="8">
        <f>AVERAGEIF(HR_Data[Department], $B49, HR_Data[JobSatisfaction])</f>
        <v>2.7511210762331837</v>
      </c>
      <c r="D49" s="8">
        <f>AVERAGEIF(HR_Data[Department], $B49, HR_Data[EnvironmentSatisfaction])</f>
        <v>2.6793721973094171</v>
      </c>
      <c r="E49" s="8">
        <f>AVERAGEIF(HR_Data[Department], $B49, HR_Data[RelationshipSatisfaction])</f>
        <v>2.695067264573991</v>
      </c>
      <c r="F49" s="8">
        <f>AVERAGEIF(HR_Data[Department], $B49, HR_Data[WorkLifeBalance])</f>
        <v>2.8161434977578477</v>
      </c>
      <c r="G49" s="8">
        <f>AVERAGE($C49:F49)</f>
        <v>2.7354260089686098</v>
      </c>
    </row>
    <row r="50" spans="2:7" x14ac:dyDescent="0.25">
      <c r="B50" s="11" t="s">
        <v>45</v>
      </c>
      <c r="C50" s="8">
        <f>AVERAGEIF(HR_Data[Department], $B50, HR_Data[JobSatisfaction])</f>
        <v>2.7263267429760667</v>
      </c>
      <c r="D50" s="8">
        <f>AVERAGEIF(HR_Data[Department], $B50, HR_Data[EnvironmentSatisfaction])</f>
        <v>2.7440166493236213</v>
      </c>
      <c r="E50" s="8">
        <f>AVERAGEIF(HR_Data[Department], $B50, HR_Data[RelationshipSatisfaction])</f>
        <v>2.7086368366285121</v>
      </c>
      <c r="F50" s="8">
        <f>AVERAGEIF(HR_Data[Department], $B50, HR_Data[WorkLifeBalance])</f>
        <v>2.7252861602497398</v>
      </c>
      <c r="G50" s="8">
        <f>AVERAGE($C50:F50)</f>
        <v>2.7260665972944849</v>
      </c>
    </row>
    <row r="53" spans="2:7" ht="18.75" x14ac:dyDescent="0.3">
      <c r="B53" s="37" t="s">
        <v>240</v>
      </c>
      <c r="C53" s="37"/>
      <c r="D53" s="37"/>
      <c r="E53" s="37"/>
      <c r="F53" s="37"/>
    </row>
    <row r="54" spans="2:7" x14ac:dyDescent="0.25">
      <c r="B54" s="11" t="s">
        <v>95</v>
      </c>
      <c r="C54" s="11" t="s">
        <v>75</v>
      </c>
      <c r="D54" s="11" t="s">
        <v>226</v>
      </c>
      <c r="E54" s="11" t="s">
        <v>227</v>
      </c>
      <c r="F54" s="11" t="s">
        <v>229</v>
      </c>
    </row>
    <row r="55" spans="2:7" x14ac:dyDescent="0.25">
      <c r="B55" s="11" t="s">
        <v>40</v>
      </c>
      <c r="C55" s="11">
        <f>COUNTIF(HR_Data[JobRole], $B55)</f>
        <v>326</v>
      </c>
      <c r="D55" s="8">
        <f>AVERAGEIF(HR_Data[JobRole], $B55, HR_Data[JobSatisfaction])</f>
        <v>2.7546012269938651</v>
      </c>
      <c r="E55" s="8">
        <f>AVERAGEIF(HR_Data[JobRole], $B55, HR_Data[EnvironmentSatisfaction])</f>
        <v>2.6717791411042944</v>
      </c>
      <c r="F55" s="8">
        <f>AVERAGEIF(HR_Data[JobRole], $B55, HR_Data[WorkLifeBalance])</f>
        <v>2.8036809815950918</v>
      </c>
    </row>
    <row r="56" spans="2:7" x14ac:dyDescent="0.25">
      <c r="B56" s="11" t="s">
        <v>47</v>
      </c>
      <c r="C56" s="11">
        <f>COUNTIF(HR_Data[JobRole], $B56)</f>
        <v>292</v>
      </c>
      <c r="D56" s="8">
        <f>AVERAGEIF(HR_Data[JobRole], $B56, HR_Data[JobSatisfaction])</f>
        <v>2.7739726027397262</v>
      </c>
      <c r="E56" s="8">
        <f>AVERAGEIF(HR_Data[JobRole], $B56, HR_Data[EnvironmentSatisfaction])</f>
        <v>2.7260273972602738</v>
      </c>
      <c r="F56" s="8">
        <f>AVERAGEIF(HR_Data[JobRole], $B56, HR_Data[WorkLifeBalance])</f>
        <v>2.6780821917808217</v>
      </c>
    </row>
    <row r="57" spans="2:7" x14ac:dyDescent="0.25">
      <c r="B57" s="11" t="s">
        <v>50</v>
      </c>
      <c r="C57" s="11">
        <f>COUNTIF(HR_Data[JobRole], $B57)</f>
        <v>259</v>
      </c>
      <c r="D57" s="8">
        <f>AVERAGEIF(HR_Data[JobRole], $B57, HR_Data[JobSatisfaction])</f>
        <v>2.6911196911196913</v>
      </c>
      <c r="E57" s="8">
        <f>AVERAGEIF(HR_Data[JobRole], $B57, HR_Data[EnvironmentSatisfaction])</f>
        <v>2.718146718146718</v>
      </c>
      <c r="F57" s="8">
        <f>AVERAGEIF(HR_Data[JobRole], $B57, HR_Data[WorkLifeBalance])</f>
        <v>2.718146718146718</v>
      </c>
    </row>
    <row r="58" spans="2:7" x14ac:dyDescent="0.25">
      <c r="B58" s="11" t="s">
        <v>53</v>
      </c>
      <c r="C58" s="11">
        <f>COUNTIF(HR_Data[JobRole], $B58)</f>
        <v>145</v>
      </c>
      <c r="D58" s="8">
        <f>AVERAGEIF(HR_Data[JobRole], $B58, HR_Data[JobSatisfaction])</f>
        <v>2.682758620689655</v>
      </c>
      <c r="E58" s="8">
        <f>AVERAGEIF(HR_Data[JobRole], $B58, HR_Data[EnvironmentSatisfaction])</f>
        <v>2.9172413793103447</v>
      </c>
      <c r="F58" s="8">
        <f>AVERAGEIF(HR_Data[JobRole], $B58, HR_Data[WorkLifeBalance])</f>
        <v>2.7655172413793103</v>
      </c>
    </row>
    <row r="59" spans="2:7" x14ac:dyDescent="0.25">
      <c r="B59" s="11" t="s">
        <v>54</v>
      </c>
      <c r="C59" s="11">
        <f>COUNTIF(HR_Data[JobRole], $B59)</f>
        <v>131</v>
      </c>
      <c r="D59" s="8">
        <f>AVERAGEIF(HR_Data[JobRole], $B59, HR_Data[JobSatisfaction])</f>
        <v>2.7862595419847329</v>
      </c>
      <c r="E59" s="8">
        <f>AVERAGEIF(HR_Data[JobRole], $B59, HR_Data[EnvironmentSatisfaction])</f>
        <v>2.7709923664122136</v>
      </c>
      <c r="F59" s="8">
        <f>AVERAGEIF(HR_Data[JobRole], $B59, HR_Data[WorkLifeBalance])</f>
        <v>2.7022900763358777</v>
      </c>
    </row>
    <row r="60" spans="2:7" x14ac:dyDescent="0.25">
      <c r="B60" s="11" t="s">
        <v>56</v>
      </c>
      <c r="C60" s="11">
        <f>COUNTIF(HR_Data[JobRole], $B60)</f>
        <v>102</v>
      </c>
      <c r="D60" s="8">
        <f>AVERAGEIF(HR_Data[JobRole], $B60, HR_Data[JobSatisfaction])</f>
        <v>2.7058823529411766</v>
      </c>
      <c r="E60" s="8">
        <f>AVERAGEIF(HR_Data[JobRole], $B60, HR_Data[EnvironmentSatisfaction])</f>
        <v>2.7647058823529411</v>
      </c>
      <c r="F60" s="8">
        <f>AVERAGEIF(HR_Data[JobRole], $B60, HR_Data[WorkLifeBalance])</f>
        <v>2.7745098039215685</v>
      </c>
    </row>
    <row r="61" spans="2:7" x14ac:dyDescent="0.25">
      <c r="B61" s="11" t="s">
        <v>57</v>
      </c>
      <c r="C61" s="11">
        <f>COUNTIF(HR_Data[JobRole], $B61)</f>
        <v>83</v>
      </c>
      <c r="D61" s="8">
        <f>AVERAGEIF(HR_Data[JobRole], $B61, HR_Data[JobSatisfaction])</f>
        <v>2.7349397590361444</v>
      </c>
      <c r="E61" s="8">
        <f>AVERAGEIF(HR_Data[JobRole], $B61, HR_Data[EnvironmentSatisfaction])</f>
        <v>2.7349397590361444</v>
      </c>
      <c r="F61" s="8">
        <f>AVERAGEIF(HR_Data[JobRole], $B61, HR_Data[WorkLifeBalance])</f>
        <v>2.8915662650602409</v>
      </c>
    </row>
    <row r="62" spans="2:7" x14ac:dyDescent="0.25">
      <c r="B62" s="11" t="s">
        <v>58</v>
      </c>
      <c r="C62" s="11">
        <f>COUNTIF(HR_Data[JobRole], $B62)</f>
        <v>80</v>
      </c>
      <c r="D62" s="8">
        <f>AVERAGEIF(HR_Data[JobRole], $B62, HR_Data[JobSatisfaction])</f>
        <v>2.7</v>
      </c>
      <c r="E62" s="8">
        <f>AVERAGEIF(HR_Data[JobRole], $B62, HR_Data[EnvironmentSatisfaction])</f>
        <v>2.5</v>
      </c>
      <c r="F62" s="8">
        <f>AVERAGEIF(HR_Data[JobRole], $B62, HR_Data[WorkLifeBalance])</f>
        <v>2.8624999999999998</v>
      </c>
    </row>
    <row r="63" spans="2:7" x14ac:dyDescent="0.25">
      <c r="B63" s="11" t="s">
        <v>61</v>
      </c>
      <c r="C63" s="11">
        <f>COUNTIF(HR_Data[JobRole], $B63)</f>
        <v>52</v>
      </c>
      <c r="D63" s="8">
        <f>AVERAGEIF(HR_Data[JobRole], $B63, HR_Data[JobSatisfaction])</f>
        <v>2.5576923076923075</v>
      </c>
      <c r="E63" s="8">
        <f>AVERAGEIF(HR_Data[JobRole], $B63, HR_Data[EnvironmentSatisfaction])</f>
        <v>2.5961538461538463</v>
      </c>
      <c r="F63" s="8">
        <f>AVERAGEIF(HR_Data[JobRole], $B63, HR_Data[WorkLifeBalance])</f>
        <v>2.9230769230769229</v>
      </c>
    </row>
    <row r="66" spans="2:5" ht="18.75" x14ac:dyDescent="0.3">
      <c r="B66" s="37" t="s">
        <v>241</v>
      </c>
      <c r="C66" s="37"/>
      <c r="D66" s="37"/>
    </row>
    <row r="67" spans="2:5" x14ac:dyDescent="0.25">
      <c r="B67" s="11" t="s">
        <v>226</v>
      </c>
      <c r="C67" s="11" t="s">
        <v>80</v>
      </c>
      <c r="D67" s="11" t="s">
        <v>75</v>
      </c>
    </row>
    <row r="68" spans="2:5" x14ac:dyDescent="0.25">
      <c r="B68" s="11">
        <v>1</v>
      </c>
      <c r="C68" s="8">
        <f>AVERAGEIF(HR_Data[JobSatisfaction], $B68, HR_Data[MonthlyIncome])</f>
        <v>6561.5709342560558</v>
      </c>
      <c r="D68" s="11">
        <f>COUNTIF(HR_Data[JobSatisfaction], $B68)</f>
        <v>289</v>
      </c>
    </row>
    <row r="69" spans="2:5" x14ac:dyDescent="0.25">
      <c r="B69" s="11">
        <v>2</v>
      </c>
      <c r="C69" s="8">
        <f>AVERAGEIF(HR_Data[JobSatisfaction], $B69, HR_Data[MonthlyIncome])</f>
        <v>6527.3285714285712</v>
      </c>
      <c r="D69" s="11">
        <f>COUNTIF(HR_Data[JobSatisfaction], $B69)</f>
        <v>280</v>
      </c>
    </row>
    <row r="70" spans="2:5" x14ac:dyDescent="0.25">
      <c r="B70" s="11">
        <v>3</v>
      </c>
      <c r="C70" s="8">
        <f>AVERAGEIF(HR_Data[JobSatisfaction], $B70, HR_Data[MonthlyIncome])</f>
        <v>6480.4954751131218</v>
      </c>
      <c r="D70" s="11">
        <f>COUNTIF(HR_Data[JobSatisfaction], $B70)</f>
        <v>442</v>
      </c>
    </row>
    <row r="71" spans="2:5" x14ac:dyDescent="0.25">
      <c r="B71" s="11">
        <v>4</v>
      </c>
      <c r="C71" s="8">
        <f>AVERAGEIF(HR_Data[JobSatisfaction], $B71, HR_Data[MonthlyIncome])</f>
        <v>6472.7320261437908</v>
      </c>
      <c r="D71" s="11">
        <f>COUNTIF(HR_Data[JobSatisfaction], $B71)</f>
        <v>459</v>
      </c>
    </row>
    <row r="74" spans="2:5" ht="18.75" x14ac:dyDescent="0.3">
      <c r="B74" s="37" t="s">
        <v>242</v>
      </c>
      <c r="C74" s="37"/>
      <c r="D74" s="37"/>
      <c r="E74" s="37"/>
    </row>
    <row r="75" spans="2:5" x14ac:dyDescent="0.25">
      <c r="B75" t="s">
        <v>109</v>
      </c>
      <c r="C75" t="s">
        <v>243</v>
      </c>
      <c r="D75" t="s">
        <v>244</v>
      </c>
      <c r="E75" t="s">
        <v>245</v>
      </c>
    </row>
    <row r="76" spans="2:5" x14ac:dyDescent="0.25">
      <c r="B76" t="s">
        <v>226</v>
      </c>
      <c r="C76" s="15">
        <f>AVERAGEIF(HR_Data[Attrition],"No", HR_Data[JobSatisfaction])</f>
        <v>2.778588807785888</v>
      </c>
      <c r="D76" s="15">
        <f>AVERAGEIF(HR_Data[Attrition],"Yes", HR_Data[JobSatisfaction])</f>
        <v>2.4683544303797467</v>
      </c>
      <c r="E76" s="19">
        <f>$C76-$D76</f>
        <v>0.31023437740614135</v>
      </c>
    </row>
    <row r="77" spans="2:5" x14ac:dyDescent="0.25">
      <c r="B77" t="s">
        <v>227</v>
      </c>
      <c r="C77" s="15">
        <f>AVERAGEIF(HR_Data[Attrition],"No", HR_Data[EnvironmentSatisfaction])</f>
        <v>2.7712895377128954</v>
      </c>
      <c r="D77" s="15">
        <f>AVERAGEIF(HR_Data[Attrition],"Yes", HR_Data[EnvironmentSatisfaction])</f>
        <v>2.4641350210970465</v>
      </c>
      <c r="E77" s="19">
        <f t="shared" ref="E77:E78" si="0">$C77-$D77</f>
        <v>0.30715451661584892</v>
      </c>
    </row>
    <row r="78" spans="2:5" x14ac:dyDescent="0.25">
      <c r="B78" t="s">
        <v>228</v>
      </c>
      <c r="C78" s="15">
        <f>AVERAGEIF(HR_Data[Attrition],"No", HR_Data[RelationshipSatisfaction])</f>
        <v>2.7339821573398218</v>
      </c>
      <c r="D78" s="15">
        <f>AVERAGEIF(HR_Data[Attrition],"Yes", HR_Data[RelationshipSatisfaction])</f>
        <v>2.5991561181434597</v>
      </c>
      <c r="E78" s="19">
        <f t="shared" si="0"/>
        <v>0.13482603919636205</v>
      </c>
    </row>
    <row r="81" spans="2:6" ht="18.75" x14ac:dyDescent="0.3">
      <c r="B81" s="37" t="s">
        <v>246</v>
      </c>
      <c r="C81" s="37"/>
      <c r="D81" s="37"/>
      <c r="E81" s="37"/>
      <c r="F81" s="37"/>
    </row>
    <row r="82" spans="2:6" x14ac:dyDescent="0.25">
      <c r="B82" s="11" t="s">
        <v>247</v>
      </c>
      <c r="C82" s="11" t="s">
        <v>75</v>
      </c>
      <c r="D82" s="11" t="s">
        <v>226</v>
      </c>
      <c r="E82" s="11" t="s">
        <v>248</v>
      </c>
      <c r="F82" s="11" t="s">
        <v>180</v>
      </c>
    </row>
    <row r="83" spans="2:6" x14ac:dyDescent="0.25">
      <c r="B83" s="11" t="s">
        <v>35</v>
      </c>
      <c r="C83" s="11">
        <f>COUNTIF(HR_Data[OverTime], $B83)</f>
        <v>416</v>
      </c>
      <c r="D83" s="8">
        <f>AVERAGEIF(HR_Data[OverTime], $B83, HR_Data[JobSatisfaction])</f>
        <v>2.7716346153846154</v>
      </c>
      <c r="E83" s="8">
        <f>AVERAGEIF(HR_Data[OverTime],  $B83, HR_Data[WorkLifeBalance])</f>
        <v>2.7307692307692308</v>
      </c>
      <c r="F83" s="8">
        <f>COUNTIFS(HR_Data[OverTime], $B83, HR_Data[Attrition], "Yes")/$C83*100</f>
        <v>30.528846153846157</v>
      </c>
    </row>
    <row r="84" spans="2:6" x14ac:dyDescent="0.25">
      <c r="B84" s="11" t="s">
        <v>43</v>
      </c>
      <c r="C84" s="11">
        <f>COUNTIF(HR_Data[OverTime], $B84)</f>
        <v>1054</v>
      </c>
      <c r="D84" s="8">
        <f>AVERAGEIF(HR_Data[OverTime], $B84, HR_Data[JobSatisfaction])</f>
        <v>2.7115749525616697</v>
      </c>
      <c r="E84" s="8">
        <f>AVERAGEIF(HR_Data[OverTime],  $B84, HR_Data[WorkLifeBalance])</f>
        <v>2.7732447817836814</v>
      </c>
      <c r="F84" s="8">
        <f>COUNTIFS(HR_Data[OverTime], $B84, HR_Data[Attrition], "Yes")/$C84*100</f>
        <v>10.436432637571158</v>
      </c>
    </row>
  </sheetData>
  <mergeCells count="11">
    <mergeCell ref="B81:F81"/>
    <mergeCell ref="B38:F38"/>
    <mergeCell ref="B46:G46"/>
    <mergeCell ref="B53:F53"/>
    <mergeCell ref="B66:D66"/>
    <mergeCell ref="B74:E74"/>
    <mergeCell ref="A1:I2"/>
    <mergeCell ref="B5:C5"/>
    <mergeCell ref="B14:F14"/>
    <mergeCell ref="B22:F22"/>
    <mergeCell ref="B30:F30"/>
  </mergeCells>
  <conditionalFormatting sqref="B76:D7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F83:F84" calculatedColumn="1"/>
  </ignoredErrors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15A2-56B6-49D5-8E40-7602B82EDB48}">
  <dimension ref="B3:L85"/>
  <sheetViews>
    <sheetView zoomScale="39" zoomScaleNormal="70" workbookViewId="0">
      <selection activeCell="H94" sqref="H94"/>
    </sheetView>
  </sheetViews>
  <sheetFormatPr defaultRowHeight="15" x14ac:dyDescent="0.25"/>
  <cols>
    <col min="2" max="2" width="28.85546875" bestFit="1" customWidth="1"/>
    <col min="3" max="3" width="26.140625" bestFit="1" customWidth="1"/>
    <col min="4" max="4" width="26.5703125" bestFit="1" customWidth="1"/>
    <col min="5" max="5" width="26.140625" bestFit="1" customWidth="1"/>
    <col min="6" max="6" width="26.5703125" bestFit="1" customWidth="1"/>
    <col min="7" max="7" width="26.140625" bestFit="1" customWidth="1"/>
    <col min="8" max="8" width="26.5703125" bestFit="1" customWidth="1"/>
    <col min="9" max="9" width="31.140625" bestFit="1" customWidth="1"/>
    <col min="10" max="10" width="31.5703125" bestFit="1" customWidth="1"/>
    <col min="11" max="11" width="31.140625" bestFit="1" customWidth="1"/>
    <col min="12" max="12" width="21.28515625" bestFit="1" customWidth="1"/>
    <col min="25" max="25" width="25.7109375" bestFit="1" customWidth="1"/>
    <col min="26" max="26" width="16.28515625" bestFit="1" customWidth="1"/>
    <col min="27" max="27" width="4.42578125" bestFit="1" customWidth="1"/>
    <col min="28" max="28" width="11.28515625" bestFit="1" customWidth="1"/>
  </cols>
  <sheetData>
    <row r="3" spans="2:10" ht="18.75" x14ac:dyDescent="0.3">
      <c r="B3" s="46" t="s">
        <v>254</v>
      </c>
      <c r="C3" s="46"/>
      <c r="D3" s="46"/>
      <c r="E3" s="46"/>
      <c r="G3" s="46" t="s">
        <v>256</v>
      </c>
      <c r="H3" s="46"/>
      <c r="I3" s="46"/>
      <c r="J3" s="46"/>
    </row>
    <row r="4" spans="2:10" x14ac:dyDescent="0.25">
      <c r="B4" s="23" t="s">
        <v>249</v>
      </c>
      <c r="C4" t="s">
        <v>251</v>
      </c>
      <c r="D4" t="s">
        <v>253</v>
      </c>
      <c r="E4" t="s">
        <v>252</v>
      </c>
      <c r="G4" s="23" t="s">
        <v>249</v>
      </c>
      <c r="H4" t="s">
        <v>257</v>
      </c>
      <c r="I4" t="s">
        <v>258</v>
      </c>
      <c r="J4" t="s">
        <v>259</v>
      </c>
    </row>
    <row r="5" spans="2:10" x14ac:dyDescent="0.25">
      <c r="B5" s="24" t="s">
        <v>61</v>
      </c>
      <c r="C5" s="26">
        <v>75932</v>
      </c>
      <c r="D5" s="26">
        <v>63</v>
      </c>
      <c r="E5" s="27">
        <v>4.2857142857142858E-2</v>
      </c>
      <c r="G5" s="24" t="s">
        <v>61</v>
      </c>
      <c r="H5" s="26">
        <v>6654.5079365079364</v>
      </c>
      <c r="I5" s="26">
        <v>3.1428571428571428</v>
      </c>
      <c r="J5" s="26">
        <v>63</v>
      </c>
    </row>
    <row r="6" spans="2:10" x14ac:dyDescent="0.25">
      <c r="B6" s="25" t="s">
        <v>61</v>
      </c>
      <c r="C6" s="26">
        <v>64289</v>
      </c>
      <c r="D6" s="26">
        <v>52</v>
      </c>
      <c r="E6" s="27">
        <v>0.82539682539682535</v>
      </c>
      <c r="G6" s="25">
        <v>1</v>
      </c>
      <c r="H6" s="26">
        <v>2733.212121212121</v>
      </c>
      <c r="I6" s="26">
        <v>3.1212121212121211</v>
      </c>
      <c r="J6" s="26">
        <v>33</v>
      </c>
    </row>
    <row r="7" spans="2:10" x14ac:dyDescent="0.25">
      <c r="B7" s="25" t="s">
        <v>56</v>
      </c>
      <c r="C7" s="26">
        <v>11643</v>
      </c>
      <c r="D7" s="26">
        <v>11</v>
      </c>
      <c r="E7" s="27">
        <v>0.17460317460317459</v>
      </c>
      <c r="G7" s="25">
        <v>2</v>
      </c>
      <c r="H7" s="26">
        <v>5563.4615384615381</v>
      </c>
      <c r="I7" s="26">
        <v>3.1538461538461537</v>
      </c>
      <c r="J7" s="26">
        <v>13</v>
      </c>
    </row>
    <row r="8" spans="2:10" x14ac:dyDescent="0.25">
      <c r="B8" s="24" t="s">
        <v>45</v>
      </c>
      <c r="C8" s="26">
        <v>967250</v>
      </c>
      <c r="D8" s="26">
        <v>961</v>
      </c>
      <c r="E8" s="27">
        <v>0.65374149659863945</v>
      </c>
      <c r="G8" s="25">
        <v>3</v>
      </c>
      <c r="H8" s="26">
        <v>9623</v>
      </c>
      <c r="I8" s="26">
        <v>3.1666666666666665</v>
      </c>
      <c r="J8" s="26">
        <v>6</v>
      </c>
    </row>
    <row r="9" spans="2:10" x14ac:dyDescent="0.25">
      <c r="B9" s="25" t="s">
        <v>54</v>
      </c>
      <c r="C9" s="26">
        <v>140797</v>
      </c>
      <c r="D9" s="26">
        <v>131</v>
      </c>
      <c r="E9" s="27">
        <v>0.13631633714880334</v>
      </c>
      <c r="G9" s="25">
        <v>4</v>
      </c>
      <c r="H9" s="26">
        <v>16147.5</v>
      </c>
      <c r="I9" s="26">
        <v>3.25</v>
      </c>
      <c r="J9" s="26">
        <v>4</v>
      </c>
    </row>
    <row r="10" spans="2:10" x14ac:dyDescent="0.25">
      <c r="B10" s="25" t="s">
        <v>50</v>
      </c>
      <c r="C10" s="26">
        <v>258793</v>
      </c>
      <c r="D10" s="26">
        <v>259</v>
      </c>
      <c r="E10" s="27">
        <v>0.26951092611862643</v>
      </c>
      <c r="G10" s="25">
        <v>5</v>
      </c>
      <c r="H10" s="26">
        <v>19197.857142857141</v>
      </c>
      <c r="I10" s="26">
        <v>3.1428571428571428</v>
      </c>
      <c r="J10" s="26">
        <v>7</v>
      </c>
    </row>
    <row r="11" spans="2:10" x14ac:dyDescent="0.25">
      <c r="B11" s="25" t="s">
        <v>56</v>
      </c>
      <c r="C11" s="26">
        <v>50639</v>
      </c>
      <c r="D11" s="26">
        <v>54</v>
      </c>
      <c r="E11" s="27">
        <v>5.6191467221644122E-2</v>
      </c>
      <c r="G11" s="24" t="s">
        <v>45</v>
      </c>
      <c r="H11" s="26">
        <v>6281.2528616024974</v>
      </c>
      <c r="I11" s="26">
        <v>3.1623309053069719</v>
      </c>
      <c r="J11" s="26">
        <v>961</v>
      </c>
    </row>
    <row r="12" spans="2:10" x14ac:dyDescent="0.25">
      <c r="B12" s="25" t="s">
        <v>53</v>
      </c>
      <c r="C12" s="26">
        <v>144820</v>
      </c>
      <c r="D12" s="26">
        <v>145</v>
      </c>
      <c r="E12" s="27">
        <v>0.15088449531737774</v>
      </c>
      <c r="G12" s="25">
        <v>1</v>
      </c>
      <c r="H12" s="26">
        <v>2840.0645161290322</v>
      </c>
      <c r="I12" s="26">
        <v>3.1728110599078341</v>
      </c>
      <c r="J12" s="26">
        <v>434</v>
      </c>
    </row>
    <row r="13" spans="2:10" x14ac:dyDescent="0.25">
      <c r="B13" s="25" t="s">
        <v>58</v>
      </c>
      <c r="C13" s="26">
        <v>79183</v>
      </c>
      <c r="D13" s="26">
        <v>80</v>
      </c>
      <c r="E13" s="27">
        <v>8.3246618106139439E-2</v>
      </c>
      <c r="G13" s="25">
        <v>2</v>
      </c>
      <c r="H13" s="26">
        <v>5291.2384341637007</v>
      </c>
      <c r="I13" s="26">
        <v>3.1494661921708187</v>
      </c>
      <c r="J13" s="26">
        <v>281</v>
      </c>
    </row>
    <row r="14" spans="2:10" x14ac:dyDescent="0.25">
      <c r="B14" s="25" t="s">
        <v>47</v>
      </c>
      <c r="C14" s="26">
        <v>293018</v>
      </c>
      <c r="D14" s="26">
        <v>292</v>
      </c>
      <c r="E14" s="27">
        <v>0.30385015608740895</v>
      </c>
      <c r="G14" s="25">
        <v>3</v>
      </c>
      <c r="H14" s="26">
        <v>10170.488372093023</v>
      </c>
      <c r="I14" s="26">
        <v>3.1705426356589146</v>
      </c>
      <c r="J14" s="26">
        <v>129</v>
      </c>
    </row>
    <row r="15" spans="2:10" x14ac:dyDescent="0.25">
      <c r="B15" s="24" t="s">
        <v>37</v>
      </c>
      <c r="C15" s="26">
        <v>463370</v>
      </c>
      <c r="D15" s="26">
        <v>446</v>
      </c>
      <c r="E15" s="27">
        <v>0.30340136054421768</v>
      </c>
      <c r="G15" s="25">
        <v>4</v>
      </c>
      <c r="H15" s="26">
        <v>15634.676470588236</v>
      </c>
      <c r="I15" s="26">
        <v>3.1911764705882355</v>
      </c>
      <c r="J15" s="26">
        <v>68</v>
      </c>
    </row>
    <row r="16" spans="2:10" x14ac:dyDescent="0.25">
      <c r="B16" s="25" t="s">
        <v>56</v>
      </c>
      <c r="C16" s="26">
        <v>34373</v>
      </c>
      <c r="D16" s="26">
        <v>37</v>
      </c>
      <c r="E16" s="27">
        <v>8.2959641255605385E-2</v>
      </c>
      <c r="G16" s="25">
        <v>5</v>
      </c>
      <c r="H16" s="26">
        <v>19218.510204081631</v>
      </c>
      <c r="I16" s="26">
        <v>3.0816326530612246</v>
      </c>
      <c r="J16" s="26">
        <v>49</v>
      </c>
    </row>
    <row r="17" spans="2:11" x14ac:dyDescent="0.25">
      <c r="B17" s="25" t="s">
        <v>40</v>
      </c>
      <c r="C17" s="26">
        <v>342656</v>
      </c>
      <c r="D17" s="26">
        <v>326</v>
      </c>
      <c r="E17" s="27">
        <v>0.73094170403587444</v>
      </c>
      <c r="G17" s="24" t="s">
        <v>37</v>
      </c>
      <c r="H17" s="26">
        <v>6959.17264573991</v>
      </c>
      <c r="I17" s="26">
        <v>3.1367713004484306</v>
      </c>
      <c r="J17" s="26">
        <v>446</v>
      </c>
    </row>
    <row r="18" spans="2:11" x14ac:dyDescent="0.25">
      <c r="B18" s="25" t="s">
        <v>57</v>
      </c>
      <c r="C18" s="26">
        <v>86341</v>
      </c>
      <c r="D18" s="26">
        <v>83</v>
      </c>
      <c r="E18" s="27">
        <v>0.18609865470852019</v>
      </c>
      <c r="G18" s="25">
        <v>1</v>
      </c>
      <c r="H18" s="26">
        <v>2506.7236842105262</v>
      </c>
      <c r="I18" s="26">
        <v>3.1184210526315788</v>
      </c>
      <c r="J18" s="26">
        <v>76</v>
      </c>
    </row>
    <row r="19" spans="2:11" x14ac:dyDescent="0.25">
      <c r="B19" s="24" t="s">
        <v>250</v>
      </c>
      <c r="C19" s="26">
        <v>1506552</v>
      </c>
      <c r="D19" s="26">
        <v>1470</v>
      </c>
      <c r="E19" s="27">
        <v>1</v>
      </c>
      <c r="G19" s="25">
        <v>2</v>
      </c>
      <c r="H19" s="26">
        <v>5746.0541666666668</v>
      </c>
      <c r="I19" s="26">
        <v>3.15</v>
      </c>
      <c r="J19" s="26">
        <v>240</v>
      </c>
    </row>
    <row r="20" spans="2:11" x14ac:dyDescent="0.25">
      <c r="G20" s="25">
        <v>3</v>
      </c>
      <c r="H20" s="26">
        <v>9282.2891566265062</v>
      </c>
      <c r="I20" s="26">
        <v>3.1204819277108435</v>
      </c>
      <c r="J20" s="26">
        <v>83</v>
      </c>
    </row>
    <row r="21" spans="2:11" x14ac:dyDescent="0.25">
      <c r="G21" s="25">
        <v>4</v>
      </c>
      <c r="H21" s="26">
        <v>15166.264705882353</v>
      </c>
      <c r="I21" s="26">
        <v>3.1176470588235294</v>
      </c>
      <c r="J21" s="26">
        <v>34</v>
      </c>
    </row>
    <row r="22" spans="2:11" x14ac:dyDescent="0.25">
      <c r="G22" s="25">
        <v>5</v>
      </c>
      <c r="H22" s="26">
        <v>19088</v>
      </c>
      <c r="I22" s="26">
        <v>3.1538461538461537</v>
      </c>
      <c r="J22" s="26">
        <v>13</v>
      </c>
    </row>
    <row r="23" spans="2:11" ht="18.75" x14ac:dyDescent="0.3">
      <c r="B23" s="46" t="s">
        <v>274</v>
      </c>
      <c r="C23" s="46"/>
      <c r="D23" s="46"/>
      <c r="E23" s="46"/>
      <c r="G23" s="24" t="s">
        <v>250</v>
      </c>
      <c r="H23" s="26">
        <v>6502.931292517007</v>
      </c>
      <c r="I23" s="26">
        <v>3.1537414965986397</v>
      </c>
      <c r="J23" s="26">
        <v>1470</v>
      </c>
    </row>
    <row r="24" spans="2:11" x14ac:dyDescent="0.25">
      <c r="B24" s="23" t="s">
        <v>259</v>
      </c>
      <c r="C24" s="23" t="s">
        <v>260</v>
      </c>
    </row>
    <row r="25" spans="2:11" x14ac:dyDescent="0.25">
      <c r="B25" s="23" t="s">
        <v>249</v>
      </c>
      <c r="C25" t="s">
        <v>43</v>
      </c>
      <c r="D25" t="s">
        <v>35</v>
      </c>
      <c r="E25" t="s">
        <v>250</v>
      </c>
    </row>
    <row r="26" spans="2:11" x14ac:dyDescent="0.25">
      <c r="B26" s="24" t="s">
        <v>272</v>
      </c>
      <c r="C26" s="26">
        <v>16</v>
      </c>
      <c r="D26" s="26">
        <v>23</v>
      </c>
      <c r="E26" s="26">
        <v>39</v>
      </c>
    </row>
    <row r="27" spans="2:11" x14ac:dyDescent="0.25">
      <c r="B27" s="24" t="s">
        <v>273</v>
      </c>
      <c r="C27" s="26">
        <v>1217</v>
      </c>
      <c r="D27" s="26">
        <v>214</v>
      </c>
      <c r="E27" s="26">
        <v>1431</v>
      </c>
    </row>
    <row r="28" spans="2:11" x14ac:dyDescent="0.25">
      <c r="B28" s="24" t="s">
        <v>250</v>
      </c>
      <c r="C28" s="26">
        <v>1233</v>
      </c>
      <c r="D28" s="26">
        <v>237</v>
      </c>
      <c r="E28" s="26">
        <v>1470</v>
      </c>
    </row>
    <row r="29" spans="2:11" ht="18.75" x14ac:dyDescent="0.3">
      <c r="H29" s="46"/>
      <c r="I29" s="46"/>
      <c r="J29" s="46"/>
      <c r="K29" s="46"/>
    </row>
    <row r="32" spans="2:11" ht="18.75" x14ac:dyDescent="0.3">
      <c r="B32" s="46" t="s">
        <v>255</v>
      </c>
      <c r="C32" s="46"/>
      <c r="D32" s="46"/>
      <c r="E32" s="46"/>
      <c r="F32" s="46"/>
      <c r="G32" s="46"/>
      <c r="H32" s="46"/>
      <c r="I32" s="46"/>
      <c r="J32" s="46"/>
    </row>
    <row r="33" spans="2:10" x14ac:dyDescent="0.25">
      <c r="C33" s="23" t="s">
        <v>260</v>
      </c>
    </row>
    <row r="34" spans="2:10" x14ac:dyDescent="0.25">
      <c r="C34" t="s">
        <v>61</v>
      </c>
      <c r="E34" t="s">
        <v>45</v>
      </c>
      <c r="G34" t="s">
        <v>37</v>
      </c>
      <c r="I34" t="s">
        <v>261</v>
      </c>
      <c r="J34" t="s">
        <v>262</v>
      </c>
    </row>
    <row r="35" spans="2:10" x14ac:dyDescent="0.25">
      <c r="B35" s="23" t="s">
        <v>249</v>
      </c>
      <c r="C35" t="s">
        <v>259</v>
      </c>
      <c r="D35" t="s">
        <v>257</v>
      </c>
      <c r="E35" t="s">
        <v>259</v>
      </c>
      <c r="F35" t="s">
        <v>257</v>
      </c>
      <c r="G35" t="s">
        <v>259</v>
      </c>
      <c r="H35" t="s">
        <v>257</v>
      </c>
    </row>
    <row r="36" spans="2:10" x14ac:dyDescent="0.25">
      <c r="B36" s="24">
        <v>0</v>
      </c>
      <c r="C36" s="26"/>
      <c r="D36" s="26"/>
      <c r="E36" s="26">
        <v>27</v>
      </c>
      <c r="F36" s="26">
        <v>3856.5185185185187</v>
      </c>
      <c r="G36" s="26">
        <v>17</v>
      </c>
      <c r="H36" s="26">
        <v>4521.6470588235297</v>
      </c>
      <c r="I36" s="26">
        <v>44</v>
      </c>
      <c r="J36" s="26">
        <v>4113.5</v>
      </c>
    </row>
    <row r="37" spans="2:10" x14ac:dyDescent="0.25">
      <c r="B37" s="24">
        <v>1</v>
      </c>
      <c r="C37" s="26">
        <v>5</v>
      </c>
      <c r="D37" s="26">
        <v>2548.4</v>
      </c>
      <c r="E37" s="26">
        <v>122</v>
      </c>
      <c r="F37" s="26">
        <v>4356.6475409836066</v>
      </c>
      <c r="G37" s="26">
        <v>44</v>
      </c>
      <c r="H37" s="26">
        <v>5823.863636363636</v>
      </c>
      <c r="I37" s="26">
        <v>171</v>
      </c>
      <c r="J37" s="26">
        <v>4681.3040935672516</v>
      </c>
    </row>
    <row r="38" spans="2:10" x14ac:dyDescent="0.25">
      <c r="B38" s="24">
        <v>2</v>
      </c>
      <c r="C38" s="26">
        <v>8</v>
      </c>
      <c r="D38" s="26">
        <v>3408.25</v>
      </c>
      <c r="E38" s="26">
        <v>77</v>
      </c>
      <c r="F38" s="26">
        <v>4920.6753246753251</v>
      </c>
      <c r="G38" s="26">
        <v>42</v>
      </c>
      <c r="H38" s="26">
        <v>5308.0476190476193</v>
      </c>
      <c r="I38" s="26">
        <v>127</v>
      </c>
      <c r="J38" s="26">
        <v>4953.5118110236217</v>
      </c>
    </row>
    <row r="39" spans="2:10" x14ac:dyDescent="0.25">
      <c r="B39" s="24">
        <v>3</v>
      </c>
      <c r="C39" s="26">
        <v>8</v>
      </c>
      <c r="D39" s="26">
        <v>6068.125</v>
      </c>
      <c r="E39" s="26">
        <v>85</v>
      </c>
      <c r="F39" s="26">
        <v>4986.2352941176468</v>
      </c>
      <c r="G39" s="26">
        <v>35</v>
      </c>
      <c r="H39" s="26">
        <v>5078.2</v>
      </c>
      <c r="I39" s="26">
        <v>128</v>
      </c>
      <c r="J39" s="26">
        <v>5079</v>
      </c>
    </row>
    <row r="40" spans="2:10" x14ac:dyDescent="0.25">
      <c r="B40" s="24">
        <v>4</v>
      </c>
      <c r="C40" s="26">
        <v>4</v>
      </c>
      <c r="D40" s="26">
        <v>3937.5</v>
      </c>
      <c r="E40" s="26">
        <v>79</v>
      </c>
      <c r="F40" s="26">
        <v>5011.9493670886077</v>
      </c>
      <c r="G40" s="26">
        <v>27</v>
      </c>
      <c r="H40" s="26">
        <v>5570.0740740740739</v>
      </c>
      <c r="I40" s="26">
        <v>110</v>
      </c>
      <c r="J40" s="26">
        <v>5109.8727272727274</v>
      </c>
    </row>
    <row r="41" spans="2:10" x14ac:dyDescent="0.25">
      <c r="B41" s="24">
        <v>5</v>
      </c>
      <c r="C41" s="26">
        <v>11</v>
      </c>
      <c r="D41" s="26">
        <v>6682</v>
      </c>
      <c r="E41" s="26">
        <v>130</v>
      </c>
      <c r="F41" s="26">
        <v>5484.2307692307695</v>
      </c>
      <c r="G41" s="26">
        <v>55</v>
      </c>
      <c r="H41" s="26">
        <v>5994.7818181818184</v>
      </c>
      <c r="I41" s="26">
        <v>196</v>
      </c>
      <c r="J41" s="26">
        <v>5694.7193877551017</v>
      </c>
    </row>
    <row r="42" spans="2:10" x14ac:dyDescent="0.25">
      <c r="B42" s="24">
        <v>6</v>
      </c>
      <c r="C42" s="26">
        <v>3</v>
      </c>
      <c r="D42" s="26">
        <v>3748.3333333333335</v>
      </c>
      <c r="E42" s="26">
        <v>52</v>
      </c>
      <c r="F42" s="26">
        <v>5308.1538461538457</v>
      </c>
      <c r="G42" s="26">
        <v>21</v>
      </c>
      <c r="H42" s="26">
        <v>6312.333333333333</v>
      </c>
      <c r="I42" s="26">
        <v>76</v>
      </c>
      <c r="J42" s="26">
        <v>5524.0526315789475</v>
      </c>
    </row>
    <row r="43" spans="2:10" x14ac:dyDescent="0.25">
      <c r="B43" s="24">
        <v>7</v>
      </c>
      <c r="C43" s="26">
        <v>4</v>
      </c>
      <c r="D43" s="26">
        <v>7181.25</v>
      </c>
      <c r="E43" s="26">
        <v>57</v>
      </c>
      <c r="F43" s="26">
        <v>6567.3157894736842</v>
      </c>
      <c r="G43" s="26">
        <v>29</v>
      </c>
      <c r="H43" s="26">
        <v>7035.0689655172409</v>
      </c>
      <c r="I43" s="26">
        <v>90</v>
      </c>
      <c r="J43" s="26">
        <v>6745.3222222222221</v>
      </c>
    </row>
    <row r="44" spans="2:10" x14ac:dyDescent="0.25">
      <c r="B44" s="24">
        <v>8</v>
      </c>
      <c r="C44" s="26">
        <v>2</v>
      </c>
      <c r="D44" s="26">
        <v>4665.5</v>
      </c>
      <c r="E44" s="26">
        <v>52</v>
      </c>
      <c r="F44" s="26">
        <v>6419.5769230769229</v>
      </c>
      <c r="G44" s="26">
        <v>26</v>
      </c>
      <c r="H44" s="26">
        <v>6540.8076923076924</v>
      </c>
      <c r="I44" s="26">
        <v>80</v>
      </c>
      <c r="J44" s="26">
        <v>6415.125</v>
      </c>
    </row>
    <row r="45" spans="2:10" x14ac:dyDescent="0.25">
      <c r="B45" s="24">
        <v>9</v>
      </c>
      <c r="C45" s="26">
        <v>3</v>
      </c>
      <c r="D45" s="26">
        <v>7700.333333333333</v>
      </c>
      <c r="E45" s="26">
        <v>50</v>
      </c>
      <c r="F45" s="26">
        <v>7147.96</v>
      </c>
      <c r="G45" s="26">
        <v>29</v>
      </c>
      <c r="H45" s="26">
        <v>7245.3103448275861</v>
      </c>
      <c r="I45" s="26">
        <v>82</v>
      </c>
      <c r="J45" s="26">
        <v>7202.5975609756097</v>
      </c>
    </row>
    <row r="46" spans="2:10" x14ac:dyDescent="0.25">
      <c r="B46" s="24">
        <v>10</v>
      </c>
      <c r="C46" s="26">
        <v>6</v>
      </c>
      <c r="D46" s="26">
        <v>7635.666666666667</v>
      </c>
      <c r="E46" s="26">
        <v>75</v>
      </c>
      <c r="F46" s="26">
        <v>6342.2266666666665</v>
      </c>
      <c r="G46" s="26">
        <v>39</v>
      </c>
      <c r="H46" s="26">
        <v>7435.1538461538457</v>
      </c>
      <c r="I46" s="26">
        <v>120</v>
      </c>
      <c r="J46" s="26">
        <v>6762.1</v>
      </c>
    </row>
    <row r="47" spans="2:10" x14ac:dyDescent="0.25">
      <c r="B47" s="24">
        <v>11</v>
      </c>
      <c r="C47" s="26">
        <v>2</v>
      </c>
      <c r="D47" s="26">
        <v>4469.5</v>
      </c>
      <c r="E47" s="26">
        <v>18</v>
      </c>
      <c r="F47" s="26">
        <v>6504</v>
      </c>
      <c r="G47" s="26">
        <v>12</v>
      </c>
      <c r="H47" s="26">
        <v>6661</v>
      </c>
      <c r="I47" s="26">
        <v>32</v>
      </c>
      <c r="J47" s="26">
        <v>6435.71875</v>
      </c>
    </row>
    <row r="48" spans="2:10" x14ac:dyDescent="0.25">
      <c r="B48" s="24">
        <v>12</v>
      </c>
      <c r="C48" s="26"/>
      <c r="D48" s="26"/>
      <c r="E48" s="26">
        <v>10</v>
      </c>
      <c r="F48" s="26">
        <v>7434.4</v>
      </c>
      <c r="G48" s="26">
        <v>4</v>
      </c>
      <c r="H48" s="26">
        <v>11777</v>
      </c>
      <c r="I48" s="26">
        <v>14</v>
      </c>
      <c r="J48" s="26">
        <v>8675.1428571428569</v>
      </c>
    </row>
    <row r="49" spans="2:10" x14ac:dyDescent="0.25">
      <c r="B49" s="24">
        <v>13</v>
      </c>
      <c r="C49" s="26"/>
      <c r="D49" s="26"/>
      <c r="E49" s="26">
        <v>15</v>
      </c>
      <c r="F49" s="26">
        <v>7643.0666666666666</v>
      </c>
      <c r="G49" s="26">
        <v>9</v>
      </c>
      <c r="H49" s="26">
        <v>8639.3333333333339</v>
      </c>
      <c r="I49" s="26">
        <v>24</v>
      </c>
      <c r="J49" s="26">
        <v>8016.666666666667</v>
      </c>
    </row>
    <row r="50" spans="2:10" x14ac:dyDescent="0.25">
      <c r="B50" s="24">
        <v>14</v>
      </c>
      <c r="C50" s="26"/>
      <c r="D50" s="26"/>
      <c r="E50" s="26">
        <v>12</v>
      </c>
      <c r="F50" s="26">
        <v>10011.916666666666</v>
      </c>
      <c r="G50" s="26">
        <v>6</v>
      </c>
      <c r="H50" s="26">
        <v>9321.6666666666661</v>
      </c>
      <c r="I50" s="26">
        <v>18</v>
      </c>
      <c r="J50" s="26">
        <v>9781.8333333333339</v>
      </c>
    </row>
    <row r="51" spans="2:10" x14ac:dyDescent="0.25">
      <c r="B51" s="24">
        <v>15</v>
      </c>
      <c r="C51" s="26"/>
      <c r="D51" s="26"/>
      <c r="E51" s="26">
        <v>10</v>
      </c>
      <c r="F51" s="26">
        <v>8270.2000000000007</v>
      </c>
      <c r="G51" s="26">
        <v>10</v>
      </c>
      <c r="H51" s="26">
        <v>5614.2</v>
      </c>
      <c r="I51" s="26">
        <v>20</v>
      </c>
      <c r="J51" s="26">
        <v>6942.2</v>
      </c>
    </row>
    <row r="52" spans="2:10" x14ac:dyDescent="0.25">
      <c r="B52" s="24">
        <v>16</v>
      </c>
      <c r="C52" s="26"/>
      <c r="D52" s="26"/>
      <c r="E52" s="26">
        <v>9</v>
      </c>
      <c r="F52" s="26">
        <v>8694.1111111111113</v>
      </c>
      <c r="G52" s="26">
        <v>3</v>
      </c>
      <c r="H52" s="26">
        <v>12408.333333333334</v>
      </c>
      <c r="I52" s="26">
        <v>12</v>
      </c>
      <c r="J52" s="26">
        <v>9622.6666666666661</v>
      </c>
    </row>
    <row r="53" spans="2:10" x14ac:dyDescent="0.25">
      <c r="B53" s="24">
        <v>17</v>
      </c>
      <c r="C53" s="26"/>
      <c r="D53" s="26"/>
      <c r="E53" s="26">
        <v>7</v>
      </c>
      <c r="F53" s="26">
        <v>6180.8571428571431</v>
      </c>
      <c r="G53" s="26">
        <v>2</v>
      </c>
      <c r="H53" s="26">
        <v>15458</v>
      </c>
      <c r="I53" s="26">
        <v>9</v>
      </c>
      <c r="J53" s="26">
        <v>8242.4444444444453</v>
      </c>
    </row>
    <row r="54" spans="2:10" x14ac:dyDescent="0.25">
      <c r="B54" s="24">
        <v>18</v>
      </c>
      <c r="C54" s="26"/>
      <c r="D54" s="26"/>
      <c r="E54" s="26">
        <v>8</v>
      </c>
      <c r="F54" s="26">
        <v>10762</v>
      </c>
      <c r="G54" s="26">
        <v>5</v>
      </c>
      <c r="H54" s="26">
        <v>9976.7999999999993</v>
      </c>
      <c r="I54" s="26">
        <v>13</v>
      </c>
      <c r="J54" s="26">
        <v>10460</v>
      </c>
    </row>
    <row r="55" spans="2:10" x14ac:dyDescent="0.25">
      <c r="B55" s="24">
        <v>19</v>
      </c>
      <c r="C55" s="26"/>
      <c r="D55" s="26"/>
      <c r="E55" s="26">
        <v>7</v>
      </c>
      <c r="F55" s="26">
        <v>13051.857142857143</v>
      </c>
      <c r="G55" s="26">
        <v>4</v>
      </c>
      <c r="H55" s="26">
        <v>10484</v>
      </c>
      <c r="I55" s="26">
        <v>11</v>
      </c>
      <c r="J55" s="26">
        <v>12118.09090909091</v>
      </c>
    </row>
    <row r="56" spans="2:10" x14ac:dyDescent="0.25">
      <c r="B56" s="24">
        <v>20</v>
      </c>
      <c r="C56" s="26">
        <v>2</v>
      </c>
      <c r="D56" s="26">
        <v>13640.5</v>
      </c>
      <c r="E56" s="26">
        <v>19</v>
      </c>
      <c r="F56" s="26">
        <v>11714.052631578947</v>
      </c>
      <c r="G56" s="26">
        <v>6</v>
      </c>
      <c r="H56" s="26">
        <v>13025.333333333334</v>
      </c>
      <c r="I56" s="26">
        <v>27</v>
      </c>
      <c r="J56" s="26">
        <v>12148.148148148148</v>
      </c>
    </row>
    <row r="57" spans="2:10" x14ac:dyDescent="0.25">
      <c r="B57" s="24">
        <v>21</v>
      </c>
      <c r="C57" s="26">
        <v>2</v>
      </c>
      <c r="D57" s="26">
        <v>17789</v>
      </c>
      <c r="E57" s="26">
        <v>8</v>
      </c>
      <c r="F57" s="26">
        <v>16909</v>
      </c>
      <c r="G57" s="26">
        <v>4</v>
      </c>
      <c r="H57" s="26">
        <v>12864.75</v>
      </c>
      <c r="I57" s="26">
        <v>14</v>
      </c>
      <c r="J57" s="26">
        <v>15879.214285714286</v>
      </c>
    </row>
    <row r="58" spans="2:10" x14ac:dyDescent="0.25">
      <c r="B58" s="24">
        <v>22</v>
      </c>
      <c r="C58" s="26">
        <v>1</v>
      </c>
      <c r="D58" s="26">
        <v>19189</v>
      </c>
      <c r="E58" s="26">
        <v>10</v>
      </c>
      <c r="F58" s="26">
        <v>16529.400000000001</v>
      </c>
      <c r="G58" s="26">
        <v>4</v>
      </c>
      <c r="H58" s="26">
        <v>14611.25</v>
      </c>
      <c r="I58" s="26">
        <v>15</v>
      </c>
      <c r="J58" s="26">
        <v>16195.2</v>
      </c>
    </row>
    <row r="59" spans="2:10" x14ac:dyDescent="0.25">
      <c r="B59" s="24">
        <v>23</v>
      </c>
      <c r="C59" s="26"/>
      <c r="D59" s="26"/>
      <c r="E59" s="26">
        <v>1</v>
      </c>
      <c r="F59" s="26">
        <v>10748</v>
      </c>
      <c r="G59" s="26">
        <v>1</v>
      </c>
      <c r="H59" s="26">
        <v>12936</v>
      </c>
      <c r="I59" s="26">
        <v>2</v>
      </c>
      <c r="J59" s="26">
        <v>11842</v>
      </c>
    </row>
    <row r="60" spans="2:10" x14ac:dyDescent="0.25">
      <c r="B60" s="24">
        <v>24</v>
      </c>
      <c r="C60" s="26"/>
      <c r="D60" s="26"/>
      <c r="E60" s="26">
        <v>4</v>
      </c>
      <c r="F60" s="26">
        <v>15391</v>
      </c>
      <c r="G60" s="26">
        <v>2</v>
      </c>
      <c r="H60" s="26">
        <v>14638.5</v>
      </c>
      <c r="I60" s="26">
        <v>6</v>
      </c>
      <c r="J60" s="26">
        <v>15140.166666666666</v>
      </c>
    </row>
    <row r="61" spans="2:10" x14ac:dyDescent="0.25">
      <c r="B61" s="24">
        <v>25</v>
      </c>
      <c r="C61" s="26"/>
      <c r="D61" s="26"/>
      <c r="E61" s="26">
        <v>2</v>
      </c>
      <c r="F61" s="26">
        <v>16763</v>
      </c>
      <c r="G61" s="26">
        <v>2</v>
      </c>
      <c r="H61" s="26">
        <v>16193</v>
      </c>
      <c r="I61" s="26">
        <v>4</v>
      </c>
      <c r="J61" s="26">
        <v>16478</v>
      </c>
    </row>
    <row r="62" spans="2:10" x14ac:dyDescent="0.25">
      <c r="B62" s="24">
        <v>26</v>
      </c>
      <c r="C62" s="26"/>
      <c r="D62" s="26"/>
      <c r="E62" s="26">
        <v>2</v>
      </c>
      <c r="F62" s="26">
        <v>12077.5</v>
      </c>
      <c r="G62" s="26">
        <v>2</v>
      </c>
      <c r="H62" s="26">
        <v>17307.5</v>
      </c>
      <c r="I62" s="26">
        <v>4</v>
      </c>
      <c r="J62" s="26">
        <v>14692.5</v>
      </c>
    </row>
    <row r="63" spans="2:10" x14ac:dyDescent="0.25">
      <c r="B63" s="24">
        <v>27</v>
      </c>
      <c r="C63" s="26"/>
      <c r="D63" s="26"/>
      <c r="E63" s="26">
        <v>2</v>
      </c>
      <c r="F63" s="26">
        <v>17893</v>
      </c>
      <c r="G63" s="26"/>
      <c r="H63" s="26"/>
      <c r="I63" s="26">
        <v>2</v>
      </c>
      <c r="J63" s="26">
        <v>17893</v>
      </c>
    </row>
    <row r="64" spans="2:10" x14ac:dyDescent="0.25">
      <c r="B64" s="24">
        <v>29</v>
      </c>
      <c r="C64" s="26"/>
      <c r="D64" s="26"/>
      <c r="E64" s="26">
        <v>1</v>
      </c>
      <c r="F64" s="26">
        <v>19566</v>
      </c>
      <c r="G64" s="26">
        <v>1</v>
      </c>
      <c r="H64" s="26">
        <v>19847</v>
      </c>
      <c r="I64" s="26">
        <v>2</v>
      </c>
      <c r="J64" s="26">
        <v>19706.5</v>
      </c>
    </row>
    <row r="65" spans="2:12" x14ac:dyDescent="0.25">
      <c r="B65" s="24">
        <v>30</v>
      </c>
      <c r="C65" s="26"/>
      <c r="D65" s="26"/>
      <c r="E65" s="26">
        <v>1</v>
      </c>
      <c r="F65" s="26">
        <v>11245</v>
      </c>
      <c r="G65" s="26"/>
      <c r="H65" s="26"/>
      <c r="I65" s="26">
        <v>1</v>
      </c>
      <c r="J65" s="26">
        <v>11245</v>
      </c>
    </row>
    <row r="66" spans="2:12" x14ac:dyDescent="0.25">
      <c r="B66" s="24">
        <v>31</v>
      </c>
      <c r="C66" s="26"/>
      <c r="D66" s="26"/>
      <c r="E66" s="26">
        <v>3</v>
      </c>
      <c r="F66" s="26">
        <v>18890.666666666668</v>
      </c>
      <c r="G66" s="26"/>
      <c r="H66" s="26"/>
      <c r="I66" s="26">
        <v>3</v>
      </c>
      <c r="J66" s="26">
        <v>18890.666666666668</v>
      </c>
    </row>
    <row r="67" spans="2:12" x14ac:dyDescent="0.25">
      <c r="B67" s="24">
        <v>32</v>
      </c>
      <c r="C67" s="26">
        <v>1</v>
      </c>
      <c r="D67" s="26">
        <v>18200</v>
      </c>
      <c r="E67" s="26">
        <v>1</v>
      </c>
      <c r="F67" s="26">
        <v>14411</v>
      </c>
      <c r="G67" s="26">
        <v>1</v>
      </c>
      <c r="H67" s="26">
        <v>19845</v>
      </c>
      <c r="I67" s="26">
        <v>3</v>
      </c>
      <c r="J67" s="26">
        <v>17485.333333333332</v>
      </c>
    </row>
    <row r="68" spans="2:12" x14ac:dyDescent="0.25">
      <c r="B68" s="24">
        <v>33</v>
      </c>
      <c r="C68" s="26">
        <v>1</v>
      </c>
      <c r="D68" s="26">
        <v>14026</v>
      </c>
      <c r="E68" s="26">
        <v>3</v>
      </c>
      <c r="F68" s="26">
        <v>14581.666666666666</v>
      </c>
      <c r="G68" s="26">
        <v>1</v>
      </c>
      <c r="H68" s="26">
        <v>19068</v>
      </c>
      <c r="I68" s="26">
        <v>5</v>
      </c>
      <c r="J68" s="26">
        <v>15367.8</v>
      </c>
    </row>
    <row r="69" spans="2:12" x14ac:dyDescent="0.25">
      <c r="B69" s="24">
        <v>34</v>
      </c>
      <c r="C69" s="26"/>
      <c r="D69" s="26"/>
      <c r="E69" s="26"/>
      <c r="F69" s="26"/>
      <c r="G69" s="26">
        <v>1</v>
      </c>
      <c r="H69" s="26">
        <v>16856</v>
      </c>
      <c r="I69" s="26">
        <v>1</v>
      </c>
      <c r="J69" s="26">
        <v>16856</v>
      </c>
    </row>
    <row r="70" spans="2:12" x14ac:dyDescent="0.25">
      <c r="B70" s="24">
        <v>36</v>
      </c>
      <c r="C70" s="26"/>
      <c r="D70" s="26"/>
      <c r="E70" s="26">
        <v>1</v>
      </c>
      <c r="F70" s="26">
        <v>19045</v>
      </c>
      <c r="G70" s="26">
        <v>1</v>
      </c>
      <c r="H70" s="26">
        <v>19586</v>
      </c>
      <c r="I70" s="26">
        <v>2</v>
      </c>
      <c r="J70" s="26">
        <v>19315.5</v>
      </c>
    </row>
    <row r="71" spans="2:12" x14ac:dyDescent="0.25">
      <c r="B71" s="24">
        <v>37</v>
      </c>
      <c r="C71" s="26"/>
      <c r="D71" s="26"/>
      <c r="E71" s="26"/>
      <c r="F71" s="26"/>
      <c r="G71" s="26">
        <v>1</v>
      </c>
      <c r="H71" s="26">
        <v>13872</v>
      </c>
      <c r="I71" s="26">
        <v>1</v>
      </c>
      <c r="J71" s="26">
        <v>13872</v>
      </c>
    </row>
    <row r="72" spans="2:12" x14ac:dyDescent="0.25">
      <c r="B72" s="24">
        <v>40</v>
      </c>
      <c r="C72" s="26"/>
      <c r="D72" s="26"/>
      <c r="E72" s="26">
        <v>1</v>
      </c>
      <c r="F72" s="26">
        <v>10312</v>
      </c>
      <c r="G72" s="26"/>
      <c r="H72" s="26"/>
      <c r="I72" s="26">
        <v>1</v>
      </c>
      <c r="J72" s="26">
        <v>10312</v>
      </c>
    </row>
    <row r="73" spans="2:12" x14ac:dyDescent="0.25">
      <c r="B73" s="24" t="s">
        <v>250</v>
      </c>
      <c r="C73" s="26">
        <v>63</v>
      </c>
      <c r="D73" s="26">
        <v>6654.5079365079364</v>
      </c>
      <c r="E73" s="26">
        <v>961</v>
      </c>
      <c r="F73" s="26">
        <v>6281.2528616024974</v>
      </c>
      <c r="G73" s="26">
        <v>446</v>
      </c>
      <c r="H73" s="26">
        <v>6959.17264573991</v>
      </c>
      <c r="I73" s="26">
        <v>1470</v>
      </c>
      <c r="J73" s="26">
        <v>6502.931292517007</v>
      </c>
    </row>
    <row r="77" spans="2:12" ht="18.75" x14ac:dyDescent="0.3">
      <c r="B77" s="46" t="s">
        <v>263</v>
      </c>
      <c r="C77" s="46"/>
      <c r="D77" s="46"/>
      <c r="E77" s="46"/>
      <c r="F77" s="46"/>
      <c r="G77" s="46"/>
      <c r="H77" s="46"/>
      <c r="I77" s="46"/>
      <c r="J77" s="46"/>
      <c r="K77" s="46"/>
      <c r="L77" s="46"/>
    </row>
    <row r="78" spans="2:12" x14ac:dyDescent="0.25">
      <c r="C78" s="23" t="s">
        <v>260</v>
      </c>
    </row>
    <row r="79" spans="2:12" x14ac:dyDescent="0.25">
      <c r="C79">
        <v>1</v>
      </c>
      <c r="E79">
        <v>2</v>
      </c>
      <c r="G79">
        <v>3</v>
      </c>
      <c r="I79">
        <v>4</v>
      </c>
      <c r="K79" t="s">
        <v>261</v>
      </c>
      <c r="L79" t="s">
        <v>264</v>
      </c>
    </row>
    <row r="80" spans="2:12" x14ac:dyDescent="0.25">
      <c r="B80" s="23" t="s">
        <v>249</v>
      </c>
      <c r="C80" t="s">
        <v>259</v>
      </c>
      <c r="D80" t="s">
        <v>265</v>
      </c>
      <c r="E80" t="s">
        <v>259</v>
      </c>
      <c r="F80" t="s">
        <v>265</v>
      </c>
      <c r="G80" t="s">
        <v>259</v>
      </c>
      <c r="H80" t="s">
        <v>265</v>
      </c>
      <c r="I80" t="s">
        <v>259</v>
      </c>
      <c r="J80" t="s">
        <v>265</v>
      </c>
    </row>
    <row r="81" spans="2:12" x14ac:dyDescent="0.25">
      <c r="B81" s="24">
        <v>1</v>
      </c>
      <c r="C81" s="26">
        <v>53</v>
      </c>
      <c r="D81" s="27">
        <v>3.8992348090208635E-2</v>
      </c>
      <c r="E81" s="26">
        <v>55</v>
      </c>
      <c r="F81" s="27">
        <v>3.5481018909403722E-2</v>
      </c>
      <c r="G81" s="26">
        <v>94</v>
      </c>
      <c r="H81" s="27">
        <v>6.0639128287639593E-2</v>
      </c>
      <c r="I81" s="26">
        <v>87</v>
      </c>
      <c r="J81" s="27">
        <v>6.7820427041350051E-2</v>
      </c>
      <c r="K81" s="26">
        <v>289</v>
      </c>
      <c r="L81" s="27">
        <v>0.20293292232860199</v>
      </c>
    </row>
    <row r="82" spans="2:12" x14ac:dyDescent="0.25">
      <c r="B82" s="24">
        <v>2</v>
      </c>
      <c r="C82" s="26">
        <v>47</v>
      </c>
      <c r="D82" s="27">
        <v>2.9975732666379918E-2</v>
      </c>
      <c r="E82" s="26">
        <v>59</v>
      </c>
      <c r="F82" s="27">
        <v>4.0698230130788715E-2</v>
      </c>
      <c r="G82" s="26">
        <v>87</v>
      </c>
      <c r="H82" s="27">
        <v>5.7261880107689608E-2</v>
      </c>
      <c r="I82" s="26">
        <v>87</v>
      </c>
      <c r="J82" s="27">
        <v>6.8032168819927893E-2</v>
      </c>
      <c r="K82" s="26">
        <v>280</v>
      </c>
      <c r="L82" s="27">
        <v>0.19596801172478615</v>
      </c>
    </row>
    <row r="83" spans="2:12" x14ac:dyDescent="0.25">
      <c r="B83" s="24">
        <v>3</v>
      </c>
      <c r="C83" s="26">
        <v>100</v>
      </c>
      <c r="D83" s="27">
        <v>6.8111820899643696E-2</v>
      </c>
      <c r="E83" s="26">
        <v>84</v>
      </c>
      <c r="F83" s="27">
        <v>5.8076322622783678E-2</v>
      </c>
      <c r="G83" s="26">
        <v>128</v>
      </c>
      <c r="H83" s="27">
        <v>8.6104561940112262E-2</v>
      </c>
      <c r="I83" s="26">
        <v>130</v>
      </c>
      <c r="J83" s="27">
        <v>8.8340794078133375E-2</v>
      </c>
      <c r="K83" s="26">
        <v>442</v>
      </c>
      <c r="L83" s="27">
        <v>0.30063349954067303</v>
      </c>
    </row>
    <row r="84" spans="2:12" x14ac:dyDescent="0.25">
      <c r="B84" s="24">
        <v>4</v>
      </c>
      <c r="C84" s="26">
        <v>84</v>
      </c>
      <c r="D84" s="27">
        <v>5.7628279674382298E-2</v>
      </c>
      <c r="E84" s="26">
        <v>89</v>
      </c>
      <c r="F84" s="27">
        <v>5.8659110339370962E-2</v>
      </c>
      <c r="G84" s="26">
        <v>144</v>
      </c>
      <c r="H84" s="27">
        <v>9.2965261072966612E-2</v>
      </c>
      <c r="I84" s="26">
        <v>142</v>
      </c>
      <c r="J84" s="27">
        <v>9.121291531921899E-2</v>
      </c>
      <c r="K84" s="26">
        <v>459</v>
      </c>
      <c r="L84" s="27">
        <v>0.30046556640593886</v>
      </c>
    </row>
    <row r="85" spans="2:12" x14ac:dyDescent="0.25">
      <c r="B85" s="24" t="s">
        <v>250</v>
      </c>
      <c r="C85" s="26">
        <v>284</v>
      </c>
      <c r="D85" s="27">
        <v>0.19470818133061454</v>
      </c>
      <c r="E85" s="26">
        <v>287</v>
      </c>
      <c r="F85" s="27">
        <v>0.19291468200234707</v>
      </c>
      <c r="G85" s="26">
        <v>453</v>
      </c>
      <c r="H85" s="27">
        <v>0.29697083140840808</v>
      </c>
      <c r="I85" s="26">
        <v>446</v>
      </c>
      <c r="J85" s="27">
        <v>0.31540630525863028</v>
      </c>
      <c r="K85" s="26">
        <v>1470</v>
      </c>
      <c r="L85" s="27">
        <v>1</v>
      </c>
    </row>
  </sheetData>
  <mergeCells count="6">
    <mergeCell ref="B77:L77"/>
    <mergeCell ref="B3:E3"/>
    <mergeCell ref="B32:J32"/>
    <mergeCell ref="G3:J3"/>
    <mergeCell ref="H29:K29"/>
    <mergeCell ref="B23:E23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Raw_Data</vt:lpstr>
      <vt:lpstr>HR_Data</vt:lpstr>
      <vt:lpstr>Dashboard</vt:lpstr>
      <vt:lpstr>Attrition_Analysis</vt:lpstr>
      <vt:lpstr>Compensation_Analysis</vt:lpstr>
      <vt:lpstr>Performance_Analysis</vt:lpstr>
      <vt:lpstr>Demographics_Analysis</vt:lpstr>
      <vt:lpstr>Department_Analysis</vt:lpstr>
      <vt:lpstr>Tenure_Career_Analysis</vt:lpstr>
      <vt:lpstr>Satisfaction_Analysis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Xəyyam Əhmədov</cp:lastModifiedBy>
  <dcterms:created xsi:type="dcterms:W3CDTF">2026-02-05T18:07:51Z</dcterms:created>
  <dcterms:modified xsi:type="dcterms:W3CDTF">2026-02-10T21:56:35Z</dcterms:modified>
</cp:coreProperties>
</file>